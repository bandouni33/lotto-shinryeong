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lotto-app\"/>
    </mc:Choice>
  </mc:AlternateContent>
  <xr:revisionPtr revIDLastSave="0" documentId="8_{6B71A6CA-FBCA-484D-A3FB-E77515A519D0}" xr6:coauthVersionLast="47" xr6:coauthVersionMax="47" xr10:uidLastSave="{00000000-0000-0000-0000-000000000000}"/>
  <bookViews>
    <workbookView xWindow="12120" yWindow="15" windowWidth="13020" windowHeight="15465" xr2:uid="{27773E60-2B49-45F9-9574-90C92AA05171}"/>
  </bookViews>
  <sheets>
    <sheet name="홀짝 소자배 기본" sheetId="1" r:id="rId1"/>
  </sheets>
  <definedNames>
    <definedName name="_xlnm._FilterDatabase" localSheetId="0" hidden="1">'홀짝 소자배 기본'!$A$3:$DT$3</definedName>
    <definedName name="A11000000">#REF!</definedName>
    <definedName name="B11000000">#REF!</definedName>
    <definedName name="B1200000">#REF!</definedName>
    <definedName name="B9034357">#REF!</definedName>
    <definedName name="B9934357">#REF!</definedName>
    <definedName name="bizforms">"bizforms.co.kr"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" i="1" l="1"/>
  <c r="BG2" i="1"/>
  <c r="CB2" i="1"/>
  <c r="CD2" i="1"/>
  <c r="I4" i="1"/>
  <c r="J4" i="1"/>
  <c r="K4" i="1"/>
  <c r="L4" i="1"/>
  <c r="M4" i="1"/>
  <c r="N4" i="1"/>
  <c r="P4" i="1" a="1"/>
  <c r="P4" i="1" s="1"/>
  <c r="S4" i="1"/>
  <c r="T4" i="1" s="1"/>
  <c r="V4" i="1" a="1"/>
  <c r="V4" i="1" s="1"/>
  <c r="W4" i="1" s="1"/>
  <c r="Y4" i="1" a="1"/>
  <c r="Y4" i="1" s="1"/>
  <c r="Z4" i="1" a="1"/>
  <c r="Z4" i="1" s="1"/>
  <c r="AA4" i="1" a="1"/>
  <c r="AA4" i="1" s="1"/>
  <c r="AJ4" i="1"/>
  <c r="AK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H4" i="1"/>
  <c r="CI4" i="1"/>
  <c r="CJ4" i="1"/>
  <c r="CK4" i="1"/>
  <c r="CL4" i="1"/>
  <c r="CR4" i="1" s="1"/>
  <c r="CN4" i="1"/>
  <c r="DD4" i="1"/>
  <c r="DE4" i="1"/>
  <c r="DF4" i="1"/>
  <c r="DG4" i="1"/>
  <c r="DH4" i="1"/>
  <c r="DI4" i="1"/>
  <c r="DJ4" i="1"/>
  <c r="DK4" i="1"/>
  <c r="DL4" i="1"/>
  <c r="DM4" i="1"/>
  <c r="I5" i="1"/>
  <c r="J5" i="1"/>
  <c r="K5" i="1"/>
  <c r="L5" i="1"/>
  <c r="M5" i="1"/>
  <c r="N5" i="1"/>
  <c r="P5" i="1" a="1"/>
  <c r="P5" i="1" s="1"/>
  <c r="S5" i="1"/>
  <c r="T5" i="1" s="1"/>
  <c r="V5" i="1" a="1"/>
  <c r="V5" i="1" s="1"/>
  <c r="W5" i="1" s="1"/>
  <c r="Y5" i="1" a="1"/>
  <c r="Y5" i="1" s="1"/>
  <c r="Z5" i="1" a="1"/>
  <c r="Z5" i="1" s="1"/>
  <c r="AA5" i="1" a="1"/>
  <c r="AA5" i="1" s="1"/>
  <c r="AJ5" i="1"/>
  <c r="AK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H5" i="1"/>
  <c r="CI5" i="1"/>
  <c r="CJ5" i="1"/>
  <c r="CP5" i="1" s="1"/>
  <c r="CK5" i="1"/>
  <c r="CQ5" i="1" s="1"/>
  <c r="CL5" i="1"/>
  <c r="CR5" i="1" s="1"/>
  <c r="DD5" i="1"/>
  <c r="DE5" i="1"/>
  <c r="DF5" i="1"/>
  <c r="DG5" i="1"/>
  <c r="DH5" i="1"/>
  <c r="DI5" i="1"/>
  <c r="DJ5" i="1"/>
  <c r="DK5" i="1"/>
  <c r="DL5" i="1"/>
  <c r="DM5" i="1"/>
  <c r="I6" i="1"/>
  <c r="J6" i="1"/>
  <c r="K6" i="1"/>
  <c r="L6" i="1"/>
  <c r="M6" i="1"/>
  <c r="N6" i="1"/>
  <c r="P6" i="1" a="1"/>
  <c r="P6" i="1" s="1"/>
  <c r="S6" i="1"/>
  <c r="T6" i="1" s="1"/>
  <c r="V6" i="1" a="1"/>
  <c r="V6" i="1" s="1"/>
  <c r="W6" i="1" s="1"/>
  <c r="Y6" i="1" a="1"/>
  <c r="Y6" i="1" s="1"/>
  <c r="Z6" i="1" a="1"/>
  <c r="Z6" i="1" s="1"/>
  <c r="AA6" i="1" a="1"/>
  <c r="AA6" i="1" s="1"/>
  <c r="AJ6" i="1"/>
  <c r="AK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H6" i="1"/>
  <c r="CN6" i="1" s="1"/>
  <c r="CI6" i="1"/>
  <c r="CO6" i="1" s="1"/>
  <c r="CJ6" i="1"/>
  <c r="CP6" i="1" s="1"/>
  <c r="CK6" i="1"/>
  <c r="CQ6" i="1" s="1"/>
  <c r="CL6" i="1"/>
  <c r="CR6" i="1" s="1"/>
  <c r="DD6" i="1"/>
  <c r="DE6" i="1"/>
  <c r="DF6" i="1"/>
  <c r="DG6" i="1"/>
  <c r="DH6" i="1"/>
  <c r="DI6" i="1"/>
  <c r="DJ6" i="1"/>
  <c r="DK6" i="1"/>
  <c r="DL6" i="1"/>
  <c r="DM6" i="1"/>
  <c r="I7" i="1"/>
  <c r="J7" i="1"/>
  <c r="K7" i="1"/>
  <c r="L7" i="1"/>
  <c r="M7" i="1"/>
  <c r="N7" i="1"/>
  <c r="P7" i="1" a="1"/>
  <c r="P7" i="1" s="1"/>
  <c r="Q7" i="1" s="1"/>
  <c r="S7" i="1"/>
  <c r="T7" i="1" s="1"/>
  <c r="V7" i="1" a="1"/>
  <c r="V7" i="1" s="1"/>
  <c r="Y7" i="1" a="1"/>
  <c r="Y7" i="1" s="1"/>
  <c r="Z7" i="1" a="1"/>
  <c r="Z7" i="1" s="1"/>
  <c r="AA7" i="1" a="1"/>
  <c r="AA7" i="1" s="1"/>
  <c r="AJ7" i="1"/>
  <c r="AK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H7" i="1"/>
  <c r="CI7" i="1"/>
  <c r="CJ7" i="1"/>
  <c r="CP7" i="1" s="1"/>
  <c r="CK7" i="1"/>
  <c r="CQ7" i="1" s="1"/>
  <c r="CL7" i="1"/>
  <c r="CR7" i="1" s="1"/>
  <c r="DD7" i="1"/>
  <c r="DE7" i="1"/>
  <c r="DF7" i="1"/>
  <c r="DG7" i="1"/>
  <c r="DH7" i="1"/>
  <c r="DI7" i="1"/>
  <c r="DJ7" i="1"/>
  <c r="DK7" i="1"/>
  <c r="DL7" i="1"/>
  <c r="DM7" i="1"/>
  <c r="I8" i="1"/>
  <c r="J8" i="1"/>
  <c r="K8" i="1"/>
  <c r="L8" i="1"/>
  <c r="M8" i="1"/>
  <c r="N8" i="1"/>
  <c r="P8" i="1" a="1"/>
  <c r="P8" i="1" s="1"/>
  <c r="S8" i="1"/>
  <c r="T8" i="1" s="1"/>
  <c r="V8" i="1" a="1"/>
  <c r="V8" i="1" s="1"/>
  <c r="W8" i="1" s="1"/>
  <c r="Y8" i="1" a="1"/>
  <c r="Y8" i="1" s="1"/>
  <c r="Z8" i="1" a="1"/>
  <c r="Z8" i="1" s="1"/>
  <c r="AA8" i="1" a="1"/>
  <c r="AA8" i="1" s="1"/>
  <c r="AJ8" i="1"/>
  <c r="AK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H8" i="1"/>
  <c r="CI8" i="1"/>
  <c r="CO8" i="1" s="1"/>
  <c r="CJ8" i="1"/>
  <c r="CP8" i="1" s="1"/>
  <c r="CK8" i="1"/>
  <c r="CQ8" i="1" s="1"/>
  <c r="CL8" i="1"/>
  <c r="CR8" i="1" s="1"/>
  <c r="DD8" i="1"/>
  <c r="DE8" i="1"/>
  <c r="DF8" i="1"/>
  <c r="DG8" i="1"/>
  <c r="DH8" i="1"/>
  <c r="DI8" i="1"/>
  <c r="DJ8" i="1"/>
  <c r="DK8" i="1"/>
  <c r="DL8" i="1"/>
  <c r="DM8" i="1"/>
  <c r="I9" i="1"/>
  <c r="J9" i="1"/>
  <c r="K9" i="1"/>
  <c r="L9" i="1"/>
  <c r="M9" i="1"/>
  <c r="N9" i="1"/>
  <c r="P9" i="1" a="1"/>
  <c r="P9" i="1" s="1"/>
  <c r="Q9" i="1" s="1"/>
  <c r="S9" i="1"/>
  <c r="T9" i="1" s="1"/>
  <c r="V9" i="1" a="1"/>
  <c r="V9" i="1" s="1"/>
  <c r="Y9" i="1" a="1"/>
  <c r="Y9" i="1" s="1"/>
  <c r="Z9" i="1" a="1"/>
  <c r="Z9" i="1" s="1"/>
  <c r="AA9" i="1" a="1"/>
  <c r="AA9" i="1" s="1"/>
  <c r="AJ9" i="1"/>
  <c r="AK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H9" i="1"/>
  <c r="CI9" i="1"/>
  <c r="CJ9" i="1"/>
  <c r="CP9" i="1" s="1"/>
  <c r="CK9" i="1"/>
  <c r="CQ9" i="1" s="1"/>
  <c r="CL9" i="1"/>
  <c r="CR9" i="1" s="1"/>
  <c r="DD9" i="1"/>
  <c r="DE9" i="1"/>
  <c r="DF9" i="1"/>
  <c r="DG9" i="1"/>
  <c r="DH9" i="1"/>
  <c r="DI9" i="1"/>
  <c r="DJ9" i="1"/>
  <c r="DK9" i="1"/>
  <c r="DL9" i="1"/>
  <c r="DM9" i="1"/>
  <c r="I10" i="1"/>
  <c r="J10" i="1"/>
  <c r="K10" i="1"/>
  <c r="L10" i="1"/>
  <c r="M10" i="1"/>
  <c r="N10" i="1"/>
  <c r="P10" i="1" a="1"/>
  <c r="P10" i="1" s="1"/>
  <c r="S10" i="1"/>
  <c r="T10" i="1" s="1"/>
  <c r="V10" i="1" a="1"/>
  <c r="V10" i="1" s="1"/>
  <c r="W10" i="1" s="1"/>
  <c r="Y10" i="1" a="1"/>
  <c r="Y10" i="1" s="1"/>
  <c r="Z10" i="1" a="1"/>
  <c r="Z10" i="1" s="1"/>
  <c r="AA10" i="1" a="1"/>
  <c r="AA10" i="1" s="1"/>
  <c r="AJ10" i="1"/>
  <c r="AK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H10" i="1"/>
  <c r="CI10" i="1"/>
  <c r="CJ10" i="1"/>
  <c r="CK10" i="1"/>
  <c r="CQ10" i="1" s="1"/>
  <c r="CL10" i="1"/>
  <c r="CR10" i="1" s="1"/>
  <c r="CN10" i="1"/>
  <c r="CO10" i="1"/>
  <c r="DB10" i="1" a="1"/>
  <c r="DB10" i="1" s="1"/>
  <c r="DD10" i="1"/>
  <c r="DE10" i="1"/>
  <c r="DF10" i="1"/>
  <c r="DG10" i="1"/>
  <c r="DH10" i="1"/>
  <c r="DI10" i="1"/>
  <c r="DJ10" i="1"/>
  <c r="DK10" i="1"/>
  <c r="DL10" i="1"/>
  <c r="DM10" i="1"/>
  <c r="I11" i="1"/>
  <c r="J11" i="1"/>
  <c r="K11" i="1"/>
  <c r="L11" i="1"/>
  <c r="M11" i="1"/>
  <c r="N11" i="1"/>
  <c r="P11" i="1" a="1"/>
  <c r="P11" i="1" s="1"/>
  <c r="Q11" i="1" s="1"/>
  <c r="S11" i="1"/>
  <c r="T11" i="1" s="1"/>
  <c r="V11" i="1" a="1"/>
  <c r="V11" i="1" s="1"/>
  <c r="Y11" i="1" a="1"/>
  <c r="Y11" i="1" s="1"/>
  <c r="Z11" i="1" a="1"/>
  <c r="Z11" i="1" s="1"/>
  <c r="AA11" i="1" a="1"/>
  <c r="AA11" i="1" s="1"/>
  <c r="AJ11" i="1"/>
  <c r="AK11" i="1"/>
  <c r="AL11" i="1" s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H11" i="1"/>
  <c r="CI11" i="1"/>
  <c r="CJ11" i="1"/>
  <c r="CP11" i="1" s="1"/>
  <c r="CK11" i="1"/>
  <c r="CQ11" i="1" s="1"/>
  <c r="CL11" i="1"/>
  <c r="CR11" i="1" s="1"/>
  <c r="DD11" i="1"/>
  <c r="DE11" i="1"/>
  <c r="DF11" i="1"/>
  <c r="DG11" i="1"/>
  <c r="DH11" i="1"/>
  <c r="DI11" i="1"/>
  <c r="DJ11" i="1"/>
  <c r="DK11" i="1"/>
  <c r="DL11" i="1"/>
  <c r="DM11" i="1"/>
  <c r="I12" i="1"/>
  <c r="J12" i="1"/>
  <c r="K12" i="1"/>
  <c r="L12" i="1"/>
  <c r="M12" i="1"/>
  <c r="N12" i="1"/>
  <c r="P12" i="1" a="1"/>
  <c r="P12" i="1" s="1"/>
  <c r="S12" i="1"/>
  <c r="T12" i="1" s="1"/>
  <c r="V12" i="1" a="1"/>
  <c r="V12" i="1" s="1"/>
  <c r="W12" i="1" s="1"/>
  <c r="Y12" i="1" a="1"/>
  <c r="Y12" i="1" s="1"/>
  <c r="Z12" i="1" a="1"/>
  <c r="Z12" i="1" s="1"/>
  <c r="AA12" i="1" a="1"/>
  <c r="AA12" i="1" s="1"/>
  <c r="AJ12" i="1"/>
  <c r="AK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H12" i="1"/>
  <c r="CN12" i="1" s="1"/>
  <c r="CI12" i="1"/>
  <c r="CO12" i="1" s="1"/>
  <c r="CJ12" i="1"/>
  <c r="CP12" i="1" s="1"/>
  <c r="CK12" i="1"/>
  <c r="CQ12" i="1" s="1"/>
  <c r="CL12" i="1"/>
  <c r="CR12" i="1" s="1"/>
  <c r="DD12" i="1"/>
  <c r="DE12" i="1"/>
  <c r="DF12" i="1"/>
  <c r="DG12" i="1"/>
  <c r="DH12" i="1"/>
  <c r="DI12" i="1"/>
  <c r="DJ12" i="1"/>
  <c r="DK12" i="1"/>
  <c r="DL12" i="1"/>
  <c r="DM12" i="1"/>
  <c r="I13" i="1"/>
  <c r="J13" i="1"/>
  <c r="K13" i="1"/>
  <c r="L13" i="1"/>
  <c r="M13" i="1"/>
  <c r="N13" i="1"/>
  <c r="P13" i="1" a="1"/>
  <c r="P13" i="1" s="1"/>
  <c r="Q13" i="1" s="1"/>
  <c r="S13" i="1"/>
  <c r="T13" i="1" s="1"/>
  <c r="V13" i="1" a="1"/>
  <c r="V13" i="1" s="1"/>
  <c r="Y13" i="1" a="1"/>
  <c r="Y13" i="1" s="1"/>
  <c r="Z13" i="1" a="1"/>
  <c r="Z13" i="1" s="1"/>
  <c r="AA13" i="1" a="1"/>
  <c r="AA13" i="1" s="1"/>
  <c r="AJ13" i="1"/>
  <c r="AK13" i="1"/>
  <c r="AL13" i="1" s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H13" i="1"/>
  <c r="CI13" i="1"/>
  <c r="CJ13" i="1"/>
  <c r="CP13" i="1" s="1"/>
  <c r="CK13" i="1"/>
  <c r="CQ13" i="1" s="1"/>
  <c r="CL13" i="1"/>
  <c r="CR13" i="1" s="1"/>
  <c r="DD13" i="1"/>
  <c r="DE13" i="1"/>
  <c r="DF13" i="1"/>
  <c r="DG13" i="1"/>
  <c r="DH13" i="1"/>
  <c r="DI13" i="1"/>
  <c r="DJ13" i="1"/>
  <c r="DK13" i="1"/>
  <c r="DL13" i="1"/>
  <c r="DM13" i="1"/>
  <c r="I14" i="1"/>
  <c r="J14" i="1"/>
  <c r="K14" i="1"/>
  <c r="L14" i="1"/>
  <c r="M14" i="1"/>
  <c r="N14" i="1"/>
  <c r="P14" i="1" a="1"/>
  <c r="P14" i="1" s="1"/>
  <c r="S14" i="1"/>
  <c r="T14" i="1" s="1"/>
  <c r="V14" i="1" a="1"/>
  <c r="V14" i="1" s="1"/>
  <c r="W14" i="1" s="1"/>
  <c r="Y14" i="1" a="1"/>
  <c r="Y14" i="1" s="1"/>
  <c r="Z14" i="1" a="1"/>
  <c r="Z14" i="1" s="1"/>
  <c r="AA14" i="1" a="1"/>
  <c r="AA14" i="1" s="1"/>
  <c r="AJ14" i="1"/>
  <c r="AK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H14" i="1"/>
  <c r="CW14" i="1" s="1" a="1"/>
  <c r="CW14" i="1" s="1"/>
  <c r="CX14" i="1" s="1"/>
  <c r="CI14" i="1"/>
  <c r="CO14" i="1" s="1"/>
  <c r="CJ14" i="1"/>
  <c r="CP14" i="1" s="1"/>
  <c r="CK14" i="1"/>
  <c r="CQ14" i="1" s="1"/>
  <c r="CL14" i="1"/>
  <c r="CR14" i="1" s="1"/>
  <c r="DD14" i="1"/>
  <c r="DE14" i="1"/>
  <c r="DF14" i="1"/>
  <c r="DG14" i="1"/>
  <c r="DH14" i="1"/>
  <c r="DI14" i="1"/>
  <c r="DJ14" i="1"/>
  <c r="DK14" i="1"/>
  <c r="DL14" i="1"/>
  <c r="DM14" i="1"/>
  <c r="I15" i="1"/>
  <c r="J15" i="1"/>
  <c r="K15" i="1"/>
  <c r="L15" i="1"/>
  <c r="M15" i="1"/>
  <c r="N15" i="1"/>
  <c r="P15" i="1" a="1"/>
  <c r="P15" i="1" s="1"/>
  <c r="Q15" i="1" s="1"/>
  <c r="S15" i="1"/>
  <c r="T15" i="1" s="1"/>
  <c r="V15" i="1" a="1"/>
  <c r="V15" i="1" s="1"/>
  <c r="Y15" i="1" a="1"/>
  <c r="Y15" i="1" s="1"/>
  <c r="Z15" i="1" a="1"/>
  <c r="Z15" i="1" s="1"/>
  <c r="AA15" i="1" a="1"/>
  <c r="AA15" i="1" s="1"/>
  <c r="AJ15" i="1"/>
  <c r="AK15" i="1"/>
  <c r="AL15" i="1" s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H15" i="1"/>
  <c r="CI15" i="1"/>
  <c r="CJ15" i="1"/>
  <c r="CK15" i="1"/>
  <c r="CQ15" i="1" s="1"/>
  <c r="CL15" i="1"/>
  <c r="CR15" i="1" s="1"/>
  <c r="CP15" i="1"/>
  <c r="DD15" i="1"/>
  <c r="DE15" i="1"/>
  <c r="DF15" i="1"/>
  <c r="DG15" i="1"/>
  <c r="DH15" i="1"/>
  <c r="DI15" i="1"/>
  <c r="DJ15" i="1"/>
  <c r="DK15" i="1"/>
  <c r="DL15" i="1"/>
  <c r="DM15" i="1"/>
  <c r="I16" i="1"/>
  <c r="J16" i="1"/>
  <c r="K16" i="1"/>
  <c r="L16" i="1"/>
  <c r="M16" i="1"/>
  <c r="N16" i="1"/>
  <c r="P16" i="1" a="1"/>
  <c r="P16" i="1" s="1"/>
  <c r="S16" i="1"/>
  <c r="T16" i="1" s="1"/>
  <c r="V16" i="1" a="1"/>
  <c r="V16" i="1" s="1"/>
  <c r="W16" i="1" s="1"/>
  <c r="Y16" i="1" a="1"/>
  <c r="Y16" i="1" s="1"/>
  <c r="Z16" i="1" a="1"/>
  <c r="Z16" i="1" s="1"/>
  <c r="AA16" i="1" a="1"/>
  <c r="AA16" i="1" s="1"/>
  <c r="AJ16" i="1"/>
  <c r="AK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H16" i="1"/>
  <c r="CN16" i="1" s="1"/>
  <c r="CI16" i="1"/>
  <c r="CO16" i="1" s="1"/>
  <c r="CJ16" i="1"/>
  <c r="CP16" i="1" s="1"/>
  <c r="CK16" i="1"/>
  <c r="CQ16" i="1" s="1"/>
  <c r="CL16" i="1"/>
  <c r="CR16" i="1" s="1"/>
  <c r="DD16" i="1"/>
  <c r="DE16" i="1"/>
  <c r="DF16" i="1"/>
  <c r="DG16" i="1"/>
  <c r="DH16" i="1"/>
  <c r="DI16" i="1"/>
  <c r="DJ16" i="1"/>
  <c r="DK16" i="1"/>
  <c r="DL16" i="1"/>
  <c r="DM16" i="1"/>
  <c r="I17" i="1"/>
  <c r="J17" i="1"/>
  <c r="K17" i="1"/>
  <c r="L17" i="1"/>
  <c r="M17" i="1"/>
  <c r="N17" i="1"/>
  <c r="P17" i="1" a="1"/>
  <c r="P17" i="1" s="1"/>
  <c r="Q17" i="1" s="1"/>
  <c r="S17" i="1"/>
  <c r="T17" i="1" s="1"/>
  <c r="V17" i="1" a="1"/>
  <c r="V17" i="1" s="1"/>
  <c r="Y17" i="1" a="1"/>
  <c r="Y17" i="1" s="1"/>
  <c r="Z17" i="1" a="1"/>
  <c r="Z17" i="1" s="1"/>
  <c r="AA17" i="1" a="1"/>
  <c r="AA17" i="1" s="1"/>
  <c r="AJ17" i="1"/>
  <c r="AK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H17" i="1"/>
  <c r="CI17" i="1"/>
  <c r="CJ17" i="1"/>
  <c r="CP17" i="1" s="1"/>
  <c r="CK17" i="1"/>
  <c r="CQ17" i="1" s="1"/>
  <c r="CL17" i="1"/>
  <c r="CR17" i="1" s="1"/>
  <c r="DD17" i="1"/>
  <c r="DE17" i="1"/>
  <c r="DF17" i="1"/>
  <c r="DG17" i="1"/>
  <c r="DH17" i="1"/>
  <c r="DI17" i="1"/>
  <c r="DJ17" i="1"/>
  <c r="DK17" i="1"/>
  <c r="DL17" i="1"/>
  <c r="DM17" i="1"/>
  <c r="I18" i="1"/>
  <c r="J18" i="1"/>
  <c r="K18" i="1"/>
  <c r="L18" i="1"/>
  <c r="M18" i="1"/>
  <c r="N18" i="1"/>
  <c r="P18" i="1" a="1"/>
  <c r="P18" i="1" s="1"/>
  <c r="S18" i="1"/>
  <c r="T18" i="1" s="1"/>
  <c r="V18" i="1" a="1"/>
  <c r="V18" i="1" s="1"/>
  <c r="W18" i="1" s="1"/>
  <c r="Y18" i="1" a="1"/>
  <c r="Y18" i="1" s="1"/>
  <c r="Z18" i="1" a="1"/>
  <c r="Z18" i="1" s="1"/>
  <c r="AA18" i="1" a="1"/>
  <c r="AA18" i="1" s="1"/>
  <c r="AJ18" i="1"/>
  <c r="AK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H18" i="1"/>
  <c r="CI18" i="1"/>
  <c r="CO18" i="1" s="1"/>
  <c r="CJ18" i="1"/>
  <c r="CP18" i="1" s="1"/>
  <c r="CK18" i="1"/>
  <c r="CQ18" i="1" s="1"/>
  <c r="CL18" i="1"/>
  <c r="CR18" i="1" s="1"/>
  <c r="DD18" i="1"/>
  <c r="DE18" i="1"/>
  <c r="DF18" i="1"/>
  <c r="DG18" i="1"/>
  <c r="DH18" i="1"/>
  <c r="DI18" i="1"/>
  <c r="DJ18" i="1"/>
  <c r="DK18" i="1"/>
  <c r="DL18" i="1"/>
  <c r="DM18" i="1"/>
  <c r="I19" i="1"/>
  <c r="J19" i="1"/>
  <c r="K19" i="1"/>
  <c r="L19" i="1"/>
  <c r="M19" i="1"/>
  <c r="N19" i="1"/>
  <c r="P19" i="1" a="1"/>
  <c r="P19" i="1" s="1"/>
  <c r="Q19" i="1" s="1"/>
  <c r="S19" i="1"/>
  <c r="T19" i="1" s="1"/>
  <c r="V19" i="1" a="1"/>
  <c r="V19" i="1" s="1"/>
  <c r="W19" i="1" s="1"/>
  <c r="Y19" i="1" a="1"/>
  <c r="Y19" i="1" s="1"/>
  <c r="Z19" i="1" a="1"/>
  <c r="Z19" i="1" s="1"/>
  <c r="AA19" i="1" a="1"/>
  <c r="AA19" i="1" s="1"/>
  <c r="AJ19" i="1"/>
  <c r="AK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H19" i="1"/>
  <c r="CI19" i="1"/>
  <c r="CO19" i="1" s="1"/>
  <c r="CJ19" i="1"/>
  <c r="CK19" i="1"/>
  <c r="CQ19" i="1" s="1"/>
  <c r="CL19" i="1"/>
  <c r="CR19" i="1" s="1"/>
  <c r="CP19" i="1"/>
  <c r="DD19" i="1"/>
  <c r="DE19" i="1"/>
  <c r="DF19" i="1"/>
  <c r="DG19" i="1"/>
  <c r="DH19" i="1"/>
  <c r="DI19" i="1"/>
  <c r="DJ19" i="1"/>
  <c r="DK19" i="1"/>
  <c r="DL19" i="1"/>
  <c r="DM19" i="1"/>
  <c r="I20" i="1"/>
  <c r="J20" i="1"/>
  <c r="K20" i="1"/>
  <c r="L20" i="1"/>
  <c r="M20" i="1"/>
  <c r="N20" i="1"/>
  <c r="P20" i="1" a="1"/>
  <c r="P20" i="1" s="1"/>
  <c r="S20" i="1"/>
  <c r="T20" i="1" s="1"/>
  <c r="V20" i="1" a="1"/>
  <c r="V20" i="1" s="1"/>
  <c r="W20" i="1" s="1"/>
  <c r="Y20" i="1" a="1"/>
  <c r="Y20" i="1" s="1"/>
  <c r="Z20" i="1" a="1"/>
  <c r="Z20" i="1" s="1"/>
  <c r="AA20" i="1" a="1"/>
  <c r="AA20" i="1" s="1"/>
  <c r="AJ20" i="1"/>
  <c r="AK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H20" i="1"/>
  <c r="CI20" i="1"/>
  <c r="CO20" i="1" s="1"/>
  <c r="CJ20" i="1"/>
  <c r="CP20" i="1" s="1"/>
  <c r="CK20" i="1"/>
  <c r="CQ20" i="1" s="1"/>
  <c r="CL20" i="1"/>
  <c r="CR20" i="1" s="1"/>
  <c r="DD20" i="1"/>
  <c r="DE20" i="1"/>
  <c r="DF20" i="1"/>
  <c r="DG20" i="1"/>
  <c r="DH20" i="1"/>
  <c r="DI20" i="1"/>
  <c r="DJ20" i="1"/>
  <c r="DK20" i="1"/>
  <c r="DL20" i="1"/>
  <c r="DM20" i="1"/>
  <c r="I21" i="1"/>
  <c r="J21" i="1"/>
  <c r="K21" i="1"/>
  <c r="L21" i="1"/>
  <c r="M21" i="1"/>
  <c r="N21" i="1"/>
  <c r="P21" i="1" a="1"/>
  <c r="P21" i="1" s="1"/>
  <c r="Q21" i="1" s="1"/>
  <c r="S21" i="1"/>
  <c r="T21" i="1" s="1"/>
  <c r="V21" i="1" a="1"/>
  <c r="V21" i="1" s="1"/>
  <c r="W21" i="1" s="1"/>
  <c r="Y21" i="1" a="1"/>
  <c r="Y21" i="1" s="1"/>
  <c r="Z21" i="1" a="1"/>
  <c r="Z21" i="1" s="1"/>
  <c r="AA21" i="1" a="1"/>
  <c r="AA21" i="1" s="1"/>
  <c r="AJ21" i="1"/>
  <c r="AK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H21" i="1"/>
  <c r="CI21" i="1"/>
  <c r="CO21" i="1" s="1"/>
  <c r="CJ21" i="1"/>
  <c r="CP21" i="1" s="1"/>
  <c r="CK21" i="1"/>
  <c r="CQ21" i="1" s="1"/>
  <c r="CL21" i="1"/>
  <c r="CR21" i="1" s="1"/>
  <c r="DD21" i="1"/>
  <c r="DE21" i="1"/>
  <c r="DF21" i="1"/>
  <c r="DG21" i="1"/>
  <c r="DH21" i="1"/>
  <c r="DI21" i="1"/>
  <c r="DJ21" i="1"/>
  <c r="DK21" i="1"/>
  <c r="DL21" i="1"/>
  <c r="DM21" i="1"/>
  <c r="I22" i="1"/>
  <c r="J22" i="1"/>
  <c r="K22" i="1"/>
  <c r="L22" i="1"/>
  <c r="M22" i="1"/>
  <c r="N22" i="1"/>
  <c r="P22" i="1" a="1"/>
  <c r="P22" i="1" s="1"/>
  <c r="Q22" i="1" s="1"/>
  <c r="S22" i="1"/>
  <c r="T22" i="1" s="1"/>
  <c r="V22" i="1" a="1"/>
  <c r="V22" i="1" s="1"/>
  <c r="W22" i="1" s="1"/>
  <c r="Y22" i="1" a="1"/>
  <c r="Y22" i="1" s="1"/>
  <c r="Z22" i="1" a="1"/>
  <c r="Z22" i="1" s="1"/>
  <c r="AA22" i="1" a="1"/>
  <c r="AA22" i="1" s="1"/>
  <c r="AJ22" i="1"/>
  <c r="AK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H22" i="1"/>
  <c r="CI22" i="1"/>
  <c r="CO22" i="1" s="1"/>
  <c r="CJ22" i="1"/>
  <c r="CK22" i="1"/>
  <c r="CQ22" i="1" s="1"/>
  <c r="CL22" i="1"/>
  <c r="CR22" i="1" s="1"/>
  <c r="CP22" i="1"/>
  <c r="DD22" i="1"/>
  <c r="DE22" i="1"/>
  <c r="DF22" i="1"/>
  <c r="DG22" i="1"/>
  <c r="DH22" i="1"/>
  <c r="DI22" i="1"/>
  <c r="DJ22" i="1"/>
  <c r="DK22" i="1"/>
  <c r="DL22" i="1"/>
  <c r="DM22" i="1"/>
  <c r="I23" i="1"/>
  <c r="J23" i="1"/>
  <c r="K23" i="1"/>
  <c r="L23" i="1"/>
  <c r="M23" i="1"/>
  <c r="N23" i="1"/>
  <c r="P23" i="1" a="1"/>
  <c r="P23" i="1" s="1"/>
  <c r="Q23" i="1" s="1"/>
  <c r="S23" i="1"/>
  <c r="T23" i="1" s="1"/>
  <c r="V23" i="1" a="1"/>
  <c r="V23" i="1" s="1"/>
  <c r="W23" i="1" s="1"/>
  <c r="Y23" i="1" a="1"/>
  <c r="Y23" i="1" s="1"/>
  <c r="Z23" i="1" a="1"/>
  <c r="Z23" i="1" s="1"/>
  <c r="AA23" i="1" a="1"/>
  <c r="AA23" i="1" s="1"/>
  <c r="AJ23" i="1"/>
  <c r="AK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H23" i="1"/>
  <c r="CI23" i="1"/>
  <c r="CO23" i="1" s="1"/>
  <c r="CJ23" i="1"/>
  <c r="CP23" i="1" s="1"/>
  <c r="CK23" i="1"/>
  <c r="CQ23" i="1" s="1"/>
  <c r="CL23" i="1"/>
  <c r="CR23" i="1" s="1"/>
  <c r="DD23" i="1"/>
  <c r="DE23" i="1"/>
  <c r="DF23" i="1"/>
  <c r="DG23" i="1"/>
  <c r="DH23" i="1"/>
  <c r="DI23" i="1"/>
  <c r="DJ23" i="1"/>
  <c r="DK23" i="1"/>
  <c r="DL23" i="1"/>
  <c r="DM23" i="1"/>
  <c r="I24" i="1"/>
  <c r="J24" i="1"/>
  <c r="K24" i="1"/>
  <c r="L24" i="1"/>
  <c r="M24" i="1"/>
  <c r="N24" i="1"/>
  <c r="P24" i="1" a="1"/>
  <c r="P24" i="1" s="1"/>
  <c r="S24" i="1"/>
  <c r="T24" i="1" s="1"/>
  <c r="V24" i="1" a="1"/>
  <c r="V24" i="1" s="1"/>
  <c r="W24" i="1" s="1"/>
  <c r="Y24" i="1" a="1"/>
  <c r="Y24" i="1" s="1"/>
  <c r="Z24" i="1" a="1"/>
  <c r="Z24" i="1" s="1"/>
  <c r="AA24" i="1" a="1"/>
  <c r="AA24" i="1" s="1"/>
  <c r="AJ24" i="1"/>
  <c r="AK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H24" i="1"/>
  <c r="CI24" i="1"/>
  <c r="CO24" i="1" s="1"/>
  <c r="CJ24" i="1"/>
  <c r="CP24" i="1" s="1"/>
  <c r="CK24" i="1"/>
  <c r="CQ24" i="1" s="1"/>
  <c r="CL24" i="1"/>
  <c r="CR24" i="1" s="1"/>
  <c r="DD24" i="1"/>
  <c r="DE24" i="1"/>
  <c r="DF24" i="1"/>
  <c r="DG24" i="1"/>
  <c r="DH24" i="1"/>
  <c r="DI24" i="1"/>
  <c r="DJ24" i="1"/>
  <c r="DK24" i="1"/>
  <c r="DL24" i="1"/>
  <c r="DM24" i="1"/>
  <c r="I25" i="1"/>
  <c r="J25" i="1"/>
  <c r="K25" i="1"/>
  <c r="L25" i="1"/>
  <c r="M25" i="1"/>
  <c r="N25" i="1"/>
  <c r="P25" i="1" a="1"/>
  <c r="P25" i="1" s="1"/>
  <c r="S25" i="1"/>
  <c r="T25" i="1" s="1"/>
  <c r="V25" i="1" a="1"/>
  <c r="V25" i="1" s="1"/>
  <c r="W25" i="1" s="1"/>
  <c r="Y25" i="1" a="1"/>
  <c r="Y25" i="1" s="1"/>
  <c r="Z25" i="1" a="1"/>
  <c r="Z25" i="1" s="1"/>
  <c r="AA25" i="1" a="1"/>
  <c r="AA25" i="1" s="1"/>
  <c r="AJ25" i="1"/>
  <c r="AK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H25" i="1"/>
  <c r="CN25" i="1" s="1"/>
  <c r="CI25" i="1"/>
  <c r="CO25" i="1" s="1"/>
  <c r="CJ25" i="1"/>
  <c r="CP25" i="1" s="1"/>
  <c r="CK25" i="1"/>
  <c r="CQ25" i="1" s="1"/>
  <c r="CL25" i="1"/>
  <c r="CR25" i="1" s="1"/>
  <c r="DD25" i="1"/>
  <c r="DE25" i="1"/>
  <c r="DF25" i="1"/>
  <c r="DG25" i="1"/>
  <c r="DH25" i="1"/>
  <c r="DI25" i="1"/>
  <c r="DJ25" i="1"/>
  <c r="DK25" i="1"/>
  <c r="DL25" i="1"/>
  <c r="DM25" i="1"/>
  <c r="I26" i="1"/>
  <c r="J26" i="1"/>
  <c r="K26" i="1"/>
  <c r="L26" i="1"/>
  <c r="M26" i="1"/>
  <c r="N26" i="1"/>
  <c r="P26" i="1" a="1"/>
  <c r="P26" i="1" s="1"/>
  <c r="Q26" i="1" s="1"/>
  <c r="S26" i="1"/>
  <c r="T26" i="1" s="1"/>
  <c r="V26" i="1" a="1"/>
  <c r="V26" i="1" s="1"/>
  <c r="W26" i="1" s="1"/>
  <c r="Y26" i="1" a="1"/>
  <c r="Y26" i="1" s="1"/>
  <c r="Z26" i="1" a="1"/>
  <c r="Z26" i="1" s="1"/>
  <c r="AA26" i="1" a="1"/>
  <c r="AA26" i="1" s="1"/>
  <c r="AJ26" i="1"/>
  <c r="AK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H26" i="1"/>
  <c r="CI26" i="1"/>
  <c r="CO26" i="1" s="1"/>
  <c r="CJ26" i="1"/>
  <c r="CP26" i="1" s="1"/>
  <c r="CK26" i="1"/>
  <c r="CQ26" i="1" s="1"/>
  <c r="CL26" i="1"/>
  <c r="CR26" i="1" s="1"/>
  <c r="DD26" i="1"/>
  <c r="DE26" i="1"/>
  <c r="DF26" i="1"/>
  <c r="DG26" i="1"/>
  <c r="DH26" i="1"/>
  <c r="DI26" i="1"/>
  <c r="DJ26" i="1"/>
  <c r="DK26" i="1"/>
  <c r="DL26" i="1"/>
  <c r="DM26" i="1"/>
  <c r="I27" i="1"/>
  <c r="J27" i="1"/>
  <c r="K27" i="1"/>
  <c r="L27" i="1"/>
  <c r="M27" i="1"/>
  <c r="N27" i="1"/>
  <c r="P27" i="1" a="1"/>
  <c r="P27" i="1" s="1"/>
  <c r="Q27" i="1" s="1"/>
  <c r="S27" i="1"/>
  <c r="T27" i="1" s="1"/>
  <c r="V27" i="1" a="1"/>
  <c r="V27" i="1" s="1"/>
  <c r="Y27" i="1" a="1"/>
  <c r="Y27" i="1" s="1"/>
  <c r="Z27" i="1" a="1"/>
  <c r="Z27" i="1" s="1"/>
  <c r="AA27" i="1" a="1"/>
  <c r="AA27" i="1" s="1"/>
  <c r="AJ27" i="1"/>
  <c r="AK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H27" i="1"/>
  <c r="CI27" i="1"/>
  <c r="CJ27" i="1"/>
  <c r="CP27" i="1" s="1"/>
  <c r="CK27" i="1"/>
  <c r="CQ27" i="1" s="1"/>
  <c r="CL27" i="1"/>
  <c r="CR27" i="1"/>
  <c r="DD27" i="1"/>
  <c r="DE27" i="1"/>
  <c r="DF27" i="1"/>
  <c r="DG27" i="1"/>
  <c r="DH27" i="1"/>
  <c r="DI27" i="1"/>
  <c r="DJ27" i="1"/>
  <c r="DK27" i="1"/>
  <c r="DL27" i="1"/>
  <c r="DM27" i="1"/>
  <c r="I28" i="1"/>
  <c r="J28" i="1"/>
  <c r="K28" i="1"/>
  <c r="L28" i="1"/>
  <c r="M28" i="1"/>
  <c r="N28" i="1"/>
  <c r="P28" i="1" a="1"/>
  <c r="P28" i="1" s="1"/>
  <c r="Q28" i="1" s="1"/>
  <c r="S28" i="1"/>
  <c r="T28" i="1" s="1"/>
  <c r="V28" i="1" a="1"/>
  <c r="V28" i="1" s="1"/>
  <c r="W28" i="1" s="1"/>
  <c r="Y28" i="1" a="1"/>
  <c r="Y28" i="1" s="1"/>
  <c r="Z28" i="1" a="1"/>
  <c r="Z28" i="1" s="1"/>
  <c r="AA28" i="1" a="1"/>
  <c r="AA28" i="1" s="1"/>
  <c r="AJ28" i="1"/>
  <c r="AK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H28" i="1"/>
  <c r="CN28" i="1" s="1"/>
  <c r="CI28" i="1"/>
  <c r="CO28" i="1" s="1"/>
  <c r="CJ28" i="1"/>
  <c r="CP28" i="1" s="1"/>
  <c r="CK28" i="1"/>
  <c r="CQ28" i="1" s="1"/>
  <c r="CL28" i="1"/>
  <c r="CR28" i="1" s="1"/>
  <c r="DD28" i="1"/>
  <c r="DE28" i="1"/>
  <c r="DF28" i="1"/>
  <c r="DG28" i="1"/>
  <c r="DH28" i="1"/>
  <c r="DI28" i="1"/>
  <c r="DJ28" i="1"/>
  <c r="DK28" i="1"/>
  <c r="DL28" i="1"/>
  <c r="DM28" i="1"/>
  <c r="I29" i="1"/>
  <c r="J29" i="1"/>
  <c r="K29" i="1"/>
  <c r="L29" i="1"/>
  <c r="M29" i="1"/>
  <c r="N29" i="1"/>
  <c r="P29" i="1" a="1"/>
  <c r="P29" i="1" s="1"/>
  <c r="Q29" i="1" s="1"/>
  <c r="S29" i="1"/>
  <c r="T29" i="1" s="1"/>
  <c r="V29" i="1" a="1"/>
  <c r="V29" i="1" s="1"/>
  <c r="Y29" i="1" a="1"/>
  <c r="Y29" i="1" s="1"/>
  <c r="Z29" i="1" a="1"/>
  <c r="Z29" i="1" s="1"/>
  <c r="AA29" i="1" a="1"/>
  <c r="AA29" i="1" s="1"/>
  <c r="AJ29" i="1"/>
  <c r="AK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H29" i="1"/>
  <c r="CI29" i="1"/>
  <c r="CJ29" i="1"/>
  <c r="CP29" i="1" s="1"/>
  <c r="CK29" i="1"/>
  <c r="CQ29" i="1" s="1"/>
  <c r="CL29" i="1"/>
  <c r="CR29" i="1" s="1"/>
  <c r="DD29" i="1"/>
  <c r="DE29" i="1"/>
  <c r="DF29" i="1"/>
  <c r="DG29" i="1"/>
  <c r="DH29" i="1"/>
  <c r="DI29" i="1"/>
  <c r="DJ29" i="1"/>
  <c r="DK29" i="1"/>
  <c r="DL29" i="1"/>
  <c r="DM29" i="1"/>
  <c r="I30" i="1"/>
  <c r="J30" i="1"/>
  <c r="K30" i="1"/>
  <c r="L30" i="1"/>
  <c r="M30" i="1"/>
  <c r="N30" i="1"/>
  <c r="P30" i="1" a="1"/>
  <c r="P30" i="1" s="1"/>
  <c r="Q30" i="1" s="1"/>
  <c r="S30" i="1"/>
  <c r="T30" i="1" s="1"/>
  <c r="V30" i="1" a="1"/>
  <c r="V30" i="1" s="1"/>
  <c r="Y30" i="1" a="1"/>
  <c r="Y30" i="1" s="1"/>
  <c r="Z30" i="1" a="1"/>
  <c r="Z30" i="1" s="1"/>
  <c r="AA30" i="1" a="1"/>
  <c r="AA30" i="1" s="1"/>
  <c r="AJ30" i="1"/>
  <c r="AK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H30" i="1"/>
  <c r="CI30" i="1"/>
  <c r="CO30" i="1" s="1"/>
  <c r="CJ30" i="1"/>
  <c r="CP30" i="1" s="1"/>
  <c r="CK30" i="1"/>
  <c r="CQ30" i="1" s="1"/>
  <c r="CL30" i="1"/>
  <c r="CR30" i="1" s="1"/>
  <c r="DD30" i="1"/>
  <c r="DE30" i="1"/>
  <c r="DF30" i="1"/>
  <c r="DG30" i="1"/>
  <c r="DH30" i="1"/>
  <c r="DI30" i="1"/>
  <c r="DJ30" i="1"/>
  <c r="DK30" i="1"/>
  <c r="DL30" i="1"/>
  <c r="DM30" i="1"/>
  <c r="I31" i="1"/>
  <c r="J31" i="1"/>
  <c r="K31" i="1"/>
  <c r="L31" i="1"/>
  <c r="M31" i="1"/>
  <c r="N31" i="1"/>
  <c r="P31" i="1" a="1"/>
  <c r="P31" i="1" s="1"/>
  <c r="Q31" i="1" s="1"/>
  <c r="S31" i="1"/>
  <c r="T31" i="1" s="1"/>
  <c r="V31" i="1" a="1"/>
  <c r="V31" i="1" s="1"/>
  <c r="Y31" i="1" a="1"/>
  <c r="Y31" i="1" s="1"/>
  <c r="Z31" i="1" a="1"/>
  <c r="Z31" i="1" s="1"/>
  <c r="AA31" i="1" a="1"/>
  <c r="AA31" i="1" s="1"/>
  <c r="AJ31" i="1"/>
  <c r="AK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H31" i="1"/>
  <c r="CI31" i="1"/>
  <c r="CJ31" i="1"/>
  <c r="CK31" i="1"/>
  <c r="CQ31" i="1" s="1"/>
  <c r="CL31" i="1"/>
  <c r="CR31" i="1" s="1"/>
  <c r="CP31" i="1"/>
  <c r="DD31" i="1"/>
  <c r="DE31" i="1"/>
  <c r="DF31" i="1"/>
  <c r="DG31" i="1"/>
  <c r="DH31" i="1"/>
  <c r="DI31" i="1"/>
  <c r="DJ31" i="1"/>
  <c r="DK31" i="1"/>
  <c r="DL31" i="1"/>
  <c r="DM31" i="1"/>
  <c r="I32" i="1"/>
  <c r="J32" i="1"/>
  <c r="K32" i="1"/>
  <c r="L32" i="1"/>
  <c r="M32" i="1"/>
  <c r="N32" i="1"/>
  <c r="P32" i="1" a="1"/>
  <c r="P32" i="1" s="1"/>
  <c r="Q32" i="1" s="1"/>
  <c r="S32" i="1"/>
  <c r="T32" i="1" s="1"/>
  <c r="V32" i="1" a="1"/>
  <c r="V32" i="1" s="1"/>
  <c r="W32" i="1" s="1"/>
  <c r="Y32" i="1" a="1"/>
  <c r="Y32" i="1" s="1"/>
  <c r="Z32" i="1" a="1"/>
  <c r="Z32" i="1" s="1"/>
  <c r="AA32" i="1" a="1"/>
  <c r="AA32" i="1" s="1"/>
  <c r="AJ32" i="1"/>
  <c r="AK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H32" i="1"/>
  <c r="CI32" i="1"/>
  <c r="CO32" i="1" s="1"/>
  <c r="CJ32" i="1"/>
  <c r="CP32" i="1" s="1"/>
  <c r="CK32" i="1"/>
  <c r="CQ32" i="1" s="1"/>
  <c r="CL32" i="1"/>
  <c r="CR32" i="1" s="1"/>
  <c r="DD32" i="1"/>
  <c r="DE32" i="1"/>
  <c r="DF32" i="1"/>
  <c r="DG32" i="1"/>
  <c r="DH32" i="1"/>
  <c r="DI32" i="1"/>
  <c r="DJ32" i="1"/>
  <c r="DK32" i="1"/>
  <c r="DL32" i="1"/>
  <c r="DM32" i="1"/>
  <c r="I33" i="1"/>
  <c r="J33" i="1"/>
  <c r="K33" i="1"/>
  <c r="L33" i="1"/>
  <c r="M33" i="1"/>
  <c r="N33" i="1"/>
  <c r="P33" i="1" a="1"/>
  <c r="P33" i="1" s="1"/>
  <c r="Q33" i="1" s="1"/>
  <c r="S33" i="1"/>
  <c r="T33" i="1" s="1"/>
  <c r="V33" i="1" a="1"/>
  <c r="V33" i="1" s="1"/>
  <c r="Y33" i="1" a="1"/>
  <c r="Y33" i="1" s="1"/>
  <c r="Z33" i="1" a="1"/>
  <c r="Z33" i="1" s="1"/>
  <c r="AA33" i="1" a="1"/>
  <c r="AA33" i="1" s="1"/>
  <c r="AJ33" i="1"/>
  <c r="AK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H33" i="1"/>
  <c r="CI33" i="1"/>
  <c r="CJ33" i="1"/>
  <c r="CP33" i="1" s="1"/>
  <c r="CK33" i="1"/>
  <c r="CQ33" i="1" s="1"/>
  <c r="CL33" i="1"/>
  <c r="DD33" i="1"/>
  <c r="DE33" i="1"/>
  <c r="DF33" i="1"/>
  <c r="DG33" i="1"/>
  <c r="DH33" i="1"/>
  <c r="DI33" i="1"/>
  <c r="DJ33" i="1"/>
  <c r="DK33" i="1"/>
  <c r="DL33" i="1"/>
  <c r="DM33" i="1"/>
  <c r="I34" i="1"/>
  <c r="J34" i="1"/>
  <c r="K34" i="1"/>
  <c r="L34" i="1"/>
  <c r="M34" i="1"/>
  <c r="N34" i="1"/>
  <c r="P34" i="1" a="1"/>
  <c r="P34" i="1" s="1"/>
  <c r="Q34" i="1" s="1"/>
  <c r="S34" i="1"/>
  <c r="T34" i="1" s="1"/>
  <c r="V34" i="1" a="1"/>
  <c r="V34" i="1"/>
  <c r="W34" i="1" s="1"/>
  <c r="Y34" i="1" a="1"/>
  <c r="Y34" i="1" s="1"/>
  <c r="Z34" i="1" a="1"/>
  <c r="Z34" i="1" s="1"/>
  <c r="AA34" i="1" a="1"/>
  <c r="AA34" i="1" s="1"/>
  <c r="AJ34" i="1"/>
  <c r="AK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H34" i="1"/>
  <c r="CI34" i="1"/>
  <c r="CO34" i="1" s="1"/>
  <c r="CJ34" i="1"/>
  <c r="CP34" i="1" s="1"/>
  <c r="CK34" i="1"/>
  <c r="CQ34" i="1" s="1"/>
  <c r="CL34" i="1"/>
  <c r="CR34" i="1" s="1"/>
  <c r="DD34" i="1"/>
  <c r="DE34" i="1"/>
  <c r="DF34" i="1"/>
  <c r="DG34" i="1"/>
  <c r="DH34" i="1"/>
  <c r="DI34" i="1"/>
  <c r="DJ34" i="1"/>
  <c r="DK34" i="1"/>
  <c r="DL34" i="1"/>
  <c r="DM34" i="1"/>
  <c r="I35" i="1"/>
  <c r="J35" i="1"/>
  <c r="K35" i="1"/>
  <c r="L35" i="1"/>
  <c r="M35" i="1"/>
  <c r="N35" i="1"/>
  <c r="P35" i="1" a="1"/>
  <c r="P35" i="1" s="1"/>
  <c r="Q35" i="1" s="1"/>
  <c r="S35" i="1"/>
  <c r="T35" i="1" s="1"/>
  <c r="V35" i="1" a="1"/>
  <c r="V35" i="1" s="1"/>
  <c r="W35" i="1" s="1"/>
  <c r="Y35" i="1" a="1"/>
  <c r="Y35" i="1" s="1"/>
  <c r="Z35" i="1" a="1"/>
  <c r="Z35" i="1" s="1"/>
  <c r="AA35" i="1" a="1"/>
  <c r="AA35" i="1" s="1"/>
  <c r="AJ35" i="1"/>
  <c r="AK35" i="1"/>
  <c r="AL35" i="1" s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H35" i="1"/>
  <c r="CI35" i="1"/>
  <c r="CO35" i="1" s="1"/>
  <c r="CJ35" i="1"/>
  <c r="CP35" i="1" s="1"/>
  <c r="CK35" i="1"/>
  <c r="CQ35" i="1" s="1"/>
  <c r="CL35" i="1"/>
  <c r="CR35" i="1"/>
  <c r="DD35" i="1"/>
  <c r="DE35" i="1"/>
  <c r="DF35" i="1"/>
  <c r="DG35" i="1"/>
  <c r="DH35" i="1"/>
  <c r="DI35" i="1"/>
  <c r="DJ35" i="1"/>
  <c r="DK35" i="1"/>
  <c r="DL35" i="1"/>
  <c r="DM35" i="1"/>
  <c r="I36" i="1"/>
  <c r="J36" i="1"/>
  <c r="K36" i="1"/>
  <c r="L36" i="1"/>
  <c r="M36" i="1"/>
  <c r="N36" i="1"/>
  <c r="P36" i="1" a="1"/>
  <c r="P36" i="1" s="1"/>
  <c r="S36" i="1"/>
  <c r="T36" i="1"/>
  <c r="V36" i="1" a="1"/>
  <c r="V36" i="1" s="1"/>
  <c r="W36" i="1" s="1"/>
  <c r="Y36" i="1" a="1"/>
  <c r="Y36" i="1" s="1"/>
  <c r="Z36" i="1" a="1"/>
  <c r="Z36" i="1" s="1"/>
  <c r="AA36" i="1" a="1"/>
  <c r="AA36" i="1" s="1"/>
  <c r="AJ36" i="1"/>
  <c r="AK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H36" i="1"/>
  <c r="CI36" i="1"/>
  <c r="CO36" i="1" s="1"/>
  <c r="CJ36" i="1"/>
  <c r="CP36" i="1" s="1"/>
  <c r="CK36" i="1"/>
  <c r="CQ36" i="1" s="1"/>
  <c r="CL36" i="1"/>
  <c r="CR36" i="1"/>
  <c r="DD36" i="1"/>
  <c r="DE36" i="1"/>
  <c r="DF36" i="1"/>
  <c r="DG36" i="1"/>
  <c r="DH36" i="1"/>
  <c r="DI36" i="1"/>
  <c r="DJ36" i="1"/>
  <c r="DK36" i="1"/>
  <c r="DL36" i="1"/>
  <c r="DM36" i="1"/>
  <c r="I37" i="1"/>
  <c r="J37" i="1"/>
  <c r="K37" i="1"/>
  <c r="L37" i="1"/>
  <c r="M37" i="1"/>
  <c r="N37" i="1"/>
  <c r="P37" i="1" a="1"/>
  <c r="P37" i="1" s="1"/>
  <c r="Q37" i="1" s="1"/>
  <c r="S37" i="1"/>
  <c r="T37" i="1" s="1"/>
  <c r="V37" i="1" a="1"/>
  <c r="V37" i="1" s="1"/>
  <c r="W37" i="1" s="1"/>
  <c r="Y37" i="1" a="1"/>
  <c r="Y37" i="1" s="1"/>
  <c r="Z37" i="1" a="1"/>
  <c r="Z37" i="1" s="1"/>
  <c r="AA37" i="1" a="1"/>
  <c r="AA37" i="1" s="1"/>
  <c r="AJ37" i="1"/>
  <c r="AK37" i="1"/>
  <c r="AL37" i="1" s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H37" i="1"/>
  <c r="CN37" i="1" s="1"/>
  <c r="CI37" i="1"/>
  <c r="CO37" i="1" s="1"/>
  <c r="CJ37" i="1"/>
  <c r="CP37" i="1" s="1"/>
  <c r="CK37" i="1"/>
  <c r="CQ37" i="1" s="1"/>
  <c r="CL37" i="1"/>
  <c r="CR37" i="1" s="1"/>
  <c r="DD37" i="1"/>
  <c r="DE37" i="1"/>
  <c r="DF37" i="1"/>
  <c r="DG37" i="1"/>
  <c r="DH37" i="1"/>
  <c r="DI37" i="1"/>
  <c r="DJ37" i="1"/>
  <c r="DK37" i="1"/>
  <c r="DL37" i="1"/>
  <c r="DM37" i="1"/>
  <c r="I38" i="1"/>
  <c r="J38" i="1"/>
  <c r="K38" i="1"/>
  <c r="L38" i="1"/>
  <c r="M38" i="1"/>
  <c r="N38" i="1"/>
  <c r="P38" i="1" a="1"/>
  <c r="P38" i="1" s="1"/>
  <c r="S38" i="1"/>
  <c r="T38" i="1" s="1"/>
  <c r="V38" i="1" a="1"/>
  <c r="V38" i="1" s="1"/>
  <c r="W38" i="1" s="1"/>
  <c r="Y38" i="1" a="1"/>
  <c r="Y38" i="1" s="1"/>
  <c r="Z38" i="1" a="1"/>
  <c r="Z38" i="1" s="1"/>
  <c r="AA38" i="1" a="1"/>
  <c r="AA38" i="1" s="1"/>
  <c r="AJ38" i="1"/>
  <c r="AK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H38" i="1"/>
  <c r="CI38" i="1"/>
  <c r="CO38" i="1" s="1"/>
  <c r="CJ38" i="1"/>
  <c r="CP38" i="1" s="1"/>
  <c r="CK38" i="1"/>
  <c r="CQ38" i="1" s="1"/>
  <c r="CL38" i="1"/>
  <c r="CR38" i="1" s="1"/>
  <c r="DD38" i="1"/>
  <c r="DE38" i="1"/>
  <c r="DF38" i="1"/>
  <c r="DG38" i="1"/>
  <c r="DH38" i="1"/>
  <c r="DI38" i="1"/>
  <c r="DJ38" i="1"/>
  <c r="DK38" i="1"/>
  <c r="DL38" i="1"/>
  <c r="DM38" i="1"/>
  <c r="I39" i="1"/>
  <c r="J39" i="1"/>
  <c r="K39" i="1"/>
  <c r="L39" i="1"/>
  <c r="M39" i="1"/>
  <c r="N39" i="1"/>
  <c r="P39" i="1" a="1"/>
  <c r="P39" i="1" s="1"/>
  <c r="S39" i="1"/>
  <c r="T39" i="1" s="1"/>
  <c r="V39" i="1" a="1"/>
  <c r="V39" i="1" s="1"/>
  <c r="W39" i="1" s="1"/>
  <c r="Y39" i="1" a="1"/>
  <c r="Y39" i="1" s="1"/>
  <c r="Z39" i="1" a="1"/>
  <c r="Z39" i="1" s="1"/>
  <c r="AA39" i="1" a="1"/>
  <c r="AA39" i="1" s="1"/>
  <c r="AJ39" i="1"/>
  <c r="AK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H39" i="1"/>
  <c r="CI39" i="1"/>
  <c r="CO39" i="1" s="1"/>
  <c r="CJ39" i="1"/>
  <c r="CP39" i="1" s="1"/>
  <c r="CK39" i="1"/>
  <c r="CQ39" i="1" s="1"/>
  <c r="CL39" i="1"/>
  <c r="CR39" i="1" s="1"/>
  <c r="DD39" i="1"/>
  <c r="DE39" i="1"/>
  <c r="DF39" i="1"/>
  <c r="DG39" i="1"/>
  <c r="DH39" i="1"/>
  <c r="DI39" i="1"/>
  <c r="DJ39" i="1"/>
  <c r="DK39" i="1"/>
  <c r="DL39" i="1"/>
  <c r="DM39" i="1"/>
  <c r="I40" i="1"/>
  <c r="J40" i="1"/>
  <c r="K40" i="1"/>
  <c r="L40" i="1"/>
  <c r="M40" i="1"/>
  <c r="N40" i="1"/>
  <c r="P40" i="1" a="1"/>
  <c r="P40" i="1" s="1"/>
  <c r="S40" i="1"/>
  <c r="T40" i="1" s="1"/>
  <c r="V40" i="1" a="1"/>
  <c r="V40" i="1" s="1"/>
  <c r="W40" i="1" s="1"/>
  <c r="Y40" i="1" a="1"/>
  <c r="Y40" i="1" s="1"/>
  <c r="Z40" i="1" a="1"/>
  <c r="Z40" i="1" s="1"/>
  <c r="AA40" i="1" a="1"/>
  <c r="AA40" i="1" s="1"/>
  <c r="AJ40" i="1"/>
  <c r="AK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H40" i="1"/>
  <c r="CI40" i="1"/>
  <c r="CO40" i="1" s="1"/>
  <c r="CJ40" i="1"/>
  <c r="CP40" i="1" s="1"/>
  <c r="CK40" i="1"/>
  <c r="CL40" i="1"/>
  <c r="CR40" i="1" s="1"/>
  <c r="DD40" i="1"/>
  <c r="DE40" i="1"/>
  <c r="DF40" i="1"/>
  <c r="DG40" i="1"/>
  <c r="DH40" i="1"/>
  <c r="DI40" i="1"/>
  <c r="DJ40" i="1"/>
  <c r="DK40" i="1"/>
  <c r="DL40" i="1"/>
  <c r="DM40" i="1"/>
  <c r="I41" i="1"/>
  <c r="J41" i="1"/>
  <c r="K41" i="1"/>
  <c r="L41" i="1"/>
  <c r="M41" i="1"/>
  <c r="N41" i="1"/>
  <c r="P41" i="1" a="1"/>
  <c r="P41" i="1" s="1"/>
  <c r="S41" i="1"/>
  <c r="T41" i="1" s="1"/>
  <c r="V41" i="1" a="1"/>
  <c r="V41" i="1" s="1"/>
  <c r="W41" i="1" s="1"/>
  <c r="Y41" i="1" a="1"/>
  <c r="Y41" i="1" s="1"/>
  <c r="Z41" i="1" a="1"/>
  <c r="Z41" i="1" s="1"/>
  <c r="AA41" i="1" a="1"/>
  <c r="AA41" i="1" s="1"/>
  <c r="AJ41" i="1"/>
  <c r="AK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H41" i="1"/>
  <c r="CI41" i="1"/>
  <c r="CO41" i="1" s="1"/>
  <c r="CJ41" i="1"/>
  <c r="CP41" i="1" s="1"/>
  <c r="CK41" i="1"/>
  <c r="CQ41" i="1" s="1"/>
  <c r="CL41" i="1"/>
  <c r="CR41" i="1" s="1"/>
  <c r="DD41" i="1"/>
  <c r="DE41" i="1"/>
  <c r="DF41" i="1"/>
  <c r="DG41" i="1"/>
  <c r="DH41" i="1"/>
  <c r="DI41" i="1"/>
  <c r="DJ41" i="1"/>
  <c r="DK41" i="1"/>
  <c r="DL41" i="1"/>
  <c r="DM41" i="1"/>
  <c r="I42" i="1"/>
  <c r="J42" i="1"/>
  <c r="K42" i="1"/>
  <c r="L42" i="1"/>
  <c r="M42" i="1"/>
  <c r="N42" i="1"/>
  <c r="P42" i="1" a="1"/>
  <c r="P42" i="1" s="1"/>
  <c r="S42" i="1"/>
  <c r="T42" i="1" s="1"/>
  <c r="V42" i="1" a="1"/>
  <c r="V42" i="1" s="1"/>
  <c r="W42" i="1" s="1"/>
  <c r="Y42" i="1" a="1"/>
  <c r="Y42" i="1" s="1"/>
  <c r="Z42" i="1" a="1"/>
  <c r="Z42" i="1" s="1"/>
  <c r="AA42" i="1" a="1"/>
  <c r="AA42" i="1" s="1"/>
  <c r="AJ42" i="1"/>
  <c r="AK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H42" i="1"/>
  <c r="CI42" i="1"/>
  <c r="CO42" i="1" s="1"/>
  <c r="CJ42" i="1"/>
  <c r="CP42" i="1" s="1"/>
  <c r="CK42" i="1"/>
  <c r="CL42" i="1"/>
  <c r="CR42" i="1" s="1"/>
  <c r="DD42" i="1"/>
  <c r="DE42" i="1"/>
  <c r="DF42" i="1"/>
  <c r="DG42" i="1"/>
  <c r="DH42" i="1"/>
  <c r="DI42" i="1"/>
  <c r="DJ42" i="1"/>
  <c r="DK42" i="1"/>
  <c r="DL42" i="1"/>
  <c r="DM42" i="1"/>
  <c r="I43" i="1"/>
  <c r="J43" i="1"/>
  <c r="K43" i="1"/>
  <c r="L43" i="1"/>
  <c r="M43" i="1"/>
  <c r="N43" i="1"/>
  <c r="P43" i="1" a="1"/>
  <c r="P43" i="1" s="1"/>
  <c r="S43" i="1"/>
  <c r="T43" i="1" s="1"/>
  <c r="V43" i="1" a="1"/>
  <c r="V43" i="1" s="1"/>
  <c r="W43" i="1" s="1"/>
  <c r="Y43" i="1" a="1"/>
  <c r="Y43" i="1" s="1"/>
  <c r="Z43" i="1" a="1"/>
  <c r="Z43" i="1" s="1"/>
  <c r="AA43" i="1" a="1"/>
  <c r="AA43" i="1" s="1"/>
  <c r="AJ43" i="1"/>
  <c r="AK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H43" i="1"/>
  <c r="DO43" i="1" s="1" a="1"/>
  <c r="DO43" i="1" s="1"/>
  <c r="CI43" i="1"/>
  <c r="CO43" i="1" s="1"/>
  <c r="CJ43" i="1"/>
  <c r="CK43" i="1"/>
  <c r="DR43" i="1" s="1" a="1"/>
  <c r="DR43" i="1" s="1"/>
  <c r="CL43" i="1"/>
  <c r="CR43" i="1" s="1"/>
  <c r="CP43" i="1"/>
  <c r="DD43" i="1"/>
  <c r="DE43" i="1"/>
  <c r="DF43" i="1"/>
  <c r="DG43" i="1"/>
  <c r="DH43" i="1"/>
  <c r="DI43" i="1"/>
  <c r="DJ43" i="1"/>
  <c r="DK43" i="1"/>
  <c r="DL43" i="1"/>
  <c r="DM43" i="1"/>
  <c r="DQ43" i="1" a="1"/>
  <c r="DQ43" i="1" s="1"/>
  <c r="I44" i="1"/>
  <c r="J44" i="1"/>
  <c r="K44" i="1"/>
  <c r="L44" i="1"/>
  <c r="M44" i="1"/>
  <c r="N44" i="1"/>
  <c r="P44" i="1" a="1"/>
  <c r="P44" i="1" s="1"/>
  <c r="Q44" i="1" s="1"/>
  <c r="S44" i="1"/>
  <c r="T44" i="1" s="1"/>
  <c r="V44" i="1" a="1"/>
  <c r="V44" i="1" s="1"/>
  <c r="W44" i="1" s="1"/>
  <c r="Y44" i="1" a="1"/>
  <c r="Y44" i="1" s="1"/>
  <c r="Z44" i="1" a="1"/>
  <c r="Z44" i="1" s="1"/>
  <c r="AA44" i="1" a="1"/>
  <c r="AA44" i="1" s="1"/>
  <c r="AC44" i="1" a="1"/>
  <c r="AC44" i="1" s="1"/>
  <c r="AD44" i="1" a="1"/>
  <c r="AD44" i="1" s="1"/>
  <c r="AE44" i="1" a="1"/>
  <c r="AE44" i="1" s="1"/>
  <c r="AF44" i="1" a="1"/>
  <c r="AF44" i="1" s="1"/>
  <c r="AG44" i="1" a="1"/>
  <c r="AG44" i="1" s="1"/>
  <c r="AH44" i="1" a="1"/>
  <c r="AH44" i="1" s="1"/>
  <c r="AJ44" i="1"/>
  <c r="AK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H44" i="1"/>
  <c r="DO44" i="1" s="1" a="1"/>
  <c r="DO44" i="1" s="1"/>
  <c r="CI44" i="1"/>
  <c r="CJ44" i="1"/>
  <c r="DQ44" i="1" s="1" a="1"/>
  <c r="DQ44" i="1" s="1"/>
  <c r="CK44" i="1"/>
  <c r="DR44" i="1" s="1" a="1"/>
  <c r="DR44" i="1" s="1"/>
  <c r="CL44" i="1"/>
  <c r="CR44" i="1" s="1"/>
  <c r="DD44" i="1"/>
  <c r="DE44" i="1"/>
  <c r="DF44" i="1"/>
  <c r="DG44" i="1"/>
  <c r="DH44" i="1"/>
  <c r="DI44" i="1"/>
  <c r="DJ44" i="1"/>
  <c r="DK44" i="1"/>
  <c r="DL44" i="1"/>
  <c r="DM44" i="1"/>
  <c r="I45" i="1"/>
  <c r="J45" i="1"/>
  <c r="K45" i="1"/>
  <c r="L45" i="1"/>
  <c r="M45" i="1"/>
  <c r="N45" i="1"/>
  <c r="P45" i="1" a="1"/>
  <c r="P45" i="1" s="1"/>
  <c r="S45" i="1"/>
  <c r="T45" i="1" s="1"/>
  <c r="V45" i="1" a="1"/>
  <c r="V45" i="1" s="1"/>
  <c r="W45" i="1" s="1"/>
  <c r="Y45" i="1" a="1"/>
  <c r="Y45" i="1" s="1"/>
  <c r="Z45" i="1" a="1"/>
  <c r="Z45" i="1" s="1"/>
  <c r="AA45" i="1" a="1"/>
  <c r="AA45" i="1" s="1"/>
  <c r="AC45" i="1" a="1"/>
  <c r="AC45" i="1" s="1"/>
  <c r="AD45" i="1" a="1"/>
  <c r="AD45" i="1" s="1"/>
  <c r="AE45" i="1" a="1"/>
  <c r="AE45" i="1" s="1"/>
  <c r="AF45" i="1" a="1"/>
  <c r="AF45" i="1" s="1"/>
  <c r="AG45" i="1" a="1"/>
  <c r="AG45" i="1" s="1"/>
  <c r="AH45" i="1" a="1"/>
  <c r="AH45" i="1" s="1"/>
  <c r="AJ45" i="1"/>
  <c r="AK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H45" i="1"/>
  <c r="DO45" i="1" s="1" a="1"/>
  <c r="DO45" i="1" s="1"/>
  <c r="CI45" i="1"/>
  <c r="DP45" i="1" s="1" a="1"/>
  <c r="DP45" i="1" s="1"/>
  <c r="CJ45" i="1"/>
  <c r="CP45" i="1" s="1"/>
  <c r="CK45" i="1"/>
  <c r="CL45" i="1"/>
  <c r="CR45" i="1" s="1"/>
  <c r="DD45" i="1"/>
  <c r="DE45" i="1"/>
  <c r="DF45" i="1"/>
  <c r="DG45" i="1"/>
  <c r="DH45" i="1"/>
  <c r="DI45" i="1"/>
  <c r="DJ45" i="1"/>
  <c r="DK45" i="1"/>
  <c r="DL45" i="1"/>
  <c r="DM45" i="1"/>
  <c r="DS45" i="1" a="1"/>
  <c r="DS45" i="1" s="1"/>
  <c r="I46" i="1"/>
  <c r="J46" i="1"/>
  <c r="K46" i="1"/>
  <c r="L46" i="1"/>
  <c r="M46" i="1"/>
  <c r="N46" i="1"/>
  <c r="P46" i="1" a="1"/>
  <c r="P46" i="1" s="1"/>
  <c r="Q46" i="1" s="1"/>
  <c r="S46" i="1"/>
  <c r="T46" i="1" s="1"/>
  <c r="V46" i="1" a="1"/>
  <c r="V46" i="1" s="1"/>
  <c r="W46" i="1" s="1"/>
  <c r="Y46" i="1" a="1"/>
  <c r="Y46" i="1" s="1"/>
  <c r="Z46" i="1" a="1"/>
  <c r="Z46" i="1" s="1"/>
  <c r="AA46" i="1" a="1"/>
  <c r="AA46" i="1" s="1"/>
  <c r="AC46" i="1" a="1"/>
  <c r="AC46" i="1" s="1"/>
  <c r="AD46" i="1" a="1"/>
  <c r="AD46" i="1" s="1"/>
  <c r="AE46" i="1" a="1"/>
  <c r="AE46" i="1" s="1"/>
  <c r="AF46" i="1" a="1"/>
  <c r="AF46" i="1" s="1"/>
  <c r="AG46" i="1" a="1"/>
  <c r="AG46" i="1" s="1"/>
  <c r="AH46" i="1" a="1"/>
  <c r="AH46" i="1" s="1"/>
  <c r="AJ46" i="1"/>
  <c r="AK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H46" i="1"/>
  <c r="CN46" i="1" s="1"/>
  <c r="CI46" i="1"/>
  <c r="CJ46" i="1"/>
  <c r="DQ46" i="1" s="1" a="1"/>
  <c r="DQ46" i="1" s="1"/>
  <c r="CK46" i="1"/>
  <c r="CQ46" i="1" s="1"/>
  <c r="CL46" i="1"/>
  <c r="DS46" i="1" s="1" a="1"/>
  <c r="DS46" i="1" s="1"/>
  <c r="DD46" i="1"/>
  <c r="DE46" i="1"/>
  <c r="DF46" i="1"/>
  <c r="DG46" i="1"/>
  <c r="DH46" i="1"/>
  <c r="DI46" i="1"/>
  <c r="DJ46" i="1"/>
  <c r="DK46" i="1"/>
  <c r="DL46" i="1"/>
  <c r="DM46" i="1"/>
  <c r="I47" i="1"/>
  <c r="J47" i="1"/>
  <c r="K47" i="1"/>
  <c r="L47" i="1"/>
  <c r="M47" i="1"/>
  <c r="N47" i="1"/>
  <c r="P47" i="1" a="1"/>
  <c r="P47" i="1" s="1"/>
  <c r="S47" i="1"/>
  <c r="T47" i="1" s="1"/>
  <c r="V47" i="1" a="1"/>
  <c r="V47" i="1" s="1"/>
  <c r="W47" i="1" s="1"/>
  <c r="Y47" i="1" a="1"/>
  <c r="Y47" i="1" s="1"/>
  <c r="Z47" i="1" a="1"/>
  <c r="Z47" i="1" s="1"/>
  <c r="AA47" i="1" a="1"/>
  <c r="AA47" i="1" s="1"/>
  <c r="AC47" i="1" a="1"/>
  <c r="AC47" i="1" s="1"/>
  <c r="AD47" i="1" a="1"/>
  <c r="AD47" i="1" s="1"/>
  <c r="AE47" i="1" a="1"/>
  <c r="AE47" i="1" s="1"/>
  <c r="AF47" i="1" a="1"/>
  <c r="AF47" i="1" s="1"/>
  <c r="AG47" i="1" a="1"/>
  <c r="AG47" i="1" s="1"/>
  <c r="AH47" i="1" a="1"/>
  <c r="AH47" i="1" s="1"/>
  <c r="AJ47" i="1"/>
  <c r="AK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H47" i="1"/>
  <c r="CI47" i="1"/>
  <c r="CO47" i="1" s="1"/>
  <c r="CJ47" i="1"/>
  <c r="CP47" i="1" s="1"/>
  <c r="CK47" i="1"/>
  <c r="DR47" i="1" s="1" a="1"/>
  <c r="DR47" i="1" s="1"/>
  <c r="CL47" i="1"/>
  <c r="CR47" i="1" s="1"/>
  <c r="CQ47" i="1"/>
  <c r="DD47" i="1"/>
  <c r="DE47" i="1"/>
  <c r="DF47" i="1"/>
  <c r="DG47" i="1"/>
  <c r="DH47" i="1"/>
  <c r="DI47" i="1"/>
  <c r="DJ47" i="1"/>
  <c r="DK47" i="1"/>
  <c r="DL47" i="1"/>
  <c r="DM47" i="1"/>
  <c r="DQ47" i="1" a="1"/>
  <c r="DQ47" i="1" s="1"/>
  <c r="DS47" i="1" a="1"/>
  <c r="DS47" i="1" s="1"/>
  <c r="I48" i="1"/>
  <c r="J48" i="1"/>
  <c r="K48" i="1"/>
  <c r="L48" i="1"/>
  <c r="M48" i="1"/>
  <c r="N48" i="1"/>
  <c r="P48" i="1" a="1"/>
  <c r="P48" i="1" s="1"/>
  <c r="Q48" i="1" s="1"/>
  <c r="S48" i="1"/>
  <c r="T48" i="1" s="1"/>
  <c r="V48" i="1" a="1"/>
  <c r="V48" i="1" s="1"/>
  <c r="W48" i="1" s="1"/>
  <c r="Y48" i="1" a="1"/>
  <c r="Y48" i="1" s="1"/>
  <c r="Z48" i="1" a="1"/>
  <c r="Z48" i="1" s="1"/>
  <c r="AA48" i="1" a="1"/>
  <c r="AA48" i="1" s="1"/>
  <c r="AC48" i="1" a="1"/>
  <c r="AC48" i="1" s="1"/>
  <c r="AD48" i="1" a="1"/>
  <c r="AD48" i="1" s="1"/>
  <c r="AE48" i="1" a="1"/>
  <c r="AE48" i="1" s="1"/>
  <c r="AF48" i="1" a="1"/>
  <c r="AF48" i="1" s="1"/>
  <c r="AG48" i="1" a="1"/>
  <c r="AG48" i="1" s="1"/>
  <c r="AH48" i="1" a="1"/>
  <c r="AH48" i="1" s="1"/>
  <c r="AJ48" i="1"/>
  <c r="AK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H48" i="1"/>
  <c r="DO48" i="1" s="1" a="1"/>
  <c r="DO48" i="1" s="1"/>
  <c r="CI48" i="1"/>
  <c r="CJ48" i="1"/>
  <c r="DQ48" i="1" s="1" a="1"/>
  <c r="DQ48" i="1" s="1"/>
  <c r="CK48" i="1"/>
  <c r="CQ48" i="1" s="1"/>
  <c r="CL48" i="1"/>
  <c r="DS48" i="1" s="1" a="1"/>
  <c r="DS48" i="1" s="1"/>
  <c r="DD48" i="1"/>
  <c r="DE48" i="1"/>
  <c r="DF48" i="1"/>
  <c r="DG48" i="1"/>
  <c r="DH48" i="1"/>
  <c r="DI48" i="1"/>
  <c r="DJ48" i="1"/>
  <c r="DK48" i="1"/>
  <c r="DL48" i="1"/>
  <c r="DM48" i="1"/>
  <c r="I49" i="1"/>
  <c r="J49" i="1"/>
  <c r="K49" i="1"/>
  <c r="L49" i="1"/>
  <c r="M49" i="1"/>
  <c r="N49" i="1"/>
  <c r="P49" i="1" a="1"/>
  <c r="P49" i="1" s="1"/>
  <c r="S49" i="1"/>
  <c r="T49" i="1" s="1"/>
  <c r="V49" i="1" a="1"/>
  <c r="V49" i="1" s="1"/>
  <c r="W49" i="1" s="1"/>
  <c r="Y49" i="1" a="1"/>
  <c r="Y49" i="1" s="1"/>
  <c r="Z49" i="1" a="1"/>
  <c r="Z49" i="1" s="1"/>
  <c r="AA49" i="1" a="1"/>
  <c r="AA49" i="1" s="1"/>
  <c r="AC49" i="1" a="1"/>
  <c r="AC49" i="1" s="1"/>
  <c r="AD49" i="1" a="1"/>
  <c r="AD49" i="1" s="1"/>
  <c r="AE49" i="1" a="1"/>
  <c r="AE49" i="1" s="1"/>
  <c r="AF49" i="1" a="1"/>
  <c r="AF49" i="1" s="1"/>
  <c r="AG49" i="1" a="1"/>
  <c r="AG49" i="1" s="1"/>
  <c r="AH49" i="1" a="1"/>
  <c r="AH49" i="1" s="1"/>
  <c r="AJ49" i="1"/>
  <c r="AK49" i="1"/>
  <c r="AL49" i="1" s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H49" i="1"/>
  <c r="CI49" i="1"/>
  <c r="DP49" i="1" s="1" a="1"/>
  <c r="DP49" i="1" s="1"/>
  <c r="CJ49" i="1"/>
  <c r="CK49" i="1"/>
  <c r="CQ49" i="1" s="1"/>
  <c r="CL49" i="1"/>
  <c r="DS49" i="1" s="1" a="1"/>
  <c r="DS49" i="1" s="1"/>
  <c r="CP49" i="1"/>
  <c r="DD49" i="1"/>
  <c r="DE49" i="1"/>
  <c r="DF49" i="1"/>
  <c r="DG49" i="1"/>
  <c r="DH49" i="1"/>
  <c r="DI49" i="1"/>
  <c r="DJ49" i="1"/>
  <c r="DK49" i="1"/>
  <c r="DL49" i="1"/>
  <c r="DM49" i="1"/>
  <c r="DQ49" i="1" a="1"/>
  <c r="DQ49" i="1" s="1"/>
  <c r="I50" i="1"/>
  <c r="J50" i="1"/>
  <c r="K50" i="1"/>
  <c r="L50" i="1"/>
  <c r="M50" i="1"/>
  <c r="N50" i="1"/>
  <c r="P50" i="1" a="1"/>
  <c r="P50" i="1" s="1"/>
  <c r="S50" i="1"/>
  <c r="T50" i="1" s="1"/>
  <c r="V50" i="1" a="1"/>
  <c r="V50" i="1" s="1"/>
  <c r="W50" i="1" s="1"/>
  <c r="Y50" i="1" a="1"/>
  <c r="Y50" i="1" s="1"/>
  <c r="Z50" i="1" a="1"/>
  <c r="Z50" i="1" s="1"/>
  <c r="AA50" i="1" a="1"/>
  <c r="AA50" i="1" s="1"/>
  <c r="AC50" i="1" a="1"/>
  <c r="AC50" i="1" s="1"/>
  <c r="AD50" i="1" a="1"/>
  <c r="AD50" i="1" s="1"/>
  <c r="AE50" i="1" a="1"/>
  <c r="AE50" i="1" s="1"/>
  <c r="AF50" i="1" a="1"/>
  <c r="AF50" i="1" s="1"/>
  <c r="AG50" i="1" a="1"/>
  <c r="AG50" i="1" s="1"/>
  <c r="AH50" i="1" a="1"/>
  <c r="AH50" i="1" s="1"/>
  <c r="AJ50" i="1"/>
  <c r="AK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H50" i="1"/>
  <c r="CN50" i="1" s="1"/>
  <c r="CI50" i="1"/>
  <c r="CO50" i="1" s="1"/>
  <c r="CJ50" i="1"/>
  <c r="CK50" i="1"/>
  <c r="CQ50" i="1" s="1"/>
  <c r="CL50" i="1"/>
  <c r="DS50" i="1" s="1" a="1"/>
  <c r="DS50" i="1" s="1"/>
  <c r="DD50" i="1"/>
  <c r="DE50" i="1"/>
  <c r="DF50" i="1"/>
  <c r="DG50" i="1"/>
  <c r="DH50" i="1"/>
  <c r="DI50" i="1"/>
  <c r="DJ50" i="1"/>
  <c r="DK50" i="1"/>
  <c r="DL50" i="1"/>
  <c r="DM50" i="1"/>
  <c r="DO50" i="1" a="1"/>
  <c r="DO50" i="1" s="1"/>
  <c r="I51" i="1"/>
  <c r="J51" i="1"/>
  <c r="K51" i="1"/>
  <c r="L51" i="1"/>
  <c r="M51" i="1"/>
  <c r="N51" i="1"/>
  <c r="P51" i="1" a="1"/>
  <c r="P51" i="1" s="1"/>
  <c r="S51" i="1"/>
  <c r="T51" i="1" s="1"/>
  <c r="V51" i="1" a="1"/>
  <c r="V51" i="1" s="1"/>
  <c r="W51" i="1" s="1"/>
  <c r="Y51" i="1" a="1"/>
  <c r="Y51" i="1" s="1"/>
  <c r="Z51" i="1" a="1"/>
  <c r="Z51" i="1" s="1"/>
  <c r="AA51" i="1" a="1"/>
  <c r="AA51" i="1" s="1"/>
  <c r="AC51" i="1" a="1"/>
  <c r="AC51" i="1"/>
  <c r="AD51" i="1" a="1"/>
  <c r="AD51" i="1" s="1"/>
  <c r="AE51" i="1" a="1"/>
  <c r="AE51" i="1" s="1"/>
  <c r="AF51" i="1" a="1"/>
  <c r="AF51" i="1" s="1"/>
  <c r="AG51" i="1" a="1"/>
  <c r="AG51" i="1" s="1"/>
  <c r="AH51" i="1" a="1"/>
  <c r="AH51" i="1" s="1"/>
  <c r="AJ51" i="1"/>
  <c r="AK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H51" i="1"/>
  <c r="DO51" i="1" s="1" a="1"/>
  <c r="DO51" i="1" s="1"/>
  <c r="CI51" i="1"/>
  <c r="CO51" i="1" s="1"/>
  <c r="CJ51" i="1"/>
  <c r="CK51" i="1"/>
  <c r="DR51" i="1" s="1" a="1"/>
  <c r="DR51" i="1" s="1"/>
  <c r="CL51" i="1"/>
  <c r="DS51" i="1" s="1" a="1"/>
  <c r="DS51" i="1" s="1"/>
  <c r="DD51" i="1"/>
  <c r="DE51" i="1"/>
  <c r="DF51" i="1"/>
  <c r="DG51" i="1"/>
  <c r="DH51" i="1"/>
  <c r="DI51" i="1"/>
  <c r="DJ51" i="1"/>
  <c r="DK51" i="1"/>
  <c r="DL51" i="1"/>
  <c r="DM51" i="1"/>
  <c r="I52" i="1"/>
  <c r="J52" i="1"/>
  <c r="K52" i="1"/>
  <c r="L52" i="1"/>
  <c r="M52" i="1"/>
  <c r="N52" i="1"/>
  <c r="P52" i="1" a="1"/>
  <c r="P52" i="1" s="1"/>
  <c r="S52" i="1"/>
  <c r="T52" i="1" s="1"/>
  <c r="V52" i="1" a="1"/>
  <c r="V52" i="1" s="1"/>
  <c r="W52" i="1" s="1"/>
  <c r="Y52" i="1" a="1"/>
  <c r="Y52" i="1" s="1"/>
  <c r="Z52" i="1" a="1"/>
  <c r="Z52" i="1" s="1"/>
  <c r="AA52" i="1" a="1"/>
  <c r="AA52" i="1" s="1"/>
  <c r="AC52" i="1" a="1"/>
  <c r="AC52" i="1" s="1"/>
  <c r="AD52" i="1" a="1"/>
  <c r="AD52" i="1" s="1"/>
  <c r="AE52" i="1" a="1"/>
  <c r="AE52" i="1" s="1"/>
  <c r="AF52" i="1" a="1"/>
  <c r="AF52" i="1" s="1"/>
  <c r="AG52" i="1" a="1"/>
  <c r="AG52" i="1" s="1"/>
  <c r="AH52" i="1" a="1"/>
  <c r="AH52" i="1" s="1"/>
  <c r="AJ52" i="1"/>
  <c r="AK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H52" i="1"/>
  <c r="CI52" i="1"/>
  <c r="CO52" i="1" s="1"/>
  <c r="CJ52" i="1"/>
  <c r="CK52" i="1"/>
  <c r="CL52" i="1"/>
  <c r="DS52" i="1" s="1" a="1"/>
  <c r="DS52" i="1" s="1"/>
  <c r="CP52" i="1"/>
  <c r="DD52" i="1"/>
  <c r="DE52" i="1"/>
  <c r="DF52" i="1"/>
  <c r="DG52" i="1"/>
  <c r="DH52" i="1"/>
  <c r="DI52" i="1"/>
  <c r="DJ52" i="1"/>
  <c r="DK52" i="1"/>
  <c r="DL52" i="1"/>
  <c r="DM52" i="1"/>
  <c r="DO52" i="1" a="1"/>
  <c r="DO52" i="1" s="1"/>
  <c r="DQ52" i="1" a="1"/>
  <c r="DQ52" i="1" s="1"/>
  <c r="I53" i="1"/>
  <c r="J53" i="1"/>
  <c r="K53" i="1"/>
  <c r="L53" i="1"/>
  <c r="M53" i="1"/>
  <c r="N53" i="1"/>
  <c r="P53" i="1" a="1"/>
  <c r="P53" i="1" s="1"/>
  <c r="S53" i="1"/>
  <c r="T53" i="1" s="1"/>
  <c r="V53" i="1" a="1"/>
  <c r="V53" i="1" s="1"/>
  <c r="W53" i="1" s="1"/>
  <c r="Y53" i="1" a="1"/>
  <c r="Y53" i="1" s="1"/>
  <c r="Z53" i="1" a="1"/>
  <c r="Z53" i="1" s="1"/>
  <c r="AA53" i="1" a="1"/>
  <c r="AA53" i="1" s="1"/>
  <c r="AC53" i="1" a="1"/>
  <c r="AC53" i="1" s="1"/>
  <c r="AD53" i="1" a="1"/>
  <c r="AD53" i="1" s="1"/>
  <c r="AE53" i="1" a="1"/>
  <c r="AE53" i="1" s="1"/>
  <c r="AF53" i="1" a="1"/>
  <c r="AF53" i="1" s="1"/>
  <c r="AG53" i="1" a="1"/>
  <c r="AG53" i="1" s="1"/>
  <c r="AH53" i="1" a="1"/>
  <c r="AH53" i="1" s="1"/>
  <c r="AJ53" i="1"/>
  <c r="AK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H53" i="1"/>
  <c r="CI53" i="1"/>
  <c r="CJ53" i="1"/>
  <c r="CP53" i="1" s="1"/>
  <c r="CK53" i="1"/>
  <c r="CQ53" i="1" s="1"/>
  <c r="CL53" i="1"/>
  <c r="DD53" i="1"/>
  <c r="DE53" i="1"/>
  <c r="DF53" i="1"/>
  <c r="DG53" i="1"/>
  <c r="DH53" i="1"/>
  <c r="DI53" i="1"/>
  <c r="DJ53" i="1"/>
  <c r="DK53" i="1"/>
  <c r="DL53" i="1"/>
  <c r="DM53" i="1"/>
  <c r="I54" i="1"/>
  <c r="J54" i="1"/>
  <c r="K54" i="1"/>
  <c r="L54" i="1"/>
  <c r="M54" i="1"/>
  <c r="N54" i="1"/>
  <c r="P54" i="1" a="1"/>
  <c r="P54" i="1" s="1"/>
  <c r="S54" i="1"/>
  <c r="T54" i="1"/>
  <c r="V54" i="1" a="1"/>
  <c r="V54" i="1" s="1"/>
  <c r="W54" i="1" s="1"/>
  <c r="Y54" i="1" a="1"/>
  <c r="Y54" i="1" s="1"/>
  <c r="Z54" i="1" a="1"/>
  <c r="Z54" i="1" s="1"/>
  <c r="AA54" i="1" a="1"/>
  <c r="AA54" i="1" s="1"/>
  <c r="AC54" i="1" a="1"/>
  <c r="AC54" i="1" s="1"/>
  <c r="AD54" i="1" a="1"/>
  <c r="AD54" i="1" s="1"/>
  <c r="AE54" i="1" a="1"/>
  <c r="AE54" i="1" s="1"/>
  <c r="AF54" i="1" a="1"/>
  <c r="AF54" i="1" s="1"/>
  <c r="AG54" i="1" a="1"/>
  <c r="AG54" i="1" s="1"/>
  <c r="AH54" i="1" a="1"/>
  <c r="AH54" i="1" s="1"/>
  <c r="AJ54" i="1"/>
  <c r="AK54" i="1"/>
  <c r="AL54" i="1" s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H54" i="1"/>
  <c r="CI54" i="1"/>
  <c r="CJ54" i="1"/>
  <c r="CP54" i="1" s="1"/>
  <c r="CK54" i="1"/>
  <c r="CQ54" i="1" s="1"/>
  <c r="CL54" i="1"/>
  <c r="DS54" i="1" s="1" a="1"/>
  <c r="DS54" i="1" s="1"/>
  <c r="DD54" i="1"/>
  <c r="DE54" i="1"/>
  <c r="DF54" i="1"/>
  <c r="DG54" i="1"/>
  <c r="DH54" i="1"/>
  <c r="DI54" i="1"/>
  <c r="DJ54" i="1"/>
  <c r="DK54" i="1"/>
  <c r="DL54" i="1"/>
  <c r="DM54" i="1"/>
  <c r="DQ54" i="1" a="1"/>
  <c r="DQ54" i="1" s="1"/>
  <c r="I55" i="1"/>
  <c r="J55" i="1"/>
  <c r="K55" i="1"/>
  <c r="L55" i="1"/>
  <c r="M55" i="1"/>
  <c r="N55" i="1"/>
  <c r="P55" i="1" a="1"/>
  <c r="P55" i="1" s="1"/>
  <c r="Q55" i="1" s="1"/>
  <c r="S55" i="1"/>
  <c r="T55" i="1" s="1"/>
  <c r="V55" i="1" a="1"/>
  <c r="V55" i="1" s="1"/>
  <c r="W55" i="1" s="1"/>
  <c r="Y55" i="1" a="1"/>
  <c r="Y55" i="1" s="1"/>
  <c r="Z55" i="1" a="1"/>
  <c r="Z55" i="1" s="1"/>
  <c r="AA55" i="1" a="1"/>
  <c r="AA55" i="1" s="1"/>
  <c r="AC55" i="1" a="1"/>
  <c r="AC55" i="1" s="1"/>
  <c r="AD55" i="1" a="1"/>
  <c r="AD55" i="1" s="1"/>
  <c r="AE55" i="1" a="1"/>
  <c r="AE55" i="1" s="1"/>
  <c r="AF55" i="1" a="1"/>
  <c r="AF55" i="1" s="1"/>
  <c r="AG55" i="1" a="1"/>
  <c r="AG55" i="1" s="1"/>
  <c r="AH55" i="1" a="1"/>
  <c r="AH55" i="1" s="1"/>
  <c r="AJ55" i="1"/>
  <c r="AK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H55" i="1"/>
  <c r="CN55" i="1" s="1"/>
  <c r="CI55" i="1"/>
  <c r="CJ55" i="1"/>
  <c r="CK55" i="1"/>
  <c r="DR55" i="1" s="1" a="1"/>
  <c r="DR55" i="1" s="1"/>
  <c r="CL55" i="1"/>
  <c r="CR55" i="1" s="1"/>
  <c r="DD55" i="1"/>
  <c r="DE55" i="1"/>
  <c r="DF55" i="1"/>
  <c r="DG55" i="1"/>
  <c r="DH55" i="1"/>
  <c r="DI55" i="1"/>
  <c r="DJ55" i="1"/>
  <c r="DK55" i="1"/>
  <c r="DL55" i="1"/>
  <c r="DM55" i="1"/>
  <c r="DS55" i="1" a="1"/>
  <c r="DS55" i="1" s="1"/>
  <c r="I56" i="1"/>
  <c r="J56" i="1"/>
  <c r="K56" i="1"/>
  <c r="L56" i="1"/>
  <c r="M56" i="1"/>
  <c r="N56" i="1"/>
  <c r="P56" i="1" a="1"/>
  <c r="P56" i="1" s="1"/>
  <c r="S56" i="1"/>
  <c r="T56" i="1" s="1"/>
  <c r="V56" i="1" a="1"/>
  <c r="V56" i="1" s="1"/>
  <c r="W56" i="1" s="1"/>
  <c r="Y56" i="1" a="1"/>
  <c r="Y56" i="1" s="1"/>
  <c r="Z56" i="1" a="1"/>
  <c r="Z56" i="1" s="1"/>
  <c r="AA56" i="1" a="1"/>
  <c r="AA56" i="1" s="1"/>
  <c r="AC56" i="1" a="1"/>
  <c r="AC56" i="1" s="1"/>
  <c r="AD56" i="1" a="1"/>
  <c r="AD56" i="1" s="1"/>
  <c r="AE56" i="1" a="1"/>
  <c r="AE56" i="1" s="1"/>
  <c r="AF56" i="1" a="1"/>
  <c r="AF56" i="1" s="1"/>
  <c r="AG56" i="1" a="1"/>
  <c r="AG56" i="1" s="1"/>
  <c r="AH56" i="1" a="1"/>
  <c r="AH56" i="1" s="1"/>
  <c r="AJ56" i="1"/>
  <c r="AL56" i="1" s="1"/>
  <c r="AK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H56" i="1"/>
  <c r="DO56" i="1" s="1" a="1"/>
  <c r="DO56" i="1" s="1"/>
  <c r="CI56" i="1"/>
  <c r="CO56" i="1" s="1"/>
  <c r="CJ56" i="1"/>
  <c r="CK56" i="1"/>
  <c r="DR56" i="1" s="1" a="1"/>
  <c r="DR56" i="1" s="1"/>
  <c r="CL56" i="1"/>
  <c r="DS56" i="1" s="1" a="1"/>
  <c r="DS56" i="1" s="1"/>
  <c r="DD56" i="1"/>
  <c r="DE56" i="1"/>
  <c r="DF56" i="1"/>
  <c r="DG56" i="1"/>
  <c r="DH56" i="1"/>
  <c r="DI56" i="1"/>
  <c r="DJ56" i="1"/>
  <c r="DK56" i="1"/>
  <c r="DL56" i="1"/>
  <c r="DM56" i="1"/>
  <c r="I57" i="1"/>
  <c r="J57" i="1"/>
  <c r="K57" i="1"/>
  <c r="L57" i="1"/>
  <c r="M57" i="1"/>
  <c r="N57" i="1"/>
  <c r="P57" i="1" a="1"/>
  <c r="P57" i="1" s="1"/>
  <c r="S57" i="1"/>
  <c r="T57" i="1" s="1"/>
  <c r="V57" i="1" a="1"/>
  <c r="V57" i="1" s="1"/>
  <c r="W57" i="1" s="1"/>
  <c r="Y57" i="1" a="1"/>
  <c r="Y57" i="1" s="1"/>
  <c r="Z57" i="1" a="1"/>
  <c r="Z57" i="1" s="1"/>
  <c r="AA57" i="1" a="1"/>
  <c r="AA57" i="1" s="1"/>
  <c r="AC57" i="1" a="1"/>
  <c r="AC57" i="1" s="1"/>
  <c r="AD57" i="1" a="1"/>
  <c r="AD57" i="1" s="1"/>
  <c r="AE57" i="1" a="1"/>
  <c r="AE57" i="1" s="1"/>
  <c r="AF57" i="1" a="1"/>
  <c r="AF57" i="1" s="1"/>
  <c r="AG57" i="1" a="1"/>
  <c r="AG57" i="1" s="1"/>
  <c r="AH57" i="1" a="1"/>
  <c r="AH57" i="1" s="1"/>
  <c r="AJ57" i="1"/>
  <c r="AK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H57" i="1"/>
  <c r="CN57" i="1" s="1"/>
  <c r="CI57" i="1"/>
  <c r="CO57" i="1" s="1"/>
  <c r="CJ57" i="1"/>
  <c r="DQ57" i="1" s="1" a="1"/>
  <c r="DQ57" i="1" s="1"/>
  <c r="CK57" i="1"/>
  <c r="CQ57" i="1" s="1"/>
  <c r="CL57" i="1"/>
  <c r="DS57" i="1" s="1" a="1"/>
  <c r="DS57" i="1" s="1"/>
  <c r="DD57" i="1"/>
  <c r="DE57" i="1"/>
  <c r="DF57" i="1"/>
  <c r="DG57" i="1"/>
  <c r="DH57" i="1"/>
  <c r="DI57" i="1"/>
  <c r="DJ57" i="1"/>
  <c r="DK57" i="1"/>
  <c r="DL57" i="1"/>
  <c r="DM57" i="1"/>
  <c r="I58" i="1"/>
  <c r="J58" i="1"/>
  <c r="K58" i="1"/>
  <c r="L58" i="1"/>
  <c r="M58" i="1"/>
  <c r="N58" i="1"/>
  <c r="P58" i="1" a="1"/>
  <c r="P58" i="1" s="1"/>
  <c r="Q58" i="1" s="1"/>
  <c r="S58" i="1"/>
  <c r="T58" i="1" s="1"/>
  <c r="V58" i="1" a="1"/>
  <c r="V58" i="1" s="1"/>
  <c r="W58" i="1" s="1"/>
  <c r="Y58" i="1" a="1"/>
  <c r="Y58" i="1" s="1"/>
  <c r="Z58" i="1" a="1"/>
  <c r="Z58" i="1" s="1"/>
  <c r="AA58" i="1" a="1"/>
  <c r="AA58" i="1" s="1"/>
  <c r="AC58" i="1" a="1"/>
  <c r="AC58" i="1" s="1"/>
  <c r="AD58" i="1" a="1"/>
  <c r="AD58" i="1" s="1"/>
  <c r="AE58" i="1" a="1"/>
  <c r="AE58" i="1" s="1"/>
  <c r="AF58" i="1" a="1"/>
  <c r="AF58" i="1" s="1"/>
  <c r="AG58" i="1" a="1"/>
  <c r="AG58" i="1" s="1"/>
  <c r="AH58" i="1" a="1"/>
  <c r="AH58" i="1" s="1"/>
  <c r="AJ58" i="1"/>
  <c r="AK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H58" i="1"/>
  <c r="DO58" i="1" s="1" a="1"/>
  <c r="DO58" i="1" s="1"/>
  <c r="CI58" i="1"/>
  <c r="CJ58" i="1"/>
  <c r="DQ58" i="1" s="1" a="1"/>
  <c r="DQ58" i="1" s="1"/>
  <c r="CK58" i="1"/>
  <c r="CL58" i="1"/>
  <c r="DS58" i="1" s="1" a="1"/>
  <c r="DS58" i="1" s="1"/>
  <c r="DD58" i="1"/>
  <c r="DE58" i="1"/>
  <c r="DF58" i="1"/>
  <c r="DG58" i="1"/>
  <c r="DH58" i="1"/>
  <c r="DI58" i="1"/>
  <c r="DJ58" i="1"/>
  <c r="DK58" i="1"/>
  <c r="DL58" i="1"/>
  <c r="DM58" i="1"/>
  <c r="I59" i="1"/>
  <c r="J59" i="1"/>
  <c r="K59" i="1"/>
  <c r="L59" i="1"/>
  <c r="M59" i="1"/>
  <c r="N59" i="1"/>
  <c r="P59" i="1" a="1"/>
  <c r="P59" i="1" s="1"/>
  <c r="Q59" i="1" s="1"/>
  <c r="S59" i="1"/>
  <c r="T59" i="1" s="1"/>
  <c r="V59" i="1" a="1"/>
  <c r="V59" i="1" s="1"/>
  <c r="Y59" i="1" a="1"/>
  <c r="Y59" i="1" s="1"/>
  <c r="Z59" i="1" a="1"/>
  <c r="Z59" i="1" s="1"/>
  <c r="AA59" i="1" a="1"/>
  <c r="AA59" i="1" s="1"/>
  <c r="AC59" i="1" a="1"/>
  <c r="AC59" i="1" s="1"/>
  <c r="AD59" i="1" a="1"/>
  <c r="AD59" i="1" s="1"/>
  <c r="AE59" i="1" a="1"/>
  <c r="AE59" i="1" s="1"/>
  <c r="AF59" i="1" a="1"/>
  <c r="AF59" i="1" s="1"/>
  <c r="AG59" i="1" a="1"/>
  <c r="AG59" i="1" s="1"/>
  <c r="AH59" i="1" a="1"/>
  <c r="AH59" i="1" s="1"/>
  <c r="AJ59" i="1"/>
  <c r="AK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H59" i="1"/>
  <c r="CI59" i="1"/>
  <c r="CO59" i="1" s="1"/>
  <c r="CJ59" i="1"/>
  <c r="DQ59" i="1" s="1" a="1"/>
  <c r="DQ59" i="1" s="1"/>
  <c r="CK59" i="1"/>
  <c r="CL59" i="1"/>
  <c r="CR59" i="1" s="1"/>
  <c r="DD59" i="1"/>
  <c r="DE59" i="1"/>
  <c r="DF59" i="1"/>
  <c r="DG59" i="1"/>
  <c r="DH59" i="1"/>
  <c r="DI59" i="1"/>
  <c r="DJ59" i="1"/>
  <c r="DK59" i="1"/>
  <c r="DL59" i="1"/>
  <c r="DM59" i="1"/>
  <c r="DS59" i="1" a="1"/>
  <c r="DS59" i="1" s="1"/>
  <c r="I60" i="1"/>
  <c r="J60" i="1"/>
  <c r="K60" i="1"/>
  <c r="L60" i="1"/>
  <c r="M60" i="1"/>
  <c r="N60" i="1"/>
  <c r="P60" i="1" a="1"/>
  <c r="P60" i="1" s="1"/>
  <c r="Q60" i="1" s="1"/>
  <c r="S60" i="1"/>
  <c r="T60" i="1" s="1"/>
  <c r="V60" i="1" a="1"/>
  <c r="V60" i="1" s="1"/>
  <c r="W60" i="1" s="1"/>
  <c r="Y60" i="1" a="1"/>
  <c r="Y60" i="1" s="1"/>
  <c r="Z60" i="1" a="1"/>
  <c r="Z60" i="1" s="1"/>
  <c r="AA60" i="1" a="1"/>
  <c r="AA60" i="1" s="1"/>
  <c r="AC60" i="1" a="1"/>
  <c r="AC60" i="1" s="1"/>
  <c r="AD60" i="1" a="1"/>
  <c r="AD60" i="1" s="1"/>
  <c r="AE60" i="1" a="1"/>
  <c r="AE60" i="1" s="1"/>
  <c r="AF60" i="1" a="1"/>
  <c r="AF60" i="1" s="1"/>
  <c r="AG60" i="1" a="1"/>
  <c r="AG60" i="1" s="1"/>
  <c r="AH60" i="1" a="1"/>
  <c r="AH60" i="1" s="1"/>
  <c r="AJ60" i="1"/>
  <c r="AK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H60" i="1"/>
  <c r="CI60" i="1"/>
  <c r="DP60" i="1" s="1" a="1"/>
  <c r="DP60" i="1" s="1"/>
  <c r="CJ60" i="1"/>
  <c r="DQ60" i="1" s="1" a="1"/>
  <c r="DQ60" i="1" s="1"/>
  <c r="CK60" i="1"/>
  <c r="CQ60" i="1" s="1"/>
  <c r="CL60" i="1"/>
  <c r="DD60" i="1"/>
  <c r="DE60" i="1"/>
  <c r="DF60" i="1"/>
  <c r="DG60" i="1"/>
  <c r="DH60" i="1"/>
  <c r="DI60" i="1"/>
  <c r="DJ60" i="1"/>
  <c r="DK60" i="1"/>
  <c r="DL60" i="1"/>
  <c r="DM60" i="1"/>
  <c r="DO60" i="1" a="1"/>
  <c r="DO60" i="1" s="1"/>
  <c r="I61" i="1"/>
  <c r="J61" i="1"/>
  <c r="K61" i="1"/>
  <c r="L61" i="1"/>
  <c r="M61" i="1"/>
  <c r="N61" i="1"/>
  <c r="P61" i="1" a="1"/>
  <c r="P61" i="1" s="1"/>
  <c r="S61" i="1"/>
  <c r="T61" i="1" s="1"/>
  <c r="V61" i="1" a="1"/>
  <c r="V61" i="1" s="1"/>
  <c r="W61" i="1" s="1"/>
  <c r="Y61" i="1" a="1"/>
  <c r="Y61" i="1" s="1"/>
  <c r="Z61" i="1" a="1"/>
  <c r="Z61" i="1" s="1"/>
  <c r="AA61" i="1" a="1"/>
  <c r="AA61" i="1" s="1"/>
  <c r="AC61" i="1" a="1"/>
  <c r="AC61" i="1" s="1"/>
  <c r="AD61" i="1" a="1"/>
  <c r="AD61" i="1" s="1"/>
  <c r="AE61" i="1" a="1"/>
  <c r="AE61" i="1" s="1"/>
  <c r="AF61" i="1" a="1"/>
  <c r="AF61" i="1" s="1"/>
  <c r="AG61" i="1" a="1"/>
  <c r="AG61" i="1" s="1"/>
  <c r="AH61" i="1" a="1"/>
  <c r="AH61" i="1" s="1"/>
  <c r="AJ61" i="1"/>
  <c r="AK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H61" i="1"/>
  <c r="CI61" i="1"/>
  <c r="CO61" i="1" s="1"/>
  <c r="CJ61" i="1"/>
  <c r="CK61" i="1"/>
  <c r="CL61" i="1"/>
  <c r="DS61" i="1" s="1" a="1"/>
  <c r="DS61" i="1" s="1"/>
  <c r="DD61" i="1"/>
  <c r="DE61" i="1"/>
  <c r="DF61" i="1"/>
  <c r="DG61" i="1"/>
  <c r="DH61" i="1"/>
  <c r="DI61" i="1"/>
  <c r="DJ61" i="1"/>
  <c r="DK61" i="1"/>
  <c r="DL61" i="1"/>
  <c r="DM61" i="1"/>
  <c r="I62" i="1"/>
  <c r="J62" i="1"/>
  <c r="K62" i="1"/>
  <c r="L62" i="1"/>
  <c r="M62" i="1"/>
  <c r="N62" i="1"/>
  <c r="P62" i="1" a="1"/>
  <c r="P62" i="1"/>
  <c r="Q62" i="1" s="1"/>
  <c r="S62" i="1"/>
  <c r="T62" i="1" s="1"/>
  <c r="V62" i="1" a="1"/>
  <c r="V62" i="1" s="1"/>
  <c r="W62" i="1" s="1"/>
  <c r="Y62" i="1" a="1"/>
  <c r="Y62" i="1" s="1"/>
  <c r="Z62" i="1" a="1"/>
  <c r="Z62" i="1" s="1"/>
  <c r="AA62" i="1" a="1"/>
  <c r="AA62" i="1" s="1"/>
  <c r="AC62" i="1" a="1"/>
  <c r="AC62" i="1" s="1"/>
  <c r="AD62" i="1" a="1"/>
  <c r="AD62" i="1" s="1"/>
  <c r="AE62" i="1" a="1"/>
  <c r="AE62" i="1" s="1"/>
  <c r="AF62" i="1" a="1"/>
  <c r="AF62" i="1" s="1"/>
  <c r="AG62" i="1" a="1"/>
  <c r="AG62" i="1" s="1"/>
  <c r="AH62" i="1" a="1"/>
  <c r="AH62" i="1" s="1"/>
  <c r="AJ62" i="1"/>
  <c r="AK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H62" i="1"/>
  <c r="DO62" i="1" s="1" a="1"/>
  <c r="DO62" i="1" s="1"/>
  <c r="CI62" i="1"/>
  <c r="CJ62" i="1"/>
  <c r="CP62" i="1" s="1"/>
  <c r="CK62" i="1"/>
  <c r="DR62" i="1" s="1" a="1"/>
  <c r="DR62" i="1" s="1"/>
  <c r="CL62" i="1"/>
  <c r="DS62" i="1" s="1" a="1"/>
  <c r="DS62" i="1" s="1"/>
  <c r="DD62" i="1"/>
  <c r="DE62" i="1"/>
  <c r="DF62" i="1"/>
  <c r="DG62" i="1"/>
  <c r="DH62" i="1"/>
  <c r="DI62" i="1"/>
  <c r="DJ62" i="1"/>
  <c r="DK62" i="1"/>
  <c r="DL62" i="1"/>
  <c r="DM62" i="1"/>
  <c r="I63" i="1"/>
  <c r="J63" i="1"/>
  <c r="K63" i="1"/>
  <c r="L63" i="1"/>
  <c r="M63" i="1"/>
  <c r="N63" i="1"/>
  <c r="P63" i="1" a="1"/>
  <c r="P63" i="1" s="1"/>
  <c r="S63" i="1"/>
  <c r="T63" i="1"/>
  <c r="V63" i="1" a="1"/>
  <c r="V63" i="1" s="1"/>
  <c r="W63" i="1" s="1"/>
  <c r="Y63" i="1" a="1"/>
  <c r="Y63" i="1" s="1"/>
  <c r="Z63" i="1" a="1"/>
  <c r="Z63" i="1" s="1"/>
  <c r="AA63" i="1" a="1"/>
  <c r="AA63" i="1" s="1"/>
  <c r="AC63" i="1" a="1"/>
  <c r="AC63" i="1" s="1"/>
  <c r="AD63" i="1" a="1"/>
  <c r="AD63" i="1" s="1"/>
  <c r="AE63" i="1" a="1"/>
  <c r="AE63" i="1" s="1"/>
  <c r="AF63" i="1" a="1"/>
  <c r="AF63" i="1" s="1"/>
  <c r="AG63" i="1" a="1"/>
  <c r="AG63" i="1"/>
  <c r="AH63" i="1" a="1"/>
  <c r="AH63" i="1" s="1"/>
  <c r="AJ63" i="1"/>
  <c r="AL63" i="1" s="1"/>
  <c r="AK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H63" i="1"/>
  <c r="CN63" i="1" s="1"/>
  <c r="CI63" i="1"/>
  <c r="CO63" i="1" s="1"/>
  <c r="CJ63" i="1"/>
  <c r="DQ63" i="1" s="1" a="1"/>
  <c r="DQ63" i="1" s="1"/>
  <c r="CK63" i="1"/>
  <c r="CL63" i="1"/>
  <c r="DS63" i="1" s="1" a="1"/>
  <c r="DS63" i="1" s="1"/>
  <c r="DD63" i="1"/>
  <c r="DE63" i="1"/>
  <c r="DF63" i="1"/>
  <c r="DG63" i="1"/>
  <c r="DH63" i="1"/>
  <c r="DI63" i="1"/>
  <c r="DJ63" i="1"/>
  <c r="DK63" i="1"/>
  <c r="DL63" i="1"/>
  <c r="DM63" i="1"/>
  <c r="DR63" i="1" a="1"/>
  <c r="DR63" i="1" s="1"/>
  <c r="I64" i="1"/>
  <c r="J64" i="1"/>
  <c r="K64" i="1"/>
  <c r="L64" i="1"/>
  <c r="M64" i="1"/>
  <c r="N64" i="1"/>
  <c r="P64" i="1" a="1"/>
  <c r="P64" i="1" s="1"/>
  <c r="Q64" i="1" s="1"/>
  <c r="S64" i="1"/>
  <c r="T64" i="1" s="1"/>
  <c r="V64" i="1" a="1"/>
  <c r="V64" i="1" s="1"/>
  <c r="W64" i="1" s="1"/>
  <c r="Y64" i="1" a="1"/>
  <c r="Y64" i="1" s="1"/>
  <c r="Z64" i="1" a="1"/>
  <c r="Z64" i="1" s="1"/>
  <c r="AA64" i="1" a="1"/>
  <c r="AA64" i="1" s="1"/>
  <c r="AC64" i="1" a="1"/>
  <c r="AC64" i="1" s="1"/>
  <c r="AD64" i="1" a="1"/>
  <c r="AD64" i="1" s="1"/>
  <c r="AE64" i="1" a="1"/>
  <c r="AE64" i="1" s="1"/>
  <c r="AF64" i="1" a="1"/>
  <c r="AF64" i="1" s="1"/>
  <c r="AG64" i="1" a="1"/>
  <c r="AG64" i="1" s="1"/>
  <c r="AH64" i="1" a="1"/>
  <c r="AH64" i="1" s="1"/>
  <c r="AJ64" i="1"/>
  <c r="AK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H64" i="1"/>
  <c r="CI64" i="1"/>
  <c r="DP64" i="1" s="1" a="1"/>
  <c r="DP64" i="1" s="1"/>
  <c r="CJ64" i="1"/>
  <c r="CP64" i="1" s="1"/>
  <c r="CK64" i="1"/>
  <c r="DR64" i="1" s="1" a="1"/>
  <c r="DR64" i="1" s="1"/>
  <c r="CL64" i="1"/>
  <c r="DS64" i="1" s="1" a="1"/>
  <c r="DS64" i="1" s="1"/>
  <c r="DD64" i="1"/>
  <c r="DE64" i="1"/>
  <c r="DF64" i="1"/>
  <c r="DG64" i="1"/>
  <c r="DH64" i="1"/>
  <c r="DI64" i="1"/>
  <c r="DJ64" i="1"/>
  <c r="DK64" i="1"/>
  <c r="DL64" i="1"/>
  <c r="DM64" i="1"/>
  <c r="I65" i="1"/>
  <c r="J65" i="1"/>
  <c r="K65" i="1"/>
  <c r="L65" i="1"/>
  <c r="M65" i="1"/>
  <c r="N65" i="1"/>
  <c r="P65" i="1" a="1"/>
  <c r="P65" i="1" s="1"/>
  <c r="Q65" i="1" s="1"/>
  <c r="S65" i="1"/>
  <c r="T65" i="1" s="1"/>
  <c r="V65" i="1" a="1"/>
  <c r="V65" i="1" s="1"/>
  <c r="W65" i="1" s="1"/>
  <c r="Y65" i="1" a="1"/>
  <c r="Y65" i="1" s="1"/>
  <c r="Z65" i="1" a="1"/>
  <c r="Z65" i="1" s="1"/>
  <c r="AA65" i="1" a="1"/>
  <c r="AA65" i="1" s="1"/>
  <c r="AC65" i="1" a="1"/>
  <c r="AC65" i="1" s="1"/>
  <c r="AD65" i="1" a="1"/>
  <c r="AD65" i="1" s="1"/>
  <c r="AE65" i="1" a="1"/>
  <c r="AE65" i="1" s="1"/>
  <c r="AF65" i="1" a="1"/>
  <c r="AF65" i="1" s="1"/>
  <c r="AG65" i="1" a="1"/>
  <c r="AG65" i="1" s="1"/>
  <c r="AH65" i="1" a="1"/>
  <c r="AH65" i="1" s="1"/>
  <c r="AJ65" i="1"/>
  <c r="AK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H65" i="1"/>
  <c r="DO65" i="1" s="1" a="1"/>
  <c r="DO65" i="1" s="1"/>
  <c r="CI65" i="1"/>
  <c r="DP65" i="1" s="1" a="1"/>
  <c r="DP65" i="1" s="1"/>
  <c r="CJ65" i="1"/>
  <c r="CK65" i="1"/>
  <c r="CL65" i="1"/>
  <c r="CR65" i="1" s="1"/>
  <c r="DD65" i="1"/>
  <c r="DE65" i="1"/>
  <c r="DF65" i="1"/>
  <c r="DG65" i="1"/>
  <c r="DH65" i="1"/>
  <c r="DI65" i="1"/>
  <c r="DJ65" i="1"/>
  <c r="DK65" i="1"/>
  <c r="DL65" i="1"/>
  <c r="DM65" i="1"/>
  <c r="I66" i="1"/>
  <c r="J66" i="1"/>
  <c r="K66" i="1"/>
  <c r="L66" i="1"/>
  <c r="M66" i="1"/>
  <c r="N66" i="1"/>
  <c r="P66" i="1" a="1"/>
  <c r="P66" i="1" s="1"/>
  <c r="Q66" i="1" s="1"/>
  <c r="S66" i="1"/>
  <c r="T66" i="1" s="1"/>
  <c r="V66" i="1" a="1"/>
  <c r="V66" i="1"/>
  <c r="W66" i="1" s="1"/>
  <c r="Y66" i="1" a="1"/>
  <c r="Y66" i="1" s="1"/>
  <c r="Z66" i="1" a="1"/>
  <c r="Z66" i="1" s="1"/>
  <c r="AA66" i="1" a="1"/>
  <c r="AA66" i="1" s="1"/>
  <c r="AC66" i="1" a="1"/>
  <c r="AC66" i="1" s="1"/>
  <c r="AD66" i="1" a="1"/>
  <c r="AD66" i="1" s="1"/>
  <c r="AE66" i="1" a="1"/>
  <c r="AE66" i="1" s="1"/>
  <c r="AF66" i="1" a="1"/>
  <c r="AF66" i="1"/>
  <c r="AG66" i="1" a="1"/>
  <c r="AG66" i="1" s="1"/>
  <c r="AH66" i="1" a="1"/>
  <c r="AH66" i="1" s="1"/>
  <c r="AJ66" i="1"/>
  <c r="AK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H66" i="1"/>
  <c r="DO66" i="1" s="1" a="1"/>
  <c r="DO66" i="1" s="1"/>
  <c r="CI66" i="1"/>
  <c r="CJ66" i="1"/>
  <c r="CP66" i="1" s="1"/>
  <c r="CK66" i="1"/>
  <c r="DR66" i="1" s="1" a="1"/>
  <c r="DR66" i="1" s="1"/>
  <c r="CL66" i="1"/>
  <c r="DS66" i="1" s="1" a="1"/>
  <c r="DS66" i="1" s="1"/>
  <c r="DD66" i="1"/>
  <c r="DE66" i="1"/>
  <c r="DF66" i="1"/>
  <c r="DG66" i="1"/>
  <c r="DH66" i="1"/>
  <c r="DI66" i="1"/>
  <c r="DJ66" i="1"/>
  <c r="DK66" i="1"/>
  <c r="DL66" i="1"/>
  <c r="DM66" i="1"/>
  <c r="I67" i="1"/>
  <c r="J67" i="1"/>
  <c r="K67" i="1"/>
  <c r="L67" i="1"/>
  <c r="M67" i="1"/>
  <c r="N67" i="1"/>
  <c r="P67" i="1" a="1"/>
  <c r="P67" i="1" s="1"/>
  <c r="Q67" i="1" s="1"/>
  <c r="S67" i="1"/>
  <c r="T67" i="1"/>
  <c r="V67" i="1" a="1"/>
  <c r="V67" i="1" s="1"/>
  <c r="W67" i="1" s="1"/>
  <c r="Y67" i="1" a="1"/>
  <c r="Y67" i="1" s="1"/>
  <c r="Z67" i="1" a="1"/>
  <c r="Z67" i="1"/>
  <c r="AA67" i="1" a="1"/>
  <c r="AA67" i="1" s="1"/>
  <c r="AC67" i="1" a="1"/>
  <c r="AC67" i="1" s="1"/>
  <c r="AD67" i="1" a="1"/>
  <c r="AD67" i="1" s="1"/>
  <c r="AE67" i="1" a="1"/>
  <c r="AE67" i="1" s="1"/>
  <c r="AF67" i="1" a="1"/>
  <c r="AF67" i="1" s="1"/>
  <c r="AG67" i="1" a="1"/>
  <c r="AG67" i="1" s="1"/>
  <c r="AH67" i="1" a="1"/>
  <c r="AH67" i="1" s="1"/>
  <c r="AJ67" i="1"/>
  <c r="AK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H67" i="1"/>
  <c r="CI67" i="1"/>
  <c r="CJ67" i="1"/>
  <c r="DQ67" i="1" s="1" a="1"/>
  <c r="DQ67" i="1" s="1"/>
  <c r="CK67" i="1"/>
  <c r="CQ67" i="1" s="1"/>
  <c r="CL67" i="1"/>
  <c r="CR67" i="1" s="1"/>
  <c r="CN67" i="1"/>
  <c r="DD67" i="1"/>
  <c r="DE67" i="1"/>
  <c r="DF67" i="1"/>
  <c r="DG67" i="1"/>
  <c r="DH67" i="1"/>
  <c r="DI67" i="1"/>
  <c r="DJ67" i="1"/>
  <c r="DK67" i="1"/>
  <c r="DL67" i="1"/>
  <c r="DM67" i="1"/>
  <c r="DO67" i="1" a="1"/>
  <c r="DO67" i="1" s="1"/>
  <c r="DP67" i="1" a="1"/>
  <c r="DP67" i="1" s="1"/>
  <c r="I68" i="1"/>
  <c r="J68" i="1"/>
  <c r="K68" i="1"/>
  <c r="L68" i="1"/>
  <c r="M68" i="1"/>
  <c r="N68" i="1"/>
  <c r="P68" i="1" a="1"/>
  <c r="P68" i="1" s="1"/>
  <c r="S68" i="1"/>
  <c r="T68" i="1" s="1"/>
  <c r="V68" i="1" a="1"/>
  <c r="V68" i="1" s="1"/>
  <c r="W68" i="1" s="1"/>
  <c r="Y68" i="1" a="1"/>
  <c r="Y68" i="1" s="1"/>
  <c r="Z68" i="1" a="1"/>
  <c r="Z68" i="1" s="1"/>
  <c r="AA68" i="1" a="1"/>
  <c r="AA68" i="1" s="1"/>
  <c r="AC68" i="1" a="1"/>
  <c r="AC68" i="1" s="1"/>
  <c r="AD68" i="1" a="1"/>
  <c r="AD68" i="1" s="1"/>
  <c r="AE68" i="1" a="1"/>
  <c r="AE68" i="1" s="1"/>
  <c r="AF68" i="1" a="1"/>
  <c r="AF68" i="1" s="1"/>
  <c r="AG68" i="1" a="1"/>
  <c r="AG68" i="1" s="1"/>
  <c r="AH68" i="1" a="1"/>
  <c r="AH68" i="1" s="1"/>
  <c r="AJ68" i="1"/>
  <c r="AK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H68" i="1"/>
  <c r="DO68" i="1" s="1" a="1"/>
  <c r="DO68" i="1" s="1"/>
  <c r="CI68" i="1"/>
  <c r="CJ68" i="1"/>
  <c r="CP68" i="1" s="1"/>
  <c r="CK68" i="1"/>
  <c r="DR68" i="1" s="1" a="1"/>
  <c r="DR68" i="1" s="1"/>
  <c r="CL68" i="1"/>
  <c r="CR68" i="1" s="1"/>
  <c r="DD68" i="1"/>
  <c r="DE68" i="1"/>
  <c r="DF68" i="1"/>
  <c r="DG68" i="1"/>
  <c r="DH68" i="1"/>
  <c r="DI68" i="1"/>
  <c r="DJ68" i="1"/>
  <c r="DK68" i="1"/>
  <c r="DL68" i="1"/>
  <c r="DM68" i="1"/>
  <c r="I69" i="1"/>
  <c r="J69" i="1"/>
  <c r="K69" i="1"/>
  <c r="L69" i="1"/>
  <c r="M69" i="1"/>
  <c r="N69" i="1"/>
  <c r="P69" i="1" a="1"/>
  <c r="P69" i="1" s="1"/>
  <c r="Q69" i="1" s="1"/>
  <c r="S69" i="1"/>
  <c r="T69" i="1" s="1"/>
  <c r="V69" i="1" a="1"/>
  <c r="V69" i="1"/>
  <c r="W69" i="1" s="1"/>
  <c r="Y69" i="1" a="1"/>
  <c r="Y69" i="1" s="1"/>
  <c r="Z69" i="1" a="1"/>
  <c r="Z69" i="1" s="1"/>
  <c r="AA69" i="1" a="1"/>
  <c r="AA69" i="1" s="1"/>
  <c r="AC69" i="1" a="1"/>
  <c r="AC69" i="1" s="1"/>
  <c r="AD69" i="1" a="1"/>
  <c r="AD69" i="1" s="1"/>
  <c r="AE69" i="1" a="1"/>
  <c r="AE69" i="1" s="1"/>
  <c r="AF69" i="1" a="1"/>
  <c r="AF69" i="1" s="1"/>
  <c r="AG69" i="1" a="1"/>
  <c r="AG69" i="1" s="1"/>
  <c r="AH69" i="1" a="1"/>
  <c r="AH69" i="1" s="1"/>
  <c r="AJ69" i="1"/>
  <c r="AK69" i="1"/>
  <c r="AL69" i="1" s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H69" i="1"/>
  <c r="CI69" i="1"/>
  <c r="CO69" i="1" s="1"/>
  <c r="CJ69" i="1"/>
  <c r="DQ69" i="1" s="1" a="1"/>
  <c r="DQ69" i="1" s="1"/>
  <c r="CK69" i="1"/>
  <c r="DR69" i="1" s="1" a="1"/>
  <c r="DR69" i="1" s="1"/>
  <c r="CL69" i="1"/>
  <c r="CR69" i="1" s="1"/>
  <c r="DD69" i="1"/>
  <c r="DE69" i="1"/>
  <c r="DF69" i="1"/>
  <c r="DG69" i="1"/>
  <c r="DH69" i="1"/>
  <c r="DI69" i="1"/>
  <c r="DJ69" i="1"/>
  <c r="DK69" i="1"/>
  <c r="DL69" i="1"/>
  <c r="DM69" i="1"/>
  <c r="DP69" i="1" a="1"/>
  <c r="DP69" i="1" s="1"/>
  <c r="I70" i="1"/>
  <c r="J70" i="1"/>
  <c r="K70" i="1"/>
  <c r="L70" i="1"/>
  <c r="M70" i="1"/>
  <c r="N70" i="1"/>
  <c r="P70" i="1" a="1"/>
  <c r="P70" i="1" s="1"/>
  <c r="S70" i="1"/>
  <c r="T70" i="1" s="1"/>
  <c r="V70" i="1" a="1"/>
  <c r="V70" i="1" s="1"/>
  <c r="W70" i="1" s="1"/>
  <c r="Y70" i="1" a="1"/>
  <c r="Y70" i="1" s="1"/>
  <c r="Z70" i="1" a="1"/>
  <c r="Z70" i="1" s="1"/>
  <c r="AA70" i="1" a="1"/>
  <c r="AA70" i="1" s="1"/>
  <c r="AC70" i="1" a="1"/>
  <c r="AC70" i="1" s="1"/>
  <c r="AD70" i="1" a="1"/>
  <c r="AD70" i="1" s="1"/>
  <c r="AE70" i="1" a="1"/>
  <c r="AE70" i="1" s="1"/>
  <c r="AF70" i="1" a="1"/>
  <c r="AF70" i="1" s="1"/>
  <c r="AG70" i="1" a="1"/>
  <c r="AG70" i="1" s="1"/>
  <c r="AH70" i="1" a="1"/>
  <c r="AH70" i="1" s="1"/>
  <c r="AJ70" i="1"/>
  <c r="AK70" i="1"/>
  <c r="AL70" i="1" s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H70" i="1"/>
  <c r="DO70" i="1" s="1" a="1"/>
  <c r="DO70" i="1" s="1"/>
  <c r="CI70" i="1"/>
  <c r="CJ70" i="1"/>
  <c r="DQ70" i="1" s="1" a="1"/>
  <c r="DQ70" i="1" s="1"/>
  <c r="CK70" i="1"/>
  <c r="CQ70" i="1" s="1"/>
  <c r="CL70" i="1"/>
  <c r="CR70" i="1" s="1"/>
  <c r="DD70" i="1"/>
  <c r="DE70" i="1"/>
  <c r="DF70" i="1"/>
  <c r="DG70" i="1"/>
  <c r="DH70" i="1"/>
  <c r="DI70" i="1"/>
  <c r="DJ70" i="1"/>
  <c r="DK70" i="1"/>
  <c r="DL70" i="1"/>
  <c r="DM70" i="1"/>
  <c r="I71" i="1"/>
  <c r="J71" i="1"/>
  <c r="K71" i="1"/>
  <c r="L71" i="1"/>
  <c r="M71" i="1"/>
  <c r="N71" i="1"/>
  <c r="P71" i="1" a="1"/>
  <c r="P71" i="1" s="1"/>
  <c r="S71" i="1"/>
  <c r="T71" i="1" s="1"/>
  <c r="V71" i="1" a="1"/>
  <c r="V71" i="1" s="1"/>
  <c r="W71" i="1" s="1"/>
  <c r="Y71" i="1" a="1"/>
  <c r="Y71" i="1" s="1"/>
  <c r="Z71" i="1" a="1"/>
  <c r="Z71" i="1" s="1"/>
  <c r="AA71" i="1" a="1"/>
  <c r="AA71" i="1" s="1"/>
  <c r="AC71" i="1" a="1"/>
  <c r="AC71" i="1" s="1"/>
  <c r="AD71" i="1" a="1"/>
  <c r="AD71" i="1" s="1"/>
  <c r="AE71" i="1" a="1"/>
  <c r="AE71" i="1" s="1"/>
  <c r="AF71" i="1" a="1"/>
  <c r="AF71" i="1" s="1"/>
  <c r="AG71" i="1" a="1"/>
  <c r="AG71" i="1" s="1"/>
  <c r="AH71" i="1" a="1"/>
  <c r="AH71" i="1" s="1"/>
  <c r="AJ71" i="1"/>
  <c r="AK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H71" i="1"/>
  <c r="CI71" i="1"/>
  <c r="CJ71" i="1"/>
  <c r="CP71" i="1" s="1"/>
  <c r="CK71" i="1"/>
  <c r="DR71" i="1" s="1" a="1"/>
  <c r="DR71" i="1" s="1"/>
  <c r="CL71" i="1"/>
  <c r="CR71" i="1" s="1"/>
  <c r="CO71" i="1"/>
  <c r="DD71" i="1"/>
  <c r="DE71" i="1"/>
  <c r="DF71" i="1"/>
  <c r="DG71" i="1"/>
  <c r="DH71" i="1"/>
  <c r="DI71" i="1"/>
  <c r="DJ71" i="1"/>
  <c r="DK71" i="1"/>
  <c r="DL71" i="1"/>
  <c r="DM71" i="1"/>
  <c r="I72" i="1"/>
  <c r="J72" i="1"/>
  <c r="K72" i="1"/>
  <c r="L72" i="1"/>
  <c r="M72" i="1"/>
  <c r="N72" i="1"/>
  <c r="P72" i="1" a="1"/>
  <c r="P72" i="1" s="1"/>
  <c r="Q72" i="1" s="1"/>
  <c r="S72" i="1"/>
  <c r="T72" i="1" s="1"/>
  <c r="V72" i="1" a="1"/>
  <c r="V72" i="1" s="1"/>
  <c r="W72" i="1" s="1"/>
  <c r="Y72" i="1" a="1"/>
  <c r="Y72" i="1" s="1"/>
  <c r="Z72" i="1" a="1"/>
  <c r="Z72" i="1" s="1"/>
  <c r="AA72" i="1" a="1"/>
  <c r="AA72" i="1" s="1"/>
  <c r="AC72" i="1" a="1"/>
  <c r="AC72" i="1" s="1"/>
  <c r="AD72" i="1" a="1"/>
  <c r="AD72" i="1" s="1"/>
  <c r="AE72" i="1" a="1"/>
  <c r="AE72" i="1" s="1"/>
  <c r="AF72" i="1" a="1"/>
  <c r="AF72" i="1" s="1"/>
  <c r="AG72" i="1" a="1"/>
  <c r="AG72" i="1" s="1"/>
  <c r="AH72" i="1" a="1"/>
  <c r="AH72" i="1" s="1"/>
  <c r="AJ72" i="1"/>
  <c r="AK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H72" i="1"/>
  <c r="CI72" i="1"/>
  <c r="CJ72" i="1"/>
  <c r="CP72" i="1" s="1"/>
  <c r="CK72" i="1"/>
  <c r="CQ72" i="1" s="1"/>
  <c r="CL72" i="1"/>
  <c r="DS72" i="1" s="1" a="1"/>
  <c r="DS72" i="1" s="1"/>
  <c r="DD72" i="1"/>
  <c r="DE72" i="1"/>
  <c r="DF72" i="1"/>
  <c r="DG72" i="1"/>
  <c r="DH72" i="1"/>
  <c r="DI72" i="1"/>
  <c r="DJ72" i="1"/>
  <c r="DK72" i="1"/>
  <c r="DL72" i="1"/>
  <c r="DM72" i="1"/>
  <c r="I73" i="1"/>
  <c r="J73" i="1"/>
  <c r="K73" i="1"/>
  <c r="L73" i="1"/>
  <c r="M73" i="1"/>
  <c r="N73" i="1"/>
  <c r="P73" i="1" a="1"/>
  <c r="P73" i="1" s="1"/>
  <c r="S73" i="1"/>
  <c r="T73" i="1" s="1"/>
  <c r="V73" i="1" a="1"/>
  <c r="V73" i="1" s="1"/>
  <c r="W73" i="1" s="1"/>
  <c r="Y73" i="1" a="1"/>
  <c r="Y73" i="1" s="1"/>
  <c r="Z73" i="1" a="1"/>
  <c r="Z73" i="1" s="1"/>
  <c r="AA73" i="1" a="1"/>
  <c r="AA73" i="1" s="1"/>
  <c r="AC73" i="1" a="1"/>
  <c r="AC73" i="1" s="1"/>
  <c r="AD73" i="1" a="1"/>
  <c r="AD73" i="1" s="1"/>
  <c r="AE73" i="1" a="1"/>
  <c r="AE73" i="1" s="1"/>
  <c r="AF73" i="1" a="1"/>
  <c r="AF73" i="1" s="1"/>
  <c r="AG73" i="1" a="1"/>
  <c r="AG73" i="1" s="1"/>
  <c r="AH73" i="1" a="1"/>
  <c r="AH73" i="1" s="1"/>
  <c r="AJ73" i="1"/>
  <c r="AK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H73" i="1"/>
  <c r="CN73" i="1" s="1"/>
  <c r="CI73" i="1"/>
  <c r="CO73" i="1" s="1"/>
  <c r="CJ73" i="1"/>
  <c r="CP73" i="1" s="1"/>
  <c r="CK73" i="1"/>
  <c r="CL73" i="1"/>
  <c r="DS73" i="1" s="1" a="1"/>
  <c r="DS73" i="1" s="1"/>
  <c r="DD73" i="1"/>
  <c r="DE73" i="1"/>
  <c r="DF73" i="1"/>
  <c r="DG73" i="1"/>
  <c r="DH73" i="1"/>
  <c r="DI73" i="1"/>
  <c r="DJ73" i="1"/>
  <c r="DK73" i="1"/>
  <c r="DL73" i="1"/>
  <c r="DM73" i="1"/>
  <c r="I74" i="1"/>
  <c r="J74" i="1"/>
  <c r="K74" i="1"/>
  <c r="L74" i="1"/>
  <c r="M74" i="1"/>
  <c r="N74" i="1"/>
  <c r="P74" i="1" a="1"/>
  <c r="P74" i="1" s="1"/>
  <c r="S74" i="1"/>
  <c r="T74" i="1" s="1"/>
  <c r="V74" i="1" a="1"/>
  <c r="V74" i="1" s="1"/>
  <c r="W74" i="1" s="1"/>
  <c r="Y74" i="1" a="1"/>
  <c r="Y74" i="1" s="1"/>
  <c r="Z74" i="1" a="1"/>
  <c r="Z74" i="1" s="1"/>
  <c r="AA74" i="1" a="1"/>
  <c r="AA74" i="1" s="1"/>
  <c r="AC74" i="1" a="1"/>
  <c r="AC74" i="1" s="1"/>
  <c r="AD74" i="1" a="1"/>
  <c r="AD74" i="1" s="1"/>
  <c r="AE74" i="1" a="1"/>
  <c r="AE74" i="1" s="1"/>
  <c r="AF74" i="1" a="1"/>
  <c r="AF74" i="1" s="1"/>
  <c r="AG74" i="1" a="1"/>
  <c r="AG74" i="1" s="1"/>
  <c r="AH74" i="1" a="1"/>
  <c r="AH74" i="1" s="1"/>
  <c r="AJ74" i="1"/>
  <c r="AK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H74" i="1"/>
  <c r="DO74" i="1" s="1" a="1"/>
  <c r="DO74" i="1" s="1"/>
  <c r="CI74" i="1"/>
  <c r="CJ74" i="1"/>
  <c r="DQ74" i="1" s="1" a="1"/>
  <c r="DQ74" i="1" s="1"/>
  <c r="CK74" i="1"/>
  <c r="DR74" i="1" s="1" a="1"/>
  <c r="DR74" i="1" s="1"/>
  <c r="CL74" i="1"/>
  <c r="CR74" i="1" s="1"/>
  <c r="DD74" i="1"/>
  <c r="DE74" i="1"/>
  <c r="DF74" i="1"/>
  <c r="DG74" i="1"/>
  <c r="DH74" i="1"/>
  <c r="DI74" i="1"/>
  <c r="DJ74" i="1"/>
  <c r="DK74" i="1"/>
  <c r="DL74" i="1"/>
  <c r="DM74" i="1"/>
  <c r="I75" i="1"/>
  <c r="J75" i="1"/>
  <c r="K75" i="1"/>
  <c r="L75" i="1"/>
  <c r="M75" i="1"/>
  <c r="N75" i="1"/>
  <c r="P75" i="1" a="1"/>
  <c r="P75" i="1" s="1"/>
  <c r="S75" i="1"/>
  <c r="T75" i="1" s="1"/>
  <c r="V75" i="1" a="1"/>
  <c r="V75" i="1" s="1"/>
  <c r="W75" i="1" s="1"/>
  <c r="Y75" i="1" a="1"/>
  <c r="Y75" i="1" s="1"/>
  <c r="Z75" i="1" a="1"/>
  <c r="Z75" i="1" s="1"/>
  <c r="AA75" i="1" a="1"/>
  <c r="AA75" i="1" s="1"/>
  <c r="AC75" i="1" a="1"/>
  <c r="AC75" i="1" s="1"/>
  <c r="AD75" i="1" a="1"/>
  <c r="AD75" i="1" s="1"/>
  <c r="AE75" i="1" a="1"/>
  <c r="AE75" i="1" s="1"/>
  <c r="AF75" i="1" a="1"/>
  <c r="AF75" i="1" s="1"/>
  <c r="AG75" i="1" a="1"/>
  <c r="AG75" i="1" s="1"/>
  <c r="AH75" i="1" a="1"/>
  <c r="AH75" i="1" s="1"/>
  <c r="AJ75" i="1"/>
  <c r="AK75" i="1"/>
  <c r="AL75" i="1" s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H75" i="1"/>
  <c r="CN75" i="1" s="1"/>
  <c r="CI75" i="1"/>
  <c r="DP75" i="1" s="1" a="1"/>
  <c r="DP75" i="1" s="1"/>
  <c r="CJ75" i="1"/>
  <c r="DQ75" i="1" s="1" a="1"/>
  <c r="DQ75" i="1" s="1"/>
  <c r="CK75" i="1"/>
  <c r="CQ75" i="1" s="1"/>
  <c r="CL75" i="1"/>
  <c r="CR75" i="1" s="1"/>
  <c r="DD75" i="1"/>
  <c r="DE75" i="1"/>
  <c r="DF75" i="1"/>
  <c r="DG75" i="1"/>
  <c r="DH75" i="1"/>
  <c r="DI75" i="1"/>
  <c r="DJ75" i="1"/>
  <c r="DK75" i="1"/>
  <c r="DL75" i="1"/>
  <c r="DM75" i="1"/>
  <c r="DO75" i="1" a="1"/>
  <c r="DO75" i="1" s="1"/>
  <c r="DS75" i="1" a="1"/>
  <c r="DS75" i="1" s="1"/>
  <c r="I76" i="1"/>
  <c r="J76" i="1"/>
  <c r="K76" i="1"/>
  <c r="L76" i="1"/>
  <c r="M76" i="1"/>
  <c r="N76" i="1"/>
  <c r="P76" i="1" a="1"/>
  <c r="P76" i="1" s="1"/>
  <c r="Q76" i="1" s="1"/>
  <c r="S76" i="1"/>
  <c r="T76" i="1" s="1"/>
  <c r="V76" i="1" a="1"/>
  <c r="V76" i="1" s="1"/>
  <c r="W76" i="1" s="1"/>
  <c r="Y76" i="1" a="1"/>
  <c r="Y76" i="1" s="1"/>
  <c r="Z76" i="1" a="1"/>
  <c r="Z76" i="1" s="1"/>
  <c r="AA76" i="1" a="1"/>
  <c r="AA76" i="1" s="1"/>
  <c r="AC76" i="1" a="1"/>
  <c r="AC76" i="1" s="1"/>
  <c r="AD76" i="1" a="1"/>
  <c r="AD76" i="1" s="1"/>
  <c r="AE76" i="1" a="1"/>
  <c r="AE76" i="1" s="1"/>
  <c r="AF76" i="1" a="1"/>
  <c r="AF76" i="1" s="1"/>
  <c r="AG76" i="1" a="1"/>
  <c r="AG76" i="1" s="1"/>
  <c r="AH76" i="1" a="1"/>
  <c r="AH76" i="1" s="1"/>
  <c r="AJ76" i="1"/>
  <c r="AK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H76" i="1"/>
  <c r="CI76" i="1"/>
  <c r="CJ76" i="1"/>
  <c r="CP76" i="1" s="1"/>
  <c r="CK76" i="1"/>
  <c r="CQ76" i="1" s="1"/>
  <c r="CL76" i="1"/>
  <c r="DS76" i="1" s="1" a="1"/>
  <c r="DS76" i="1" s="1"/>
  <c r="DD76" i="1"/>
  <c r="DE76" i="1"/>
  <c r="DF76" i="1"/>
  <c r="DG76" i="1"/>
  <c r="DH76" i="1"/>
  <c r="DI76" i="1"/>
  <c r="DJ76" i="1"/>
  <c r="DK76" i="1"/>
  <c r="DL76" i="1"/>
  <c r="DM76" i="1"/>
  <c r="DO76" i="1" a="1"/>
  <c r="DO76" i="1" s="1"/>
  <c r="I77" i="1"/>
  <c r="J77" i="1"/>
  <c r="K77" i="1"/>
  <c r="L77" i="1"/>
  <c r="M77" i="1"/>
  <c r="N77" i="1"/>
  <c r="P77" i="1" a="1"/>
  <c r="P77" i="1" s="1"/>
  <c r="S77" i="1"/>
  <c r="T77" i="1" s="1"/>
  <c r="V77" i="1" a="1"/>
  <c r="V77" i="1" s="1"/>
  <c r="W77" i="1" s="1"/>
  <c r="Y77" i="1" a="1"/>
  <c r="Y77" i="1" s="1"/>
  <c r="Z77" i="1" a="1"/>
  <c r="Z77" i="1" s="1"/>
  <c r="AA77" i="1" a="1"/>
  <c r="AA77" i="1" s="1"/>
  <c r="AC77" i="1" a="1"/>
  <c r="AC77" i="1" s="1"/>
  <c r="AD77" i="1" a="1"/>
  <c r="AD77" i="1" s="1"/>
  <c r="AE77" i="1" a="1"/>
  <c r="AE77" i="1" s="1"/>
  <c r="AF77" i="1" a="1"/>
  <c r="AF77" i="1" s="1"/>
  <c r="AG77" i="1" a="1"/>
  <c r="AG77" i="1" s="1"/>
  <c r="AH77" i="1" a="1"/>
  <c r="AH77" i="1" s="1"/>
  <c r="AJ77" i="1"/>
  <c r="AK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H77" i="1"/>
  <c r="CN77" i="1" s="1"/>
  <c r="CI77" i="1"/>
  <c r="CJ77" i="1"/>
  <c r="CP77" i="1" s="1"/>
  <c r="CK77" i="1"/>
  <c r="CL77" i="1"/>
  <c r="DS77" i="1" s="1" a="1"/>
  <c r="DS77" i="1" s="1"/>
  <c r="DD77" i="1"/>
  <c r="DE77" i="1"/>
  <c r="DF77" i="1"/>
  <c r="DG77" i="1"/>
  <c r="DH77" i="1"/>
  <c r="DI77" i="1"/>
  <c r="DJ77" i="1"/>
  <c r="DK77" i="1"/>
  <c r="DL77" i="1"/>
  <c r="DM77" i="1"/>
  <c r="I78" i="1"/>
  <c r="J78" i="1"/>
  <c r="K78" i="1"/>
  <c r="L78" i="1"/>
  <c r="M78" i="1"/>
  <c r="N78" i="1"/>
  <c r="P78" i="1" a="1"/>
  <c r="P78" i="1" s="1"/>
  <c r="S78" i="1"/>
  <c r="T78" i="1" s="1"/>
  <c r="V78" i="1" a="1"/>
  <c r="V78" i="1" s="1"/>
  <c r="W78" i="1" s="1"/>
  <c r="Y78" i="1" a="1"/>
  <c r="Y78" i="1" s="1"/>
  <c r="Z78" i="1" a="1"/>
  <c r="Z78" i="1" s="1"/>
  <c r="AA78" i="1" a="1"/>
  <c r="AA78" i="1" s="1"/>
  <c r="AC78" i="1" a="1"/>
  <c r="AC78" i="1" s="1"/>
  <c r="AD78" i="1" a="1"/>
  <c r="AD78" i="1" s="1"/>
  <c r="AE78" i="1" a="1"/>
  <c r="AE78" i="1" s="1"/>
  <c r="AF78" i="1" a="1"/>
  <c r="AF78" i="1" s="1"/>
  <c r="AG78" i="1" a="1"/>
  <c r="AG78" i="1" s="1"/>
  <c r="AH78" i="1" a="1"/>
  <c r="AH78" i="1" s="1"/>
  <c r="AJ78" i="1"/>
  <c r="AL78" i="1" s="1"/>
  <c r="AK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H78" i="1"/>
  <c r="DO78" i="1" s="1" a="1"/>
  <c r="DO78" i="1" s="1"/>
  <c r="CI78" i="1"/>
  <c r="CJ78" i="1"/>
  <c r="DQ78" i="1" s="1" a="1"/>
  <c r="DQ78" i="1" s="1"/>
  <c r="CK78" i="1"/>
  <c r="DR78" i="1" s="1" a="1"/>
  <c r="DR78" i="1" s="1"/>
  <c r="CL78" i="1"/>
  <c r="CR78" i="1" s="1"/>
  <c r="DD78" i="1"/>
  <c r="DE78" i="1"/>
  <c r="DF78" i="1"/>
  <c r="DG78" i="1"/>
  <c r="DH78" i="1"/>
  <c r="DI78" i="1"/>
  <c r="DJ78" i="1"/>
  <c r="DK78" i="1"/>
  <c r="DL78" i="1"/>
  <c r="DM78" i="1"/>
  <c r="I79" i="1"/>
  <c r="J79" i="1"/>
  <c r="K79" i="1"/>
  <c r="L79" i="1"/>
  <c r="M79" i="1"/>
  <c r="N79" i="1"/>
  <c r="P79" i="1" a="1"/>
  <c r="P79" i="1" s="1"/>
  <c r="Q79" i="1" s="1"/>
  <c r="S79" i="1"/>
  <c r="T79" i="1" s="1"/>
  <c r="V79" i="1" a="1"/>
  <c r="V79" i="1" s="1"/>
  <c r="W79" i="1" s="1"/>
  <c r="Y79" i="1" a="1"/>
  <c r="Y79" i="1" s="1"/>
  <c r="Z79" i="1" a="1"/>
  <c r="Z79" i="1" s="1"/>
  <c r="AA79" i="1" a="1"/>
  <c r="AA79" i="1" s="1"/>
  <c r="AC79" i="1" a="1"/>
  <c r="AC79" i="1" s="1"/>
  <c r="AD79" i="1" a="1"/>
  <c r="AD79" i="1" s="1"/>
  <c r="AE79" i="1" a="1"/>
  <c r="AE79" i="1" s="1"/>
  <c r="AF79" i="1" a="1"/>
  <c r="AF79" i="1" s="1"/>
  <c r="AG79" i="1" a="1"/>
  <c r="AG79" i="1" s="1"/>
  <c r="AH79" i="1" a="1"/>
  <c r="AH79" i="1" s="1"/>
  <c r="AJ79" i="1"/>
  <c r="AK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H79" i="1"/>
  <c r="CN79" i="1" s="1"/>
  <c r="CI79" i="1"/>
  <c r="DP79" i="1" s="1" a="1"/>
  <c r="DP79" i="1" s="1"/>
  <c r="CJ79" i="1"/>
  <c r="CP79" i="1" s="1"/>
  <c r="CK79" i="1"/>
  <c r="CQ79" i="1" s="1"/>
  <c r="CL79" i="1"/>
  <c r="DS79" i="1" s="1" a="1"/>
  <c r="DS79" i="1" s="1"/>
  <c r="DD79" i="1"/>
  <c r="DE79" i="1"/>
  <c r="DF79" i="1"/>
  <c r="DG79" i="1"/>
  <c r="DH79" i="1"/>
  <c r="DI79" i="1"/>
  <c r="DJ79" i="1"/>
  <c r="DK79" i="1"/>
  <c r="DL79" i="1"/>
  <c r="DM79" i="1"/>
  <c r="I80" i="1"/>
  <c r="J80" i="1"/>
  <c r="K80" i="1"/>
  <c r="L80" i="1"/>
  <c r="M80" i="1"/>
  <c r="N80" i="1"/>
  <c r="P80" i="1" a="1"/>
  <c r="P80" i="1" s="1"/>
  <c r="Q80" i="1" s="1"/>
  <c r="S80" i="1"/>
  <c r="T80" i="1" s="1"/>
  <c r="V80" i="1" a="1"/>
  <c r="V80" i="1" s="1"/>
  <c r="W80" i="1" s="1"/>
  <c r="Y80" i="1" a="1"/>
  <c r="Y80" i="1" s="1"/>
  <c r="Z80" i="1" a="1"/>
  <c r="Z80" i="1" s="1"/>
  <c r="AA80" i="1" a="1"/>
  <c r="AA80" i="1" s="1"/>
  <c r="AC80" i="1" a="1"/>
  <c r="AC80" i="1" s="1"/>
  <c r="AD80" i="1" a="1"/>
  <c r="AD80" i="1" s="1"/>
  <c r="AE80" i="1" a="1"/>
  <c r="AE80" i="1" s="1"/>
  <c r="AF80" i="1" a="1"/>
  <c r="AF80" i="1" s="1"/>
  <c r="AG80" i="1" a="1"/>
  <c r="AG80" i="1" s="1"/>
  <c r="AH80" i="1" a="1"/>
  <c r="AH80" i="1" s="1"/>
  <c r="AJ80" i="1"/>
  <c r="AK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H80" i="1"/>
  <c r="CN80" i="1" s="1"/>
  <c r="CI80" i="1"/>
  <c r="CJ80" i="1"/>
  <c r="CP80" i="1" s="1"/>
  <c r="CK80" i="1"/>
  <c r="CL80" i="1"/>
  <c r="DS80" i="1" s="1" a="1"/>
  <c r="DS80" i="1" s="1"/>
  <c r="DD80" i="1"/>
  <c r="DE80" i="1"/>
  <c r="DF80" i="1"/>
  <c r="DG80" i="1"/>
  <c r="DH80" i="1"/>
  <c r="DI80" i="1"/>
  <c r="DJ80" i="1"/>
  <c r="DK80" i="1"/>
  <c r="DL80" i="1"/>
  <c r="DM80" i="1"/>
  <c r="DQ80" i="1" a="1"/>
  <c r="DQ80" i="1" s="1"/>
  <c r="I81" i="1"/>
  <c r="J81" i="1"/>
  <c r="K81" i="1"/>
  <c r="L81" i="1"/>
  <c r="M81" i="1"/>
  <c r="N81" i="1"/>
  <c r="P81" i="1" a="1"/>
  <c r="P81" i="1" s="1"/>
  <c r="Q81" i="1" s="1"/>
  <c r="S81" i="1"/>
  <c r="T81" i="1" s="1"/>
  <c r="V81" i="1" a="1"/>
  <c r="V81" i="1" s="1"/>
  <c r="W81" i="1" s="1"/>
  <c r="Y81" i="1" a="1"/>
  <c r="Y81" i="1" s="1"/>
  <c r="Z81" i="1" a="1"/>
  <c r="Z81" i="1" s="1"/>
  <c r="AA81" i="1" a="1"/>
  <c r="AA81" i="1" s="1"/>
  <c r="AC81" i="1" a="1"/>
  <c r="AC81" i="1" s="1"/>
  <c r="AD81" i="1" a="1"/>
  <c r="AD81" i="1" s="1"/>
  <c r="AE81" i="1" a="1"/>
  <c r="AE81" i="1" s="1"/>
  <c r="AF81" i="1" a="1"/>
  <c r="AF81" i="1" s="1"/>
  <c r="AG81" i="1" a="1"/>
  <c r="AG81" i="1" s="1"/>
  <c r="AH81" i="1" a="1"/>
  <c r="AH81" i="1" s="1"/>
  <c r="AJ81" i="1"/>
  <c r="AK81" i="1"/>
  <c r="AL81" i="1" s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H81" i="1"/>
  <c r="DO81" i="1" s="1" a="1"/>
  <c r="DO81" i="1" s="1"/>
  <c r="CI81" i="1"/>
  <c r="DP81" i="1" s="1" a="1"/>
  <c r="DP81" i="1" s="1"/>
  <c r="CJ81" i="1"/>
  <c r="CK81" i="1"/>
  <c r="CL81" i="1"/>
  <c r="DS81" i="1" s="1" a="1"/>
  <c r="DS81" i="1" s="1"/>
  <c r="DD81" i="1"/>
  <c r="DE81" i="1"/>
  <c r="DF81" i="1"/>
  <c r="DG81" i="1"/>
  <c r="DH81" i="1"/>
  <c r="DI81" i="1"/>
  <c r="DJ81" i="1"/>
  <c r="DK81" i="1"/>
  <c r="DL81" i="1"/>
  <c r="DM81" i="1"/>
  <c r="I82" i="1"/>
  <c r="J82" i="1"/>
  <c r="K82" i="1"/>
  <c r="L82" i="1"/>
  <c r="M82" i="1"/>
  <c r="N82" i="1"/>
  <c r="P82" i="1" a="1"/>
  <c r="P82" i="1" s="1"/>
  <c r="S82" i="1"/>
  <c r="T82" i="1"/>
  <c r="V82" i="1" a="1"/>
  <c r="V82" i="1" s="1"/>
  <c r="W82" i="1" s="1"/>
  <c r="Y82" i="1" a="1"/>
  <c r="Y82" i="1" s="1"/>
  <c r="Z82" i="1" a="1"/>
  <c r="Z82" i="1" s="1"/>
  <c r="AA82" i="1" a="1"/>
  <c r="AA82" i="1" s="1"/>
  <c r="AC82" i="1" a="1"/>
  <c r="AC82" i="1" s="1"/>
  <c r="AD82" i="1" a="1"/>
  <c r="AD82" i="1" s="1"/>
  <c r="AE82" i="1" a="1"/>
  <c r="AE82" i="1" s="1"/>
  <c r="AF82" i="1" a="1"/>
  <c r="AF82" i="1" s="1"/>
  <c r="AG82" i="1" a="1"/>
  <c r="AG82" i="1" s="1"/>
  <c r="AH82" i="1" a="1"/>
  <c r="AH82" i="1" s="1"/>
  <c r="AJ82" i="1"/>
  <c r="AK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H82" i="1"/>
  <c r="CI82" i="1"/>
  <c r="CJ82" i="1"/>
  <c r="DQ82" i="1" s="1" a="1"/>
  <c r="DQ82" i="1" s="1"/>
  <c r="CK82" i="1"/>
  <c r="DR82" i="1" s="1" a="1"/>
  <c r="DR82" i="1" s="1"/>
  <c r="CL82" i="1"/>
  <c r="CR82" i="1" s="1"/>
  <c r="DD82" i="1"/>
  <c r="DE82" i="1"/>
  <c r="DF82" i="1"/>
  <c r="DG82" i="1"/>
  <c r="DH82" i="1"/>
  <c r="DI82" i="1"/>
  <c r="DJ82" i="1"/>
  <c r="DK82" i="1"/>
  <c r="DL82" i="1"/>
  <c r="DM82" i="1"/>
  <c r="I83" i="1"/>
  <c r="J83" i="1"/>
  <c r="K83" i="1"/>
  <c r="L83" i="1"/>
  <c r="M83" i="1"/>
  <c r="N83" i="1"/>
  <c r="P83" i="1" a="1"/>
  <c r="P83" i="1" s="1"/>
  <c r="Q83" i="1" s="1"/>
  <c r="S83" i="1"/>
  <c r="T83" i="1" s="1"/>
  <c r="V83" i="1" a="1"/>
  <c r="V83" i="1" s="1"/>
  <c r="W83" i="1" s="1"/>
  <c r="Y83" i="1" a="1"/>
  <c r="Y83" i="1" s="1"/>
  <c r="Z83" i="1" a="1"/>
  <c r="Z83" i="1" s="1"/>
  <c r="AA83" i="1" a="1"/>
  <c r="AA83" i="1" s="1"/>
  <c r="AC83" i="1" a="1"/>
  <c r="AC83" i="1" s="1"/>
  <c r="AD83" i="1" a="1"/>
  <c r="AD83" i="1" s="1"/>
  <c r="AE83" i="1" a="1"/>
  <c r="AE83" i="1" s="1"/>
  <c r="AF83" i="1" a="1"/>
  <c r="AF83" i="1" s="1"/>
  <c r="AG83" i="1" a="1"/>
  <c r="AG83" i="1" s="1"/>
  <c r="AH83" i="1" a="1"/>
  <c r="AH83" i="1" s="1"/>
  <c r="AJ83" i="1"/>
  <c r="AK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H83" i="1"/>
  <c r="CN83" i="1" s="1"/>
  <c r="CI83" i="1"/>
  <c r="CO83" i="1" s="1"/>
  <c r="CJ83" i="1"/>
  <c r="DQ83" i="1" s="1" a="1"/>
  <c r="DQ83" i="1" s="1"/>
  <c r="CK83" i="1"/>
  <c r="CQ83" i="1" s="1"/>
  <c r="CL83" i="1"/>
  <c r="DS83" i="1" s="1" a="1"/>
  <c r="DS83" i="1" s="1"/>
  <c r="DD83" i="1"/>
  <c r="DE83" i="1"/>
  <c r="DF83" i="1"/>
  <c r="DG83" i="1"/>
  <c r="DH83" i="1"/>
  <c r="DI83" i="1"/>
  <c r="DJ83" i="1"/>
  <c r="DK83" i="1"/>
  <c r="DL83" i="1"/>
  <c r="DM83" i="1"/>
  <c r="I84" i="1"/>
  <c r="J84" i="1"/>
  <c r="K84" i="1"/>
  <c r="L84" i="1"/>
  <c r="M84" i="1"/>
  <c r="N84" i="1"/>
  <c r="P84" i="1" a="1"/>
  <c r="P84" i="1"/>
  <c r="Q84" i="1" s="1"/>
  <c r="S84" i="1"/>
  <c r="T84" i="1" s="1"/>
  <c r="V84" i="1" a="1"/>
  <c r="V84" i="1" s="1"/>
  <c r="W84" i="1" s="1"/>
  <c r="Y84" i="1" a="1"/>
  <c r="Y84" i="1" s="1"/>
  <c r="Z84" i="1" a="1"/>
  <c r="Z84" i="1" s="1"/>
  <c r="AA84" i="1" a="1"/>
  <c r="AA84" i="1" s="1"/>
  <c r="AC84" i="1" a="1"/>
  <c r="AC84" i="1" s="1"/>
  <c r="AD84" i="1" a="1"/>
  <c r="AD84" i="1" s="1"/>
  <c r="AE84" i="1" a="1"/>
  <c r="AE84" i="1" s="1"/>
  <c r="AF84" i="1" a="1"/>
  <c r="AF84" i="1" s="1"/>
  <c r="AG84" i="1" a="1"/>
  <c r="AG84" i="1" s="1"/>
  <c r="AH84" i="1" a="1"/>
  <c r="AH84" i="1" s="1"/>
  <c r="AJ84" i="1"/>
  <c r="AK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H84" i="1"/>
  <c r="CN84" i="1" s="1"/>
  <c r="CI84" i="1"/>
  <c r="CJ84" i="1"/>
  <c r="DQ84" i="1" s="1" a="1"/>
  <c r="DQ84" i="1" s="1"/>
  <c r="CK84" i="1"/>
  <c r="CL84" i="1"/>
  <c r="DS84" i="1" s="1" a="1"/>
  <c r="DS84" i="1" s="1"/>
  <c r="DD84" i="1"/>
  <c r="DE84" i="1"/>
  <c r="DF84" i="1"/>
  <c r="DG84" i="1"/>
  <c r="DH84" i="1"/>
  <c r="DI84" i="1"/>
  <c r="DJ84" i="1"/>
  <c r="DK84" i="1"/>
  <c r="DL84" i="1"/>
  <c r="DM84" i="1"/>
  <c r="DO84" i="1" a="1"/>
  <c r="DO84" i="1" s="1"/>
  <c r="I85" i="1"/>
  <c r="J85" i="1"/>
  <c r="K85" i="1"/>
  <c r="L85" i="1"/>
  <c r="M85" i="1"/>
  <c r="N85" i="1"/>
  <c r="P85" i="1" a="1"/>
  <c r="P85" i="1" s="1"/>
  <c r="Q85" i="1" s="1"/>
  <c r="S85" i="1"/>
  <c r="T85" i="1" s="1"/>
  <c r="V85" i="1" a="1"/>
  <c r="V85" i="1" s="1"/>
  <c r="W85" i="1" s="1"/>
  <c r="Y85" i="1" a="1"/>
  <c r="Y85" i="1" s="1"/>
  <c r="Z85" i="1" a="1"/>
  <c r="Z85" i="1" s="1"/>
  <c r="AA85" i="1" a="1"/>
  <c r="AA85" i="1" s="1"/>
  <c r="AC85" i="1" a="1"/>
  <c r="AC85" i="1" s="1"/>
  <c r="AD85" i="1" a="1"/>
  <c r="AD85" i="1" s="1"/>
  <c r="AE85" i="1" a="1"/>
  <c r="AE85" i="1" s="1"/>
  <c r="AF85" i="1" a="1"/>
  <c r="AF85" i="1" s="1"/>
  <c r="AG85" i="1" a="1"/>
  <c r="AG85" i="1" s="1"/>
  <c r="AH85" i="1" a="1"/>
  <c r="AH85" i="1" s="1"/>
  <c r="AJ85" i="1"/>
  <c r="AK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H85" i="1"/>
  <c r="CI85" i="1"/>
  <c r="DP85" i="1" s="1" a="1"/>
  <c r="DP85" i="1" s="1"/>
  <c r="CJ85" i="1"/>
  <c r="DQ85" i="1" s="1" a="1"/>
  <c r="DQ85" i="1" s="1"/>
  <c r="CK85" i="1"/>
  <c r="CL85" i="1"/>
  <c r="CR85" i="1" s="1"/>
  <c r="DD85" i="1"/>
  <c r="DE85" i="1"/>
  <c r="DF85" i="1"/>
  <c r="DG85" i="1"/>
  <c r="DH85" i="1"/>
  <c r="DI85" i="1"/>
  <c r="DJ85" i="1"/>
  <c r="DK85" i="1"/>
  <c r="DL85" i="1"/>
  <c r="DM85" i="1"/>
  <c r="I86" i="1"/>
  <c r="J86" i="1"/>
  <c r="K86" i="1"/>
  <c r="L86" i="1"/>
  <c r="M86" i="1"/>
  <c r="N86" i="1"/>
  <c r="P86" i="1" a="1"/>
  <c r="P86" i="1" s="1"/>
  <c r="Q86" i="1" s="1"/>
  <c r="S86" i="1"/>
  <c r="T86" i="1"/>
  <c r="V86" i="1" a="1"/>
  <c r="V86" i="1" s="1"/>
  <c r="W86" i="1" s="1"/>
  <c r="Y86" i="1" a="1"/>
  <c r="Y86" i="1" s="1"/>
  <c r="Z86" i="1" a="1"/>
  <c r="Z86" i="1" s="1"/>
  <c r="AA86" i="1" a="1"/>
  <c r="AA86" i="1" s="1"/>
  <c r="AC86" i="1" a="1"/>
  <c r="AC86" i="1" s="1"/>
  <c r="AD86" i="1" a="1"/>
  <c r="AD86" i="1" s="1"/>
  <c r="AE86" i="1" a="1"/>
  <c r="AE86" i="1" s="1"/>
  <c r="AF86" i="1" a="1"/>
  <c r="AF86" i="1" s="1"/>
  <c r="AG86" i="1" a="1"/>
  <c r="AG86" i="1" s="1"/>
  <c r="AH86" i="1" a="1"/>
  <c r="AH86" i="1" s="1"/>
  <c r="AJ86" i="1"/>
  <c r="AL86" i="1" s="1"/>
  <c r="AK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H86" i="1"/>
  <c r="DO86" i="1" s="1" a="1"/>
  <c r="DO86" i="1" s="1"/>
  <c r="CI86" i="1"/>
  <c r="DP86" i="1" s="1" a="1"/>
  <c r="DP86" i="1" s="1"/>
  <c r="CJ86" i="1"/>
  <c r="DQ86" i="1" s="1" a="1"/>
  <c r="DQ86" i="1" s="1"/>
  <c r="CK86" i="1"/>
  <c r="CQ86" i="1" s="1"/>
  <c r="CL86" i="1"/>
  <c r="CR86" i="1" s="1"/>
  <c r="DD86" i="1"/>
  <c r="DE86" i="1"/>
  <c r="DF86" i="1"/>
  <c r="DG86" i="1"/>
  <c r="DH86" i="1"/>
  <c r="DI86" i="1"/>
  <c r="DJ86" i="1"/>
  <c r="DK86" i="1"/>
  <c r="DL86" i="1"/>
  <c r="DM86" i="1"/>
  <c r="I87" i="1"/>
  <c r="J87" i="1"/>
  <c r="K87" i="1"/>
  <c r="L87" i="1"/>
  <c r="M87" i="1"/>
  <c r="N87" i="1"/>
  <c r="P87" i="1" a="1"/>
  <c r="P87" i="1" s="1"/>
  <c r="S87" i="1"/>
  <c r="T87" i="1"/>
  <c r="V87" i="1" a="1"/>
  <c r="V87" i="1" s="1"/>
  <c r="W87" i="1" s="1"/>
  <c r="Y87" i="1" a="1"/>
  <c r="Y87" i="1" s="1"/>
  <c r="Z87" i="1" a="1"/>
  <c r="Z87" i="1" s="1"/>
  <c r="AA87" i="1" a="1"/>
  <c r="AA87" i="1" s="1"/>
  <c r="AC87" i="1" a="1"/>
  <c r="AC87" i="1" s="1"/>
  <c r="AD87" i="1" a="1"/>
  <c r="AD87" i="1" s="1"/>
  <c r="AE87" i="1" a="1"/>
  <c r="AE87" i="1" s="1"/>
  <c r="AF87" i="1" a="1"/>
  <c r="AF87" i="1" s="1"/>
  <c r="AG87" i="1" a="1"/>
  <c r="AG87" i="1" s="1"/>
  <c r="AH87" i="1" a="1"/>
  <c r="AH87" i="1" s="1"/>
  <c r="AJ87" i="1"/>
  <c r="AK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H87" i="1"/>
  <c r="DO87" i="1" s="1" a="1"/>
  <c r="DO87" i="1" s="1"/>
  <c r="CI87" i="1"/>
  <c r="CJ87" i="1"/>
  <c r="CP87" i="1" s="1"/>
  <c r="CK87" i="1"/>
  <c r="CQ87" i="1" s="1"/>
  <c r="CL87" i="1"/>
  <c r="DS87" i="1" s="1" a="1"/>
  <c r="DS87" i="1" s="1"/>
  <c r="DD87" i="1"/>
  <c r="DE87" i="1"/>
  <c r="DF87" i="1"/>
  <c r="DG87" i="1"/>
  <c r="DH87" i="1"/>
  <c r="DI87" i="1"/>
  <c r="DJ87" i="1"/>
  <c r="DK87" i="1"/>
  <c r="DL87" i="1"/>
  <c r="DM87" i="1"/>
  <c r="I88" i="1"/>
  <c r="J88" i="1"/>
  <c r="K88" i="1"/>
  <c r="L88" i="1"/>
  <c r="M88" i="1"/>
  <c r="N88" i="1"/>
  <c r="P88" i="1" a="1"/>
  <c r="P88" i="1" s="1"/>
  <c r="Q88" i="1" s="1"/>
  <c r="S88" i="1"/>
  <c r="T88" i="1" s="1"/>
  <c r="V88" i="1" a="1"/>
  <c r="V88" i="1" s="1"/>
  <c r="W88" i="1" s="1"/>
  <c r="Y88" i="1" a="1"/>
  <c r="Y88" i="1" s="1"/>
  <c r="Z88" i="1" a="1"/>
  <c r="Z88" i="1" s="1"/>
  <c r="AA88" i="1" a="1"/>
  <c r="AA88" i="1" s="1"/>
  <c r="AC88" i="1" a="1"/>
  <c r="AC88" i="1" s="1"/>
  <c r="AD88" i="1" a="1"/>
  <c r="AD88" i="1" s="1"/>
  <c r="AE88" i="1" a="1"/>
  <c r="AE88" i="1" s="1"/>
  <c r="AF88" i="1" a="1"/>
  <c r="AF88" i="1" s="1"/>
  <c r="AG88" i="1" a="1"/>
  <c r="AG88" i="1" s="1"/>
  <c r="AH88" i="1" a="1"/>
  <c r="AH88" i="1" s="1"/>
  <c r="AJ88" i="1"/>
  <c r="AK88" i="1"/>
  <c r="AL88" i="1" s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H88" i="1"/>
  <c r="CN88" i="1" s="1"/>
  <c r="CI88" i="1"/>
  <c r="CJ88" i="1"/>
  <c r="DQ88" i="1" s="1" a="1"/>
  <c r="DQ88" i="1" s="1"/>
  <c r="CK88" i="1"/>
  <c r="CL88" i="1"/>
  <c r="DD88" i="1"/>
  <c r="DE88" i="1"/>
  <c r="DF88" i="1"/>
  <c r="DG88" i="1"/>
  <c r="DH88" i="1"/>
  <c r="DI88" i="1"/>
  <c r="DJ88" i="1"/>
  <c r="DK88" i="1"/>
  <c r="DL88" i="1"/>
  <c r="DM88" i="1"/>
  <c r="I89" i="1"/>
  <c r="J89" i="1"/>
  <c r="K89" i="1"/>
  <c r="L89" i="1"/>
  <c r="M89" i="1"/>
  <c r="N89" i="1"/>
  <c r="P89" i="1" a="1"/>
  <c r="P89" i="1" s="1"/>
  <c r="Q89" i="1" s="1"/>
  <c r="S89" i="1"/>
  <c r="T89" i="1" s="1"/>
  <c r="V89" i="1" a="1"/>
  <c r="V89" i="1" s="1"/>
  <c r="W89" i="1" s="1"/>
  <c r="Y89" i="1" a="1"/>
  <c r="Y89" i="1" s="1"/>
  <c r="Z89" i="1" a="1"/>
  <c r="Z89" i="1" s="1"/>
  <c r="AA89" i="1" a="1"/>
  <c r="AA89" i="1" s="1"/>
  <c r="AC89" i="1" a="1"/>
  <c r="AC89" i="1" s="1"/>
  <c r="AD89" i="1" a="1"/>
  <c r="AD89" i="1" s="1"/>
  <c r="AE89" i="1" a="1"/>
  <c r="AE89" i="1" s="1"/>
  <c r="AF89" i="1" a="1"/>
  <c r="AF89" i="1" s="1"/>
  <c r="AG89" i="1" a="1"/>
  <c r="AG89" i="1" s="1"/>
  <c r="AH89" i="1" a="1"/>
  <c r="AH89" i="1" s="1"/>
  <c r="AJ89" i="1"/>
  <c r="AK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H89" i="1"/>
  <c r="CI89" i="1"/>
  <c r="CJ89" i="1"/>
  <c r="DQ89" i="1" s="1" a="1"/>
  <c r="DQ89" i="1" s="1"/>
  <c r="CK89" i="1"/>
  <c r="DR89" i="1" s="1" a="1"/>
  <c r="DR89" i="1" s="1"/>
  <c r="CL89" i="1"/>
  <c r="DS89" i="1" s="1" a="1"/>
  <c r="DS89" i="1" s="1"/>
  <c r="DD89" i="1"/>
  <c r="DE89" i="1"/>
  <c r="DF89" i="1"/>
  <c r="DG89" i="1"/>
  <c r="DH89" i="1"/>
  <c r="DI89" i="1"/>
  <c r="DJ89" i="1"/>
  <c r="DK89" i="1"/>
  <c r="DL89" i="1"/>
  <c r="DM89" i="1"/>
  <c r="K90" i="1"/>
  <c r="AG90" i="1" a="1"/>
  <c r="AG90" i="1" s="1"/>
  <c r="M90" i="1"/>
  <c r="N90" i="1"/>
  <c r="AC90" i="1" a="1"/>
  <c r="AC90" i="1" s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DD90" i="1"/>
  <c r="DE90" i="1"/>
  <c r="DF90" i="1"/>
  <c r="DG90" i="1"/>
  <c r="DH90" i="1"/>
  <c r="DI90" i="1"/>
  <c r="DJ90" i="1"/>
  <c r="DK90" i="1"/>
  <c r="DL90" i="1"/>
  <c r="DM90" i="1"/>
  <c r="V91" i="1" a="1"/>
  <c r="V91" i="1" s="1"/>
  <c r="W91" i="1" s="1"/>
  <c r="CH91" i="1"/>
  <c r="DO91" i="1" s="1" a="1"/>
  <c r="DO91" i="1" s="1"/>
  <c r="K91" i="1"/>
  <c r="AF91" i="1" a="1"/>
  <c r="AF91" i="1" s="1"/>
  <c r="L91" i="1"/>
  <c r="AE91" i="1" a="1"/>
  <c r="AE91" i="1" s="1"/>
  <c r="AK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D91" i="1"/>
  <c r="DD91" i="1"/>
  <c r="DE91" i="1"/>
  <c r="DF91" i="1"/>
  <c r="DG91" i="1"/>
  <c r="DH91" i="1"/>
  <c r="DI91" i="1"/>
  <c r="DJ91" i="1"/>
  <c r="DK91" i="1"/>
  <c r="DL91" i="1"/>
  <c r="DM91" i="1"/>
  <c r="I92" i="1"/>
  <c r="K92" i="1"/>
  <c r="AF92" i="1" a="1"/>
  <c r="AF92" i="1" s="1"/>
  <c r="AC92" i="1" a="1"/>
  <c r="AC92" i="1" s="1"/>
  <c r="AD92" i="1" a="1"/>
  <c r="AD92" i="1" s="1"/>
  <c r="AE92" i="1" a="1"/>
  <c r="AE92" i="1" s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C92" i="1"/>
  <c r="CJ92" i="1"/>
  <c r="CP92" i="1" s="1"/>
  <c r="DD92" i="1"/>
  <c r="DE92" i="1"/>
  <c r="DF92" i="1"/>
  <c r="DG92" i="1"/>
  <c r="DH92" i="1"/>
  <c r="DI92" i="1"/>
  <c r="DJ92" i="1"/>
  <c r="DK92" i="1"/>
  <c r="DL92" i="1"/>
  <c r="DM92" i="1"/>
  <c r="CC93" i="1"/>
  <c r="K93" i="1"/>
  <c r="AF93" i="1" a="1"/>
  <c r="AF93" i="1" s="1"/>
  <c r="I93" i="1"/>
  <c r="AC93" i="1" a="1"/>
  <c r="AC93" i="1" s="1"/>
  <c r="AD93" i="1" a="1"/>
  <c r="AD93" i="1" s="1"/>
  <c r="AE93" i="1" a="1"/>
  <c r="AE93" i="1" s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DD93" i="1"/>
  <c r="DE93" i="1"/>
  <c r="DF93" i="1"/>
  <c r="DG93" i="1"/>
  <c r="DH93" i="1"/>
  <c r="DI93" i="1"/>
  <c r="DJ93" i="1"/>
  <c r="DK93" i="1"/>
  <c r="DL93" i="1"/>
  <c r="DM93" i="1"/>
  <c r="Y94" i="1" a="1"/>
  <c r="Y94" i="1" s="1"/>
  <c r="AJ94" i="1"/>
  <c r="AF94" i="1" a="1"/>
  <c r="AF94" i="1" s="1"/>
  <c r="CL94" i="1"/>
  <c r="DS94" i="1" s="1" a="1"/>
  <c r="DS94" i="1" s="1"/>
  <c r="L94" i="1"/>
  <c r="M94" i="1"/>
  <c r="AC94" i="1" a="1"/>
  <c r="AC94" i="1" s="1"/>
  <c r="AG94" i="1" a="1"/>
  <c r="AG94" i="1" s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H94" i="1"/>
  <c r="CK94" i="1"/>
  <c r="DR94" i="1" s="1" a="1"/>
  <c r="DR94" i="1" s="1"/>
  <c r="DD94" i="1"/>
  <c r="DE94" i="1"/>
  <c r="DF94" i="1"/>
  <c r="DG94" i="1"/>
  <c r="DH94" i="1"/>
  <c r="DI94" i="1"/>
  <c r="DJ94" i="1"/>
  <c r="DK94" i="1"/>
  <c r="DL94" i="1"/>
  <c r="DM94" i="1"/>
  <c r="BK95" i="1"/>
  <c r="K95" i="1"/>
  <c r="N95" i="1"/>
  <c r="AC95" i="1" a="1"/>
  <c r="AC95" i="1" s="1"/>
  <c r="AD95" i="1" a="1"/>
  <c r="AD95" i="1" s="1"/>
  <c r="AE95" i="1" a="1"/>
  <c r="AE95" i="1" s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DD95" i="1"/>
  <c r="DE95" i="1"/>
  <c r="DF95" i="1"/>
  <c r="DG95" i="1"/>
  <c r="DH95" i="1"/>
  <c r="DI95" i="1"/>
  <c r="DJ95" i="1"/>
  <c r="DK95" i="1"/>
  <c r="DL95" i="1"/>
  <c r="DM95" i="1"/>
  <c r="J96" i="1"/>
  <c r="AE96" i="1" a="1"/>
  <c r="AE96" i="1" s="1"/>
  <c r="AF96" i="1" a="1"/>
  <c r="AF96" i="1" s="1"/>
  <c r="M96" i="1"/>
  <c r="CL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F96" i="1"/>
  <c r="DD96" i="1"/>
  <c r="DE96" i="1"/>
  <c r="DF96" i="1"/>
  <c r="DG96" i="1"/>
  <c r="DH96" i="1"/>
  <c r="DI96" i="1"/>
  <c r="DJ96" i="1"/>
  <c r="DK96" i="1"/>
  <c r="DL96" i="1"/>
  <c r="DM96" i="1"/>
  <c r="AC97" i="1" a="1"/>
  <c r="AC97" i="1" s="1"/>
  <c r="J97" i="1"/>
  <c r="AE97" i="1" a="1"/>
  <c r="AE97" i="1" s="1"/>
  <c r="AF97" i="1" a="1"/>
  <c r="AF97" i="1" s="1"/>
  <c r="M97" i="1"/>
  <c r="AH97" i="1" a="1"/>
  <c r="AH97" i="1" s="1"/>
  <c r="K97" i="1"/>
  <c r="N97" i="1"/>
  <c r="AP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L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F97" i="1"/>
  <c r="CJ97" i="1"/>
  <c r="DQ97" i="1" s="1" a="1"/>
  <c r="DQ97" i="1" s="1"/>
  <c r="DD97" i="1"/>
  <c r="DE97" i="1"/>
  <c r="DF97" i="1"/>
  <c r="DG97" i="1"/>
  <c r="DH97" i="1"/>
  <c r="DI97" i="1"/>
  <c r="DJ97" i="1"/>
  <c r="DK97" i="1"/>
  <c r="DL97" i="1"/>
  <c r="DM97" i="1"/>
  <c r="J98" i="1"/>
  <c r="CC98" i="1"/>
  <c r="AG98" i="1" a="1"/>
  <c r="AG98" i="1" s="1"/>
  <c r="N98" i="1"/>
  <c r="I98" i="1"/>
  <c r="AC98" i="1" a="1"/>
  <c r="AC98" i="1" s="1"/>
  <c r="AF98" i="1" a="1"/>
  <c r="AF98" i="1" s="1"/>
  <c r="AH98" i="1" a="1"/>
  <c r="AH98" i="1" s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DD98" i="1"/>
  <c r="DE98" i="1"/>
  <c r="DF98" i="1"/>
  <c r="DG98" i="1"/>
  <c r="DH98" i="1"/>
  <c r="DI98" i="1"/>
  <c r="DJ98" i="1"/>
  <c r="DK98" i="1"/>
  <c r="DL98" i="1"/>
  <c r="DM98" i="1"/>
  <c r="AO99" i="1"/>
  <c r="J99" i="1"/>
  <c r="K99" i="1"/>
  <c r="CJ99" i="1"/>
  <c r="CF99" i="1"/>
  <c r="N99" i="1"/>
  <c r="AC99" i="1" a="1"/>
  <c r="AC99" i="1" s="1"/>
  <c r="AE99" i="1" a="1"/>
  <c r="AE99" i="1" s="1"/>
  <c r="AF99" i="1" a="1"/>
  <c r="AF99" i="1" s="1"/>
  <c r="AG99" i="1" a="1"/>
  <c r="AG99" i="1" s="1"/>
  <c r="AH99" i="1" a="1"/>
  <c r="AH99" i="1" s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DD99" i="1"/>
  <c r="DE99" i="1"/>
  <c r="DF99" i="1"/>
  <c r="DG99" i="1"/>
  <c r="DH99" i="1"/>
  <c r="DI99" i="1"/>
  <c r="DJ99" i="1"/>
  <c r="DK99" i="1"/>
  <c r="DL99" i="1"/>
  <c r="DM99" i="1"/>
  <c r="AC100" i="1" a="1"/>
  <c r="AC100" i="1" s="1"/>
  <c r="CI100" i="1"/>
  <c r="L100" i="1"/>
  <c r="N100" i="1"/>
  <c r="M100" i="1"/>
  <c r="AG100" i="1" a="1"/>
  <c r="AG100" i="1" s="1"/>
  <c r="AQ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F100" i="1"/>
  <c r="CK100" i="1"/>
  <c r="DR100" i="1" s="1" a="1"/>
  <c r="DR100" i="1" s="1"/>
  <c r="DD100" i="1"/>
  <c r="DE100" i="1"/>
  <c r="DF100" i="1"/>
  <c r="DG100" i="1"/>
  <c r="DH100" i="1"/>
  <c r="DI100" i="1"/>
  <c r="DJ100" i="1"/>
  <c r="DK100" i="1"/>
  <c r="DL100" i="1"/>
  <c r="DM100" i="1"/>
  <c r="AC101" i="1" a="1"/>
  <c r="AC101" i="1" s="1"/>
  <c r="J101" i="1"/>
  <c r="AG101" i="1" a="1"/>
  <c r="AG101" i="1" s="1"/>
  <c r="N101" i="1"/>
  <c r="AD101" i="1" a="1"/>
  <c r="AD101" i="1" s="1"/>
  <c r="AH101" i="1" a="1"/>
  <c r="AH101" i="1" s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DD101" i="1"/>
  <c r="DE101" i="1"/>
  <c r="DF101" i="1"/>
  <c r="DG101" i="1"/>
  <c r="DH101" i="1"/>
  <c r="DI101" i="1"/>
  <c r="DJ101" i="1"/>
  <c r="DK101" i="1"/>
  <c r="DL101" i="1"/>
  <c r="DM101" i="1"/>
  <c r="Z102" i="1" a="1"/>
  <c r="Z102" i="1" s="1"/>
  <c r="L102" i="1"/>
  <c r="CK102" i="1"/>
  <c r="DR102" i="1" s="1" a="1"/>
  <c r="DR102" i="1" s="1"/>
  <c r="N102" i="1"/>
  <c r="AF102" i="1" a="1"/>
  <c r="AF102" i="1" s="1"/>
  <c r="AH102" i="1" a="1"/>
  <c r="AH102" i="1" s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DD102" i="1"/>
  <c r="DE102" i="1"/>
  <c r="DF102" i="1"/>
  <c r="DG102" i="1"/>
  <c r="DH102" i="1"/>
  <c r="DI102" i="1"/>
  <c r="DJ102" i="1"/>
  <c r="DK102" i="1"/>
  <c r="DL102" i="1"/>
  <c r="DM102" i="1"/>
  <c r="AE103" i="1" a="1"/>
  <c r="AE103" i="1" s="1"/>
  <c r="L103" i="1"/>
  <c r="CE103" i="1"/>
  <c r="N103" i="1"/>
  <c r="J103" i="1"/>
  <c r="M103" i="1"/>
  <c r="AD103" i="1" a="1"/>
  <c r="AD103" i="1" s="1"/>
  <c r="AF103" i="1" a="1"/>
  <c r="AF103" i="1" s="1"/>
  <c r="AG103" i="1" a="1"/>
  <c r="AG103" i="1" s="1"/>
  <c r="AH103" i="1" a="1"/>
  <c r="AH103" i="1" s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K103" i="1"/>
  <c r="CQ103" i="1" s="1"/>
  <c r="DD103" i="1"/>
  <c r="DE103" i="1"/>
  <c r="DF103" i="1"/>
  <c r="DG103" i="1"/>
  <c r="DH103" i="1"/>
  <c r="DI103" i="1"/>
  <c r="DJ103" i="1"/>
  <c r="DK103" i="1"/>
  <c r="DL103" i="1"/>
  <c r="DM103" i="1"/>
  <c r="S104" i="1"/>
  <c r="T104" i="1" s="1"/>
  <c r="AE104" i="1" a="1"/>
  <c r="AE104" i="1" s="1"/>
  <c r="L104" i="1"/>
  <c r="M104" i="1"/>
  <c r="J104" i="1"/>
  <c r="N104" i="1"/>
  <c r="AD104" i="1" a="1"/>
  <c r="AD104" i="1" s="1"/>
  <c r="AF104" i="1" a="1"/>
  <c r="AF104" i="1" s="1"/>
  <c r="AH104" i="1" a="1"/>
  <c r="AH104" i="1" s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J104" i="1"/>
  <c r="DQ104" i="1" s="1" a="1"/>
  <c r="DQ104" i="1" s="1"/>
  <c r="DD104" i="1"/>
  <c r="DE104" i="1"/>
  <c r="DF104" i="1"/>
  <c r="DG104" i="1"/>
  <c r="DH104" i="1"/>
  <c r="DI104" i="1"/>
  <c r="DJ104" i="1"/>
  <c r="DK104" i="1"/>
  <c r="DL104" i="1"/>
  <c r="DM104" i="1"/>
  <c r="AD105" i="1" a="1"/>
  <c r="AD105" i="1" s="1"/>
  <c r="AE105" i="1" a="1"/>
  <c r="AE105" i="1" s="1"/>
  <c r="L105" i="1"/>
  <c r="M105" i="1"/>
  <c r="CF105" i="1"/>
  <c r="K105" i="1"/>
  <c r="AA105" i="1" a="1"/>
  <c r="AA105" i="1" s="1"/>
  <c r="AH105" i="1" a="1"/>
  <c r="AH105" i="1" s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J105" i="1"/>
  <c r="DQ105" i="1" s="1" a="1"/>
  <c r="DQ105" i="1" s="1"/>
  <c r="DD105" i="1"/>
  <c r="DE105" i="1"/>
  <c r="DF105" i="1"/>
  <c r="DG105" i="1"/>
  <c r="DH105" i="1"/>
  <c r="DI105" i="1"/>
  <c r="DJ105" i="1"/>
  <c r="DK105" i="1"/>
  <c r="DL105" i="1"/>
  <c r="DM105" i="1"/>
  <c r="AD106" i="1" a="1"/>
  <c r="AD106" i="1" s="1"/>
  <c r="AE106" i="1" a="1"/>
  <c r="AE106" i="1" s="1"/>
  <c r="L106" i="1"/>
  <c r="N106" i="1"/>
  <c r="K106" i="1"/>
  <c r="Y106" i="1" a="1"/>
  <c r="Y106" i="1" s="1"/>
  <c r="AH106" i="1" a="1"/>
  <c r="AH106" i="1" s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J106" i="1"/>
  <c r="DQ106" i="1" s="1" a="1"/>
  <c r="DQ106" i="1" s="1"/>
  <c r="DD106" i="1"/>
  <c r="DE106" i="1"/>
  <c r="DF106" i="1"/>
  <c r="DG106" i="1"/>
  <c r="DH106" i="1"/>
  <c r="DI106" i="1"/>
  <c r="DJ106" i="1"/>
  <c r="DK106" i="1"/>
  <c r="DL106" i="1"/>
  <c r="DM106" i="1"/>
  <c r="P107" i="1" a="1"/>
  <c r="P107" i="1" s="1"/>
  <c r="AE107" i="1" a="1"/>
  <c r="AE107" i="1" s="1"/>
  <c r="L107" i="1"/>
  <c r="S107" i="1"/>
  <c r="T107" i="1" s="1"/>
  <c r="AH107" i="1" a="1"/>
  <c r="AH107" i="1" s="1"/>
  <c r="J107" i="1"/>
  <c r="N107" i="1"/>
  <c r="AD107" i="1" a="1"/>
  <c r="AD107" i="1" s="1"/>
  <c r="AF107" i="1" a="1"/>
  <c r="AF107" i="1" s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DD107" i="1"/>
  <c r="DE107" i="1"/>
  <c r="DF107" i="1"/>
  <c r="DG107" i="1"/>
  <c r="DH107" i="1"/>
  <c r="DI107" i="1"/>
  <c r="DJ107" i="1"/>
  <c r="DK107" i="1"/>
  <c r="DL107" i="1"/>
  <c r="DM107" i="1"/>
  <c r="AK108" i="1"/>
  <c r="AE108" i="1" a="1"/>
  <c r="AE108" i="1" s="1"/>
  <c r="L108" i="1"/>
  <c r="J108" i="1"/>
  <c r="N108" i="1"/>
  <c r="AD108" i="1" a="1"/>
  <c r="AD108" i="1" s="1"/>
  <c r="AH108" i="1" a="1"/>
  <c r="AH108" i="1" s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DD108" i="1"/>
  <c r="DE108" i="1"/>
  <c r="DF108" i="1"/>
  <c r="DG108" i="1"/>
  <c r="DH108" i="1"/>
  <c r="DI108" i="1"/>
  <c r="DJ108" i="1"/>
  <c r="DK108" i="1"/>
  <c r="DL108" i="1"/>
  <c r="DM108" i="1"/>
  <c r="V109" i="1" a="1"/>
  <c r="V109" i="1" s="1"/>
  <c r="W109" i="1" s="1"/>
  <c r="AE109" i="1" a="1"/>
  <c r="AE109" i="1" s="1"/>
  <c r="CE109" i="1"/>
  <c r="CF109" i="1"/>
  <c r="K109" i="1"/>
  <c r="N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D109" i="1"/>
  <c r="CJ109" i="1"/>
  <c r="CP109" i="1" s="1"/>
  <c r="DD109" i="1"/>
  <c r="DE109" i="1"/>
  <c r="DF109" i="1"/>
  <c r="DG109" i="1"/>
  <c r="DH109" i="1"/>
  <c r="DI109" i="1"/>
  <c r="DJ109" i="1"/>
  <c r="DK109" i="1"/>
  <c r="DL109" i="1"/>
  <c r="DM109" i="1"/>
  <c r="BM110" i="1"/>
  <c r="AE110" i="1" a="1"/>
  <c r="AE110" i="1" s="1"/>
  <c r="AF110" i="1" a="1"/>
  <c r="AF110" i="1" s="1"/>
  <c r="CE110" i="1"/>
  <c r="CL110" i="1"/>
  <c r="L110" i="1"/>
  <c r="Y110" i="1" a="1"/>
  <c r="Y110" i="1" s="1"/>
  <c r="AH110" i="1" a="1"/>
  <c r="AH110" i="1" s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J110" i="1"/>
  <c r="DQ110" i="1" s="1" a="1"/>
  <c r="DQ110" i="1" s="1"/>
  <c r="DD110" i="1"/>
  <c r="DE110" i="1"/>
  <c r="DF110" i="1"/>
  <c r="DG110" i="1"/>
  <c r="DH110" i="1"/>
  <c r="DI110" i="1"/>
  <c r="DJ110" i="1"/>
  <c r="DK110" i="1"/>
  <c r="DL110" i="1"/>
  <c r="DM110" i="1"/>
  <c r="AN111" i="1"/>
  <c r="CH111" i="1"/>
  <c r="AE111" i="1" a="1"/>
  <c r="AE111" i="1" s="1"/>
  <c r="BK111" i="1"/>
  <c r="CF111" i="1"/>
  <c r="K111" i="1"/>
  <c r="AF111" i="1" a="1"/>
  <c r="AF111" i="1" s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C111" i="1"/>
  <c r="DD111" i="1"/>
  <c r="DE111" i="1"/>
  <c r="DF111" i="1"/>
  <c r="DG111" i="1"/>
  <c r="DH111" i="1"/>
  <c r="DI111" i="1"/>
  <c r="DJ111" i="1"/>
  <c r="DK111" i="1"/>
  <c r="DL111" i="1"/>
  <c r="DM111" i="1"/>
  <c r="AE112" i="1" a="1"/>
  <c r="AE112" i="1" s="1"/>
  <c r="L112" i="1"/>
  <c r="AG112" i="1" a="1"/>
  <c r="AG112" i="1" s="1"/>
  <c r="N112" i="1"/>
  <c r="M112" i="1"/>
  <c r="AF112" i="1" a="1"/>
  <c r="AF112" i="1" s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E112" i="1"/>
  <c r="DD112" i="1"/>
  <c r="DE112" i="1"/>
  <c r="DF112" i="1"/>
  <c r="DG112" i="1"/>
  <c r="DH112" i="1"/>
  <c r="DI112" i="1"/>
  <c r="DJ112" i="1"/>
  <c r="DK112" i="1"/>
  <c r="DL112" i="1"/>
  <c r="DM112" i="1"/>
  <c r="I113" i="1"/>
  <c r="J113" i="1"/>
  <c r="K113" i="1"/>
  <c r="CF113" i="1"/>
  <c r="N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E113" i="1"/>
  <c r="CH113" i="1"/>
  <c r="CN113" i="1" s="1"/>
  <c r="DD113" i="1"/>
  <c r="DE113" i="1"/>
  <c r="DF113" i="1"/>
  <c r="DG113" i="1"/>
  <c r="DH113" i="1"/>
  <c r="DI113" i="1"/>
  <c r="DJ113" i="1"/>
  <c r="DK113" i="1"/>
  <c r="DL113" i="1"/>
  <c r="DM113" i="1"/>
  <c r="AC114" i="1" a="1"/>
  <c r="AC114" i="1" s="1"/>
  <c r="J114" i="1"/>
  <c r="K114" i="1"/>
  <c r="AF114" i="1" a="1"/>
  <c r="AF114" i="1" s="1"/>
  <c r="M114" i="1"/>
  <c r="L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D114" i="1"/>
  <c r="CK114" i="1"/>
  <c r="DR114" i="1" s="1" a="1"/>
  <c r="DR114" i="1" s="1"/>
  <c r="DD114" i="1"/>
  <c r="DE114" i="1"/>
  <c r="DF114" i="1"/>
  <c r="DG114" i="1"/>
  <c r="DH114" i="1"/>
  <c r="DI114" i="1"/>
  <c r="DJ114" i="1"/>
  <c r="DK114" i="1"/>
  <c r="DL114" i="1"/>
  <c r="DM114" i="1"/>
  <c r="AJ115" i="1"/>
  <c r="K115" i="1"/>
  <c r="AF115" i="1" a="1"/>
  <c r="AF115" i="1" s="1"/>
  <c r="M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L115" i="1"/>
  <c r="CR115" i="1" s="1"/>
  <c r="DD115" i="1"/>
  <c r="DE115" i="1"/>
  <c r="DF115" i="1"/>
  <c r="DG115" i="1"/>
  <c r="DH115" i="1"/>
  <c r="DI115" i="1"/>
  <c r="DJ115" i="1"/>
  <c r="DK115" i="1"/>
  <c r="DL115" i="1"/>
  <c r="DM115" i="1"/>
  <c r="AC116" i="1" a="1"/>
  <c r="AC116" i="1" s="1"/>
  <c r="K116" i="1"/>
  <c r="AF116" i="1" a="1"/>
  <c r="AF116" i="1" s="1"/>
  <c r="M116" i="1"/>
  <c r="Z116" i="1" a="1"/>
  <c r="Z116" i="1" s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F116" i="1"/>
  <c r="CK116" i="1"/>
  <c r="CQ116" i="1" s="1"/>
  <c r="DD116" i="1"/>
  <c r="DE116" i="1"/>
  <c r="DF116" i="1"/>
  <c r="DG116" i="1"/>
  <c r="DH116" i="1"/>
  <c r="DI116" i="1"/>
  <c r="DJ116" i="1"/>
  <c r="DK116" i="1"/>
  <c r="DL116" i="1"/>
  <c r="DM116" i="1"/>
  <c r="I117" i="1"/>
  <c r="S117" i="1"/>
  <c r="T117" i="1" s="1"/>
  <c r="K117" i="1"/>
  <c r="AF117" i="1" a="1"/>
  <c r="AF117" i="1" s="1"/>
  <c r="M117" i="1"/>
  <c r="Z117" i="1" a="1"/>
  <c r="Z117" i="1" s="1"/>
  <c r="AC117" i="1" a="1"/>
  <c r="AC117" i="1" s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E117" i="1"/>
  <c r="CF117" i="1"/>
  <c r="CJ117" i="1"/>
  <c r="CP117" i="1" s="1"/>
  <c r="CL117" i="1"/>
  <c r="CR117" i="1" s="1"/>
  <c r="DD117" i="1"/>
  <c r="DE117" i="1"/>
  <c r="DF117" i="1"/>
  <c r="DG117" i="1"/>
  <c r="DH117" i="1"/>
  <c r="DI117" i="1"/>
  <c r="DJ117" i="1"/>
  <c r="DK117" i="1"/>
  <c r="DL117" i="1"/>
  <c r="DM117" i="1"/>
  <c r="S118" i="1"/>
  <c r="T118" i="1" s="1"/>
  <c r="K118" i="1"/>
  <c r="AF118" i="1" a="1"/>
  <c r="AF118" i="1" s="1"/>
  <c r="M118" i="1"/>
  <c r="I118" i="1"/>
  <c r="J118" i="1"/>
  <c r="L118" i="1"/>
  <c r="AC118" i="1" a="1"/>
  <c r="AC118" i="1" s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K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D118" i="1"/>
  <c r="CF118" i="1"/>
  <c r="CH118" i="1"/>
  <c r="DO118" i="1" s="1" a="1"/>
  <c r="DO118" i="1" s="1"/>
  <c r="DD118" i="1"/>
  <c r="DE118" i="1"/>
  <c r="DF118" i="1"/>
  <c r="DG118" i="1"/>
  <c r="DH118" i="1"/>
  <c r="DI118" i="1"/>
  <c r="DJ118" i="1"/>
  <c r="DK118" i="1"/>
  <c r="DL118" i="1"/>
  <c r="DM118" i="1"/>
  <c r="K119" i="1"/>
  <c r="AF119" i="1" a="1"/>
  <c r="AF119" i="1" s="1"/>
  <c r="M119" i="1"/>
  <c r="CL119" i="1"/>
  <c r="I119" i="1"/>
  <c r="L119" i="1"/>
  <c r="AC119" i="1" a="1"/>
  <c r="AC119" i="1" s="1"/>
  <c r="AD119" i="1" a="1"/>
  <c r="AD119" i="1" s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DD119" i="1"/>
  <c r="DE119" i="1"/>
  <c r="DF119" i="1"/>
  <c r="DG119" i="1"/>
  <c r="DH119" i="1"/>
  <c r="DI119" i="1"/>
  <c r="DJ119" i="1"/>
  <c r="DK119" i="1"/>
  <c r="DL119" i="1"/>
  <c r="DM119" i="1"/>
  <c r="K120" i="1"/>
  <c r="AH120" i="1" a="1"/>
  <c r="AH120" i="1" s="1"/>
  <c r="I120" i="1"/>
  <c r="J120" i="1"/>
  <c r="AC120" i="1" a="1"/>
  <c r="AC120" i="1" s="1"/>
  <c r="AD120" i="1" a="1"/>
  <c r="AD120" i="1" s="1"/>
  <c r="AE120" i="1" a="1"/>
  <c r="AE120" i="1" s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C120" i="1"/>
  <c r="CH120" i="1"/>
  <c r="DD120" i="1"/>
  <c r="DE120" i="1"/>
  <c r="DF120" i="1"/>
  <c r="DG120" i="1"/>
  <c r="DH120" i="1"/>
  <c r="DI120" i="1"/>
  <c r="DJ120" i="1"/>
  <c r="DK120" i="1"/>
  <c r="DL120" i="1"/>
  <c r="DM120" i="1"/>
  <c r="Y121" i="1" a="1"/>
  <c r="Y121" i="1" s="1"/>
  <c r="K121" i="1"/>
  <c r="AF121" i="1" a="1"/>
  <c r="AF121" i="1" s="1"/>
  <c r="CK121" i="1"/>
  <c r="AH121" i="1" a="1"/>
  <c r="AH121" i="1" s="1"/>
  <c r="I121" i="1"/>
  <c r="L121" i="1"/>
  <c r="N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N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DD121" i="1"/>
  <c r="DE121" i="1"/>
  <c r="DF121" i="1"/>
  <c r="DG121" i="1"/>
  <c r="DH121" i="1"/>
  <c r="DI121" i="1"/>
  <c r="DJ121" i="1"/>
  <c r="DK121" i="1"/>
  <c r="DL121" i="1"/>
  <c r="DM121" i="1"/>
  <c r="BO122" i="1"/>
  <c r="K122" i="1"/>
  <c r="AF122" i="1" a="1"/>
  <c r="AF122" i="1" s="1"/>
  <c r="M122" i="1"/>
  <c r="I122" i="1"/>
  <c r="L122" i="1"/>
  <c r="AC122" i="1" a="1"/>
  <c r="AC122" i="1" s="1"/>
  <c r="AE122" i="1" a="1"/>
  <c r="AE122" i="1" s="1"/>
  <c r="AG122" i="1" a="1"/>
  <c r="AG122" i="1" s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D122" i="1"/>
  <c r="CH122" i="1"/>
  <c r="CN122" i="1" s="1"/>
  <c r="DD122" i="1"/>
  <c r="DE122" i="1"/>
  <c r="DF122" i="1"/>
  <c r="DG122" i="1"/>
  <c r="DH122" i="1"/>
  <c r="DI122" i="1"/>
  <c r="DJ122" i="1"/>
  <c r="DK122" i="1"/>
  <c r="DL122" i="1"/>
  <c r="DM122" i="1"/>
  <c r="AJ123" i="1"/>
  <c r="K123" i="1"/>
  <c r="CE123" i="1"/>
  <c r="I123" i="1"/>
  <c r="L123" i="1"/>
  <c r="AF123" i="1" a="1"/>
  <c r="AF123" i="1" s="1"/>
  <c r="AG123" i="1" a="1"/>
  <c r="AG123" i="1" s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DD123" i="1"/>
  <c r="DE123" i="1"/>
  <c r="DF123" i="1"/>
  <c r="DG123" i="1"/>
  <c r="DH123" i="1"/>
  <c r="DI123" i="1"/>
  <c r="DJ123" i="1"/>
  <c r="DK123" i="1"/>
  <c r="DL123" i="1"/>
  <c r="DM123" i="1"/>
  <c r="V124" i="1" a="1"/>
  <c r="V124" i="1" s="1"/>
  <c r="W124" i="1" s="1"/>
  <c r="K124" i="1"/>
  <c r="AG124" i="1" a="1"/>
  <c r="AG124" i="1" s="1"/>
  <c r="CF124" i="1"/>
  <c r="I124" i="1"/>
  <c r="L124" i="1"/>
  <c r="AE124" i="1" a="1"/>
  <c r="AE124" i="1" s="1"/>
  <c r="AF124" i="1" a="1"/>
  <c r="AF124" i="1" s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K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H124" i="1"/>
  <c r="DO124" i="1" s="1" a="1"/>
  <c r="DO124" i="1" s="1"/>
  <c r="DD124" i="1"/>
  <c r="DE124" i="1"/>
  <c r="DF124" i="1"/>
  <c r="DG124" i="1"/>
  <c r="DH124" i="1"/>
  <c r="DI124" i="1"/>
  <c r="DJ124" i="1"/>
  <c r="DK124" i="1"/>
  <c r="DL124" i="1"/>
  <c r="DM124" i="1"/>
  <c r="I125" i="1"/>
  <c r="K125" i="1"/>
  <c r="AG125" i="1" a="1"/>
  <c r="AG125" i="1" s="1"/>
  <c r="L125" i="1"/>
  <c r="AE125" i="1" a="1"/>
  <c r="AE125" i="1" s="1"/>
  <c r="AF125" i="1" a="1"/>
  <c r="AF125" i="1" s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H125" i="1"/>
  <c r="DO125" i="1" s="1" a="1"/>
  <c r="DO125" i="1" s="1"/>
  <c r="DD125" i="1"/>
  <c r="DE125" i="1"/>
  <c r="DF125" i="1"/>
  <c r="DG125" i="1"/>
  <c r="DH125" i="1"/>
  <c r="DI125" i="1"/>
  <c r="DJ125" i="1"/>
  <c r="DK125" i="1"/>
  <c r="DL125" i="1"/>
  <c r="DM125" i="1"/>
  <c r="CB126" i="1"/>
  <c r="K126" i="1"/>
  <c r="L126" i="1"/>
  <c r="AG126" i="1" a="1"/>
  <c r="AG126" i="1" s="1"/>
  <c r="CL126" i="1"/>
  <c r="M126" i="1"/>
  <c r="AE126" i="1" a="1"/>
  <c r="AE126" i="1" s="1"/>
  <c r="AF126" i="1" a="1"/>
  <c r="AF126" i="1" s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E126" i="1"/>
  <c r="CK126" i="1"/>
  <c r="DR126" i="1" s="1" a="1"/>
  <c r="DR126" i="1" s="1"/>
  <c r="DD126" i="1"/>
  <c r="DE126" i="1"/>
  <c r="DF126" i="1"/>
  <c r="DG126" i="1"/>
  <c r="DH126" i="1"/>
  <c r="DI126" i="1"/>
  <c r="DJ126" i="1"/>
  <c r="DK126" i="1"/>
  <c r="DL126" i="1"/>
  <c r="DM126" i="1"/>
  <c r="AC127" i="1" a="1"/>
  <c r="AC127" i="1" s="1"/>
  <c r="L127" i="1"/>
  <c r="CF127" i="1"/>
  <c r="I127" i="1"/>
  <c r="M127" i="1"/>
  <c r="AE127" i="1" a="1"/>
  <c r="AE127" i="1" s="1"/>
  <c r="AG127" i="1" a="1"/>
  <c r="AG127" i="1" s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H127" i="1"/>
  <c r="DD127" i="1"/>
  <c r="DE127" i="1"/>
  <c r="DF127" i="1"/>
  <c r="DG127" i="1"/>
  <c r="DH127" i="1"/>
  <c r="DI127" i="1"/>
  <c r="DJ127" i="1"/>
  <c r="DK127" i="1"/>
  <c r="DL127" i="1"/>
  <c r="DM127" i="1"/>
  <c r="CB128" i="1"/>
  <c r="J128" i="1"/>
  <c r="CD128" i="1"/>
  <c r="AG128" i="1" a="1"/>
  <c r="AG128" i="1" s="1"/>
  <c r="L128" i="1"/>
  <c r="AC128" i="1" a="1"/>
  <c r="AC128" i="1" s="1"/>
  <c r="AD128" i="1" a="1"/>
  <c r="AD128" i="1" s="1"/>
  <c r="AE128" i="1" a="1"/>
  <c r="AE128" i="1" s="1"/>
  <c r="AF128" i="1" a="1"/>
  <c r="AF128" i="1" s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DD128" i="1"/>
  <c r="DE128" i="1"/>
  <c r="DF128" i="1"/>
  <c r="DG128" i="1"/>
  <c r="DH128" i="1"/>
  <c r="DI128" i="1"/>
  <c r="DJ128" i="1"/>
  <c r="DK128" i="1"/>
  <c r="DL128" i="1"/>
  <c r="DM128" i="1"/>
  <c r="AO129" i="1"/>
  <c r="J129" i="1"/>
  <c r="K129" i="1"/>
  <c r="AF129" i="1" a="1"/>
  <c r="AF129" i="1" s="1"/>
  <c r="CE129" i="1"/>
  <c r="L129" i="1"/>
  <c r="AE129" i="1" a="1"/>
  <c r="AE129" i="1" s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K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D129" i="1"/>
  <c r="CH129" i="1"/>
  <c r="CN129" i="1" s="1"/>
  <c r="CI129" i="1"/>
  <c r="DD129" i="1"/>
  <c r="DE129" i="1"/>
  <c r="DF129" i="1"/>
  <c r="DG129" i="1"/>
  <c r="DH129" i="1"/>
  <c r="DI129" i="1"/>
  <c r="DJ129" i="1"/>
  <c r="DK129" i="1"/>
  <c r="DL129" i="1"/>
  <c r="DM129" i="1"/>
  <c r="I130" i="1"/>
  <c r="J130" i="1"/>
  <c r="CI130" i="1"/>
  <c r="L130" i="1"/>
  <c r="AC130" i="1" a="1"/>
  <c r="AC130" i="1" s="1"/>
  <c r="AD130" i="1" a="1"/>
  <c r="AD130" i="1" s="1"/>
  <c r="AF130" i="1" a="1"/>
  <c r="AF130" i="1" s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D130" i="1"/>
  <c r="DD130" i="1"/>
  <c r="DE130" i="1"/>
  <c r="DF130" i="1"/>
  <c r="DG130" i="1"/>
  <c r="DH130" i="1"/>
  <c r="DI130" i="1"/>
  <c r="DJ130" i="1"/>
  <c r="DK130" i="1"/>
  <c r="DL130" i="1"/>
  <c r="DM130" i="1"/>
  <c r="I131" i="1"/>
  <c r="J131" i="1"/>
  <c r="CI131" i="1"/>
  <c r="N131" i="1"/>
  <c r="L131" i="1"/>
  <c r="AC131" i="1" a="1"/>
  <c r="AC131" i="1" s="1"/>
  <c r="AF131" i="1" a="1"/>
  <c r="AF131" i="1" s="1"/>
  <c r="AG131" i="1" a="1"/>
  <c r="AG131" i="1" s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DD131" i="1"/>
  <c r="DE131" i="1"/>
  <c r="DF131" i="1"/>
  <c r="DG131" i="1"/>
  <c r="DH131" i="1"/>
  <c r="DI131" i="1"/>
  <c r="DJ131" i="1"/>
  <c r="DK131" i="1"/>
  <c r="DL131" i="1"/>
  <c r="DM131" i="1"/>
  <c r="K132" i="1"/>
  <c r="CD132" i="1"/>
  <c r="N132" i="1"/>
  <c r="P132" i="1" a="1"/>
  <c r="P132" i="1" s="1"/>
  <c r="Q132" i="1" s="1"/>
  <c r="AD132" i="1" a="1"/>
  <c r="AD132" i="1" s="1"/>
  <c r="AF132" i="1" a="1"/>
  <c r="AF132" i="1" s="1"/>
  <c r="AH132" i="1" a="1"/>
  <c r="AH132" i="1" s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E132" i="1"/>
  <c r="CH132" i="1"/>
  <c r="CN132" i="1" s="1"/>
  <c r="CK132" i="1"/>
  <c r="CQ132" i="1" s="1"/>
  <c r="CL132" i="1"/>
  <c r="CR132" i="1" s="1"/>
  <c r="DD132" i="1"/>
  <c r="DE132" i="1"/>
  <c r="DF132" i="1"/>
  <c r="DG132" i="1"/>
  <c r="DH132" i="1"/>
  <c r="DI132" i="1"/>
  <c r="DJ132" i="1"/>
  <c r="DK132" i="1"/>
  <c r="DL132" i="1"/>
  <c r="DM132" i="1"/>
  <c r="P133" i="1" a="1"/>
  <c r="P133" i="1" s="1"/>
  <c r="CB133" i="1"/>
  <c r="CJ133" i="1"/>
  <c r="N133" i="1"/>
  <c r="I133" i="1"/>
  <c r="K133" i="1"/>
  <c r="Z133" i="1" a="1"/>
  <c r="Z133" i="1" s="1"/>
  <c r="AE133" i="1" a="1"/>
  <c r="AE133" i="1" s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D133" i="1"/>
  <c r="CH133" i="1"/>
  <c r="CN133" i="1" s="1"/>
  <c r="DD133" i="1"/>
  <c r="DE133" i="1"/>
  <c r="DF133" i="1"/>
  <c r="DG133" i="1"/>
  <c r="DH133" i="1"/>
  <c r="DI133" i="1"/>
  <c r="DJ133" i="1"/>
  <c r="DK133" i="1"/>
  <c r="DL133" i="1"/>
  <c r="DM133" i="1"/>
  <c r="P134" i="1" a="1"/>
  <c r="P134" i="1" s="1"/>
  <c r="Q134" i="1" s="1"/>
  <c r="CB134" i="1"/>
  <c r="CJ134" i="1"/>
  <c r="N134" i="1"/>
  <c r="I134" i="1"/>
  <c r="K134" i="1"/>
  <c r="Z134" i="1" a="1"/>
  <c r="Z134" i="1" s="1"/>
  <c r="AE134" i="1" a="1"/>
  <c r="AE134" i="1" s="1"/>
  <c r="AQ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F134" i="1"/>
  <c r="DD134" i="1"/>
  <c r="DE134" i="1"/>
  <c r="DF134" i="1"/>
  <c r="DG134" i="1"/>
  <c r="DH134" i="1"/>
  <c r="DI134" i="1"/>
  <c r="DJ134" i="1"/>
  <c r="DK134" i="1"/>
  <c r="DL134" i="1"/>
  <c r="DM134" i="1"/>
  <c r="AC135" i="1" a="1"/>
  <c r="AC135" i="1" s="1"/>
  <c r="AJ135" i="1"/>
  <c r="L135" i="1"/>
  <c r="V135" i="1" a="1"/>
  <c r="V135" i="1" s="1"/>
  <c r="W135" i="1" s="1"/>
  <c r="N135" i="1"/>
  <c r="J135" i="1"/>
  <c r="S135" i="1"/>
  <c r="T135" i="1" s="1"/>
  <c r="AD135" i="1" a="1"/>
  <c r="AD135" i="1" s="1"/>
  <c r="AF135" i="1" a="1"/>
  <c r="AF135" i="1" s="1"/>
  <c r="AH135" i="1" a="1"/>
  <c r="AH135" i="1" s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H135" i="1"/>
  <c r="DO135" i="1" s="1" a="1"/>
  <c r="DO135" i="1" s="1"/>
  <c r="DD135" i="1"/>
  <c r="DE135" i="1"/>
  <c r="DF135" i="1"/>
  <c r="DG135" i="1"/>
  <c r="DH135" i="1"/>
  <c r="DI135" i="1"/>
  <c r="DJ135" i="1"/>
  <c r="DK135" i="1"/>
  <c r="DL135" i="1"/>
  <c r="DM135" i="1"/>
  <c r="AC136" i="1" a="1"/>
  <c r="AC136" i="1" s="1"/>
  <c r="CB136" i="1"/>
  <c r="K136" i="1"/>
  <c r="CD136" i="1"/>
  <c r="CK136" i="1"/>
  <c r="N136" i="1"/>
  <c r="L136" i="1"/>
  <c r="AF136" i="1" a="1"/>
  <c r="AF136" i="1" s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F136" i="1"/>
  <c r="CJ136" i="1"/>
  <c r="CP136" i="1" s="1"/>
  <c r="DD136" i="1"/>
  <c r="DE136" i="1"/>
  <c r="DF136" i="1"/>
  <c r="DG136" i="1"/>
  <c r="DH136" i="1"/>
  <c r="DI136" i="1"/>
  <c r="DJ136" i="1"/>
  <c r="DK136" i="1"/>
  <c r="DL136" i="1"/>
  <c r="DM136" i="1"/>
  <c r="AC137" i="1" a="1"/>
  <c r="AC137" i="1" s="1"/>
  <c r="J137" i="1"/>
  <c r="AE137" i="1" a="1"/>
  <c r="AE137" i="1" s="1"/>
  <c r="CJ137" i="1"/>
  <c r="CF137" i="1"/>
  <c r="N137" i="1"/>
  <c r="K137" i="1"/>
  <c r="L137" i="1"/>
  <c r="AD137" i="1" a="1"/>
  <c r="AD137" i="1" s="1"/>
  <c r="AF137" i="1" a="1"/>
  <c r="AF137" i="1" s="1"/>
  <c r="AH137" i="1" a="1"/>
  <c r="AH137" i="1" s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D137" i="1"/>
  <c r="CK137" i="1"/>
  <c r="CQ137" i="1" s="1"/>
  <c r="DD137" i="1"/>
  <c r="DE137" i="1"/>
  <c r="DF137" i="1"/>
  <c r="DG137" i="1"/>
  <c r="DH137" i="1"/>
  <c r="DI137" i="1"/>
  <c r="DJ137" i="1"/>
  <c r="DK137" i="1"/>
  <c r="DL137" i="1"/>
  <c r="DM137" i="1"/>
  <c r="AC138" i="1" a="1"/>
  <c r="AC138" i="1" s="1"/>
  <c r="CB138" i="1"/>
  <c r="AF138" i="1" a="1"/>
  <c r="AF138" i="1" s="1"/>
  <c r="N138" i="1"/>
  <c r="J138" i="1"/>
  <c r="K138" i="1"/>
  <c r="Z138" i="1" a="1"/>
  <c r="Z138" i="1" s="1"/>
  <c r="AE138" i="1" a="1"/>
  <c r="AE138" i="1" s="1"/>
  <c r="AQ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N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F138" i="1"/>
  <c r="CJ138" i="1"/>
  <c r="CP138" i="1" s="1"/>
  <c r="DD138" i="1"/>
  <c r="DE138" i="1"/>
  <c r="DF138" i="1"/>
  <c r="DG138" i="1"/>
  <c r="DH138" i="1"/>
  <c r="DI138" i="1"/>
  <c r="DJ138" i="1"/>
  <c r="DK138" i="1"/>
  <c r="DL138" i="1"/>
  <c r="DM138" i="1"/>
  <c r="AC139" i="1" a="1"/>
  <c r="AC139" i="1" s="1"/>
  <c r="CB139" i="1"/>
  <c r="AF139" i="1" a="1"/>
  <c r="AF139" i="1" s="1"/>
  <c r="N139" i="1"/>
  <c r="J139" i="1"/>
  <c r="K139" i="1"/>
  <c r="Z139" i="1" a="1"/>
  <c r="Z139" i="1" s="1"/>
  <c r="AE139" i="1" a="1"/>
  <c r="AE139" i="1" s="1"/>
  <c r="AQ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N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F139" i="1"/>
  <c r="CJ139" i="1"/>
  <c r="CP139" i="1" s="1"/>
  <c r="DD139" i="1"/>
  <c r="DE139" i="1"/>
  <c r="DF139" i="1"/>
  <c r="DG139" i="1"/>
  <c r="DH139" i="1"/>
  <c r="DI139" i="1"/>
  <c r="DJ139" i="1"/>
  <c r="DK139" i="1"/>
  <c r="DL139" i="1"/>
  <c r="DM139" i="1"/>
  <c r="AC140" i="1" a="1"/>
  <c r="AC140" i="1" s="1"/>
  <c r="AD140" i="1" a="1"/>
  <c r="AD140" i="1" s="1"/>
  <c r="AF140" i="1" a="1"/>
  <c r="AF140" i="1" s="1"/>
  <c r="N140" i="1"/>
  <c r="J140" i="1"/>
  <c r="K140" i="1"/>
  <c r="Z140" i="1" a="1"/>
  <c r="Z140" i="1" s="1"/>
  <c r="AE140" i="1" a="1"/>
  <c r="AE140" i="1" s="1"/>
  <c r="AQ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N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F140" i="1"/>
  <c r="CJ140" i="1"/>
  <c r="CP140" i="1" s="1"/>
  <c r="DD140" i="1"/>
  <c r="DE140" i="1"/>
  <c r="DF140" i="1"/>
  <c r="DG140" i="1"/>
  <c r="DH140" i="1"/>
  <c r="DI140" i="1"/>
  <c r="DJ140" i="1"/>
  <c r="DK140" i="1"/>
  <c r="DL140" i="1"/>
  <c r="DM140" i="1"/>
  <c r="AC141" i="1" a="1"/>
  <c r="AC141" i="1" s="1"/>
  <c r="AD141" i="1" a="1"/>
  <c r="AD141" i="1" s="1"/>
  <c r="AF141" i="1" a="1"/>
  <c r="AF141" i="1" s="1"/>
  <c r="N141" i="1"/>
  <c r="J141" i="1"/>
  <c r="K141" i="1"/>
  <c r="Z141" i="1" a="1"/>
  <c r="Z141" i="1" s="1"/>
  <c r="AE141" i="1" a="1"/>
  <c r="AE141" i="1" s="1"/>
  <c r="AN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F141" i="1"/>
  <c r="CH141" i="1"/>
  <c r="CN141" i="1" s="1"/>
  <c r="DD141" i="1"/>
  <c r="DE141" i="1"/>
  <c r="DF141" i="1"/>
  <c r="DG141" i="1"/>
  <c r="DH141" i="1"/>
  <c r="DI141" i="1"/>
  <c r="DJ141" i="1"/>
  <c r="DK141" i="1"/>
  <c r="DL141" i="1"/>
  <c r="DM141" i="1"/>
  <c r="AC142" i="1" a="1"/>
  <c r="AC142" i="1" s="1"/>
  <c r="CD142" i="1"/>
  <c r="L142" i="1"/>
  <c r="S142" i="1"/>
  <c r="T142" i="1" s="1"/>
  <c r="N142" i="1"/>
  <c r="J142" i="1"/>
  <c r="AD142" i="1" a="1"/>
  <c r="AD142" i="1" s="1"/>
  <c r="AE142" i="1" a="1"/>
  <c r="AE142" i="1" s="1"/>
  <c r="AF142" i="1" a="1"/>
  <c r="AF142" i="1" s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DD142" i="1"/>
  <c r="DE142" i="1"/>
  <c r="DF142" i="1"/>
  <c r="DG142" i="1"/>
  <c r="DH142" i="1"/>
  <c r="DI142" i="1"/>
  <c r="DJ142" i="1"/>
  <c r="DK142" i="1"/>
  <c r="DL142" i="1"/>
  <c r="DM142" i="1"/>
  <c r="P143" i="1" a="1"/>
  <c r="P143" i="1" s="1"/>
  <c r="Q143" i="1" s="1"/>
  <c r="V143" i="1" a="1"/>
  <c r="V143" i="1" s="1"/>
  <c r="W143" i="1" s="1"/>
  <c r="L143" i="1"/>
  <c r="N143" i="1"/>
  <c r="I143" i="1"/>
  <c r="K143" i="1"/>
  <c r="AD143" i="1" a="1"/>
  <c r="AD143" i="1" s="1"/>
  <c r="AE143" i="1" a="1"/>
  <c r="AE143" i="1" s="1"/>
  <c r="AH143" i="1" a="1"/>
  <c r="AH143" i="1" s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J143" i="1"/>
  <c r="CP143" i="1" s="1"/>
  <c r="DD143" i="1"/>
  <c r="DE143" i="1"/>
  <c r="DF143" i="1"/>
  <c r="DG143" i="1"/>
  <c r="DH143" i="1"/>
  <c r="DI143" i="1"/>
  <c r="DJ143" i="1"/>
  <c r="DK143" i="1"/>
  <c r="DL143" i="1"/>
  <c r="DM143" i="1"/>
  <c r="BK144" i="1"/>
  <c r="AE144" i="1" a="1"/>
  <c r="AE144" i="1" s="1"/>
  <c r="CJ144" i="1"/>
  <c r="N144" i="1"/>
  <c r="J144" i="1"/>
  <c r="L144" i="1"/>
  <c r="Y144" i="1" a="1"/>
  <c r="Y144" i="1" s="1"/>
  <c r="AD144" i="1" a="1"/>
  <c r="AD144" i="1" s="1"/>
  <c r="AF144" i="1" a="1"/>
  <c r="AF144" i="1" s="1"/>
  <c r="AH144" i="1" a="1"/>
  <c r="AH144" i="1" s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E144" i="1"/>
  <c r="CF144" i="1"/>
  <c r="DD144" i="1"/>
  <c r="DE144" i="1"/>
  <c r="DF144" i="1"/>
  <c r="DG144" i="1"/>
  <c r="DH144" i="1"/>
  <c r="DI144" i="1"/>
  <c r="DJ144" i="1"/>
  <c r="DK144" i="1"/>
  <c r="DL144" i="1"/>
  <c r="DM144" i="1"/>
  <c r="I145" i="1"/>
  <c r="P145" i="1" a="1"/>
  <c r="P145" i="1" s="1"/>
  <c r="Q145" i="1" s="1"/>
  <c r="K145" i="1"/>
  <c r="CJ145" i="1"/>
  <c r="CE145" i="1"/>
  <c r="N145" i="1"/>
  <c r="L145" i="1"/>
  <c r="AE145" i="1" a="1"/>
  <c r="AE145" i="1" s="1"/>
  <c r="AF145" i="1" a="1"/>
  <c r="AF145" i="1" s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D145" i="1"/>
  <c r="CK145" i="1"/>
  <c r="DR145" i="1" s="1" a="1"/>
  <c r="DR145" i="1" s="1"/>
  <c r="CL145" i="1"/>
  <c r="DD145" i="1"/>
  <c r="DE145" i="1"/>
  <c r="DF145" i="1"/>
  <c r="DG145" i="1"/>
  <c r="DH145" i="1"/>
  <c r="DI145" i="1"/>
  <c r="DJ145" i="1"/>
  <c r="DK145" i="1"/>
  <c r="DL145" i="1"/>
  <c r="DM145" i="1"/>
  <c r="S146" i="1"/>
  <c r="T146" i="1" s="1"/>
  <c r="K146" i="1"/>
  <c r="I146" i="1"/>
  <c r="L146" i="1"/>
  <c r="AD146" i="1" a="1"/>
  <c r="AD146" i="1" s="1"/>
  <c r="AF146" i="1" a="1"/>
  <c r="AF146" i="1" s="1"/>
  <c r="AJ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D146" i="1"/>
  <c r="CK146" i="1"/>
  <c r="DD146" i="1"/>
  <c r="DE146" i="1"/>
  <c r="DF146" i="1"/>
  <c r="DG146" i="1"/>
  <c r="DH146" i="1"/>
  <c r="DI146" i="1"/>
  <c r="DJ146" i="1"/>
  <c r="DK146" i="1"/>
  <c r="DL146" i="1"/>
  <c r="DM146" i="1"/>
  <c r="AA147" i="1" a="1"/>
  <c r="AA147" i="1" s="1"/>
  <c r="CJ147" i="1"/>
  <c r="L147" i="1"/>
  <c r="AF147" i="1" a="1"/>
  <c r="AF147" i="1" s="1"/>
  <c r="AH147" i="1" a="1"/>
  <c r="AH147" i="1" s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D147" i="1"/>
  <c r="DD147" i="1"/>
  <c r="DE147" i="1"/>
  <c r="DF147" i="1"/>
  <c r="DG147" i="1"/>
  <c r="DH147" i="1"/>
  <c r="DI147" i="1"/>
  <c r="DJ147" i="1"/>
  <c r="DK147" i="1"/>
  <c r="DL147" i="1"/>
  <c r="DM147" i="1"/>
  <c r="AA148" i="1" a="1"/>
  <c r="AA148" i="1" s="1"/>
  <c r="CD148" i="1"/>
  <c r="CE148" i="1"/>
  <c r="N148" i="1"/>
  <c r="J148" i="1"/>
  <c r="L148" i="1"/>
  <c r="AE148" i="1" a="1"/>
  <c r="AE148" i="1" s="1"/>
  <c r="AF148" i="1" a="1"/>
  <c r="AF148" i="1" s="1"/>
  <c r="AH148" i="1" a="1"/>
  <c r="AH148" i="1" s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DD148" i="1"/>
  <c r="DE148" i="1"/>
  <c r="DF148" i="1"/>
  <c r="DG148" i="1"/>
  <c r="DH148" i="1"/>
  <c r="DI148" i="1"/>
  <c r="DJ148" i="1"/>
  <c r="DK148" i="1"/>
  <c r="DL148" i="1"/>
  <c r="DM148" i="1"/>
  <c r="BN149" i="1"/>
  <c r="K149" i="1"/>
  <c r="AQ149" i="1"/>
  <c r="N149" i="1"/>
  <c r="I149" i="1"/>
  <c r="J149" i="1"/>
  <c r="L149" i="1"/>
  <c r="V149" i="1" a="1"/>
  <c r="V149" i="1" s="1"/>
  <c r="W149" i="1" s="1"/>
  <c r="AD149" i="1" a="1"/>
  <c r="AD149" i="1" s="1"/>
  <c r="AF149" i="1" a="1"/>
  <c r="AF149" i="1" s="1"/>
  <c r="AJ149" i="1"/>
  <c r="AN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H149" i="1"/>
  <c r="CN149" i="1" s="1"/>
  <c r="CK149" i="1"/>
  <c r="DR149" i="1" s="1" a="1"/>
  <c r="DR149" i="1" s="1"/>
  <c r="DD149" i="1"/>
  <c r="DE149" i="1"/>
  <c r="DF149" i="1"/>
  <c r="DG149" i="1"/>
  <c r="DH149" i="1"/>
  <c r="DI149" i="1"/>
  <c r="DJ149" i="1"/>
  <c r="DK149" i="1"/>
  <c r="DL149" i="1"/>
  <c r="DM149" i="1"/>
  <c r="AR150" i="1"/>
  <c r="J150" i="1"/>
  <c r="CJ150" i="1"/>
  <c r="N150" i="1"/>
  <c r="K150" i="1"/>
  <c r="AD150" i="1" a="1"/>
  <c r="AD150" i="1" s="1"/>
  <c r="AE150" i="1" a="1"/>
  <c r="AE150" i="1" s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C150" i="1"/>
  <c r="DD150" i="1"/>
  <c r="DE150" i="1"/>
  <c r="DF150" i="1"/>
  <c r="DG150" i="1"/>
  <c r="DH150" i="1"/>
  <c r="DI150" i="1"/>
  <c r="DJ150" i="1"/>
  <c r="DK150" i="1"/>
  <c r="DL150" i="1"/>
  <c r="DM150" i="1"/>
  <c r="V151" i="1" a="1"/>
  <c r="V151" i="1" s="1"/>
  <c r="W151" i="1" s="1"/>
  <c r="AD151" i="1" a="1"/>
  <c r="AD151" i="1" s="1"/>
  <c r="AE151" i="1" a="1"/>
  <c r="AE151" i="1" s="1"/>
  <c r="N151" i="1"/>
  <c r="K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C151" i="1"/>
  <c r="CJ151" i="1"/>
  <c r="DQ151" i="1" s="1" a="1"/>
  <c r="DQ151" i="1" s="1"/>
  <c r="DD151" i="1"/>
  <c r="DE151" i="1"/>
  <c r="DF151" i="1"/>
  <c r="DG151" i="1"/>
  <c r="DH151" i="1"/>
  <c r="DI151" i="1"/>
  <c r="DJ151" i="1"/>
  <c r="DK151" i="1"/>
  <c r="DL151" i="1"/>
  <c r="DM151" i="1"/>
  <c r="CC152" i="1"/>
  <c r="Z152" i="1" a="1"/>
  <c r="Z152" i="1" s="1"/>
  <c r="CF152" i="1"/>
  <c r="N152" i="1"/>
  <c r="K152" i="1"/>
  <c r="AD152" i="1" a="1"/>
  <c r="AD152" i="1" s="1"/>
  <c r="AE152" i="1" a="1"/>
  <c r="AE152" i="1" s="1"/>
  <c r="AH152" i="1" a="1"/>
  <c r="AH152" i="1" s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DD152" i="1"/>
  <c r="DE152" i="1"/>
  <c r="DF152" i="1"/>
  <c r="DG152" i="1"/>
  <c r="DH152" i="1"/>
  <c r="DI152" i="1"/>
  <c r="DJ152" i="1"/>
  <c r="DK152" i="1"/>
  <c r="DL152" i="1"/>
  <c r="DM152" i="1"/>
  <c r="AD153" i="1" a="1"/>
  <c r="AD153" i="1" s="1"/>
  <c r="AE153" i="1" a="1"/>
  <c r="AE153" i="1" s="1"/>
  <c r="AH153" i="1" a="1"/>
  <c r="AH153" i="1" s="1"/>
  <c r="K153" i="1"/>
  <c r="P153" i="1" a="1"/>
  <c r="P153" i="1" s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F153" i="1"/>
  <c r="CK153" i="1"/>
  <c r="CQ153" i="1" s="1"/>
  <c r="DD153" i="1"/>
  <c r="DE153" i="1"/>
  <c r="DF153" i="1"/>
  <c r="DG153" i="1"/>
  <c r="DH153" i="1"/>
  <c r="DI153" i="1"/>
  <c r="DJ153" i="1"/>
  <c r="DK153" i="1"/>
  <c r="DL153" i="1"/>
  <c r="DM153" i="1"/>
  <c r="CE154" i="1"/>
  <c r="AG154" i="1" a="1"/>
  <c r="AG154" i="1" s="1"/>
  <c r="K154" i="1"/>
  <c r="AC154" i="1" a="1"/>
  <c r="AC154" i="1" s="1"/>
  <c r="AE154" i="1" a="1"/>
  <c r="AE154" i="1" s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DD154" i="1"/>
  <c r="DE154" i="1"/>
  <c r="DF154" i="1"/>
  <c r="DG154" i="1"/>
  <c r="DH154" i="1"/>
  <c r="DI154" i="1"/>
  <c r="DJ154" i="1"/>
  <c r="DK154" i="1"/>
  <c r="DL154" i="1"/>
  <c r="DM154" i="1"/>
  <c r="AN155" i="1"/>
  <c r="AF155" i="1" a="1"/>
  <c r="AF155" i="1" s="1"/>
  <c r="M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DD155" i="1"/>
  <c r="DE155" i="1"/>
  <c r="DF155" i="1"/>
  <c r="DG155" i="1"/>
  <c r="DH155" i="1"/>
  <c r="DI155" i="1"/>
  <c r="DJ155" i="1"/>
  <c r="DK155" i="1"/>
  <c r="DL155" i="1"/>
  <c r="DM155" i="1"/>
  <c r="BM156" i="1"/>
  <c r="AE156" i="1" a="1"/>
  <c r="AE156" i="1" s="1"/>
  <c r="AF156" i="1" a="1"/>
  <c r="AF156" i="1" s="1"/>
  <c r="AH156" i="1" a="1"/>
  <c r="AH156" i="1" s="1"/>
  <c r="M156" i="1"/>
  <c r="Y156" i="1" a="1"/>
  <c r="Y156" i="1" s="1"/>
  <c r="AC156" i="1" a="1"/>
  <c r="AC156" i="1" s="1"/>
  <c r="AG156" i="1" a="1"/>
  <c r="AG156" i="1" s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DD156" i="1"/>
  <c r="DE156" i="1"/>
  <c r="DF156" i="1"/>
  <c r="DG156" i="1"/>
  <c r="DH156" i="1"/>
  <c r="DI156" i="1"/>
  <c r="DJ156" i="1"/>
  <c r="DK156" i="1"/>
  <c r="DL156" i="1"/>
  <c r="DM156" i="1"/>
  <c r="AC157" i="1" a="1"/>
  <c r="AC157" i="1" s="1"/>
  <c r="K157" i="1"/>
  <c r="AF157" i="1" a="1"/>
  <c r="AF157" i="1" s="1"/>
  <c r="M157" i="1"/>
  <c r="AH157" i="1" a="1"/>
  <c r="AH157" i="1" s="1"/>
  <c r="N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M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F157" i="1"/>
  <c r="DD157" i="1"/>
  <c r="DE157" i="1"/>
  <c r="DF157" i="1"/>
  <c r="DG157" i="1"/>
  <c r="DH157" i="1"/>
  <c r="DI157" i="1"/>
  <c r="DJ157" i="1"/>
  <c r="DK157" i="1"/>
  <c r="DL157" i="1"/>
  <c r="DM157" i="1"/>
  <c r="CC158" i="1"/>
  <c r="L158" i="1"/>
  <c r="CE158" i="1"/>
  <c r="J158" i="1"/>
  <c r="K158" i="1"/>
  <c r="N158" i="1"/>
  <c r="AD158" i="1" a="1"/>
  <c r="AD158" i="1" s="1"/>
  <c r="AE158" i="1" a="1"/>
  <c r="AE158" i="1" s="1"/>
  <c r="AF158" i="1" a="1"/>
  <c r="AF158" i="1" s="1"/>
  <c r="AG158" i="1" a="1"/>
  <c r="AG158" i="1" s="1"/>
  <c r="AH158" i="1" a="1"/>
  <c r="AH158" i="1" s="1"/>
  <c r="AO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F158" i="1"/>
  <c r="CI158" i="1"/>
  <c r="CO158" i="1" s="1"/>
  <c r="DD158" i="1"/>
  <c r="DE158" i="1"/>
  <c r="DF158" i="1"/>
  <c r="DG158" i="1"/>
  <c r="DH158" i="1"/>
  <c r="DI158" i="1"/>
  <c r="DJ158" i="1"/>
  <c r="DK158" i="1"/>
  <c r="DL158" i="1"/>
  <c r="DM158" i="1"/>
  <c r="I159" i="1"/>
  <c r="J159" i="1"/>
  <c r="L159" i="1"/>
  <c r="N159" i="1"/>
  <c r="K159" i="1"/>
  <c r="AE159" i="1" a="1"/>
  <c r="AE159" i="1" s="1"/>
  <c r="AH159" i="1" a="1"/>
  <c r="AH159" i="1" s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DD159" i="1"/>
  <c r="DE159" i="1"/>
  <c r="DF159" i="1"/>
  <c r="DG159" i="1"/>
  <c r="DH159" i="1"/>
  <c r="DI159" i="1"/>
  <c r="DJ159" i="1"/>
  <c r="DK159" i="1"/>
  <c r="DL159" i="1"/>
  <c r="DM159" i="1"/>
  <c r="Z160" i="1" a="1"/>
  <c r="Z160" i="1" s="1"/>
  <c r="J160" i="1"/>
  <c r="K160" i="1"/>
  <c r="AF160" i="1" a="1"/>
  <c r="AF160" i="1" s="1"/>
  <c r="N160" i="1"/>
  <c r="M160" i="1"/>
  <c r="AC160" i="1" a="1"/>
  <c r="AC160" i="1" s="1"/>
  <c r="AD160" i="1" a="1"/>
  <c r="AD160" i="1" s="1"/>
  <c r="AG160" i="1" a="1"/>
  <c r="AG160" i="1" s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I160" i="1"/>
  <c r="CO160" i="1" s="1"/>
  <c r="CK160" i="1"/>
  <c r="CQ160" i="1" s="1"/>
  <c r="DD160" i="1"/>
  <c r="DE160" i="1"/>
  <c r="DF160" i="1"/>
  <c r="DG160" i="1"/>
  <c r="DH160" i="1"/>
  <c r="DI160" i="1"/>
  <c r="DJ160" i="1"/>
  <c r="DK160" i="1"/>
  <c r="DL160" i="1"/>
  <c r="DM160" i="1"/>
  <c r="BN161" i="1"/>
  <c r="CC161" i="1"/>
  <c r="L161" i="1"/>
  <c r="M161" i="1"/>
  <c r="N161" i="1"/>
  <c r="J161" i="1"/>
  <c r="AD161" i="1" a="1"/>
  <c r="AD161" i="1" s="1"/>
  <c r="AF161" i="1" a="1"/>
  <c r="AF161" i="1" s="1"/>
  <c r="AH161" i="1" a="1"/>
  <c r="AH161" i="1" s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D161" i="1"/>
  <c r="DD161" i="1"/>
  <c r="DE161" i="1"/>
  <c r="DF161" i="1"/>
  <c r="DG161" i="1"/>
  <c r="DH161" i="1"/>
  <c r="DI161" i="1"/>
  <c r="DJ161" i="1"/>
  <c r="DK161" i="1"/>
  <c r="DL161" i="1"/>
  <c r="DM161" i="1"/>
  <c r="J162" i="1"/>
  <c r="CD162" i="1"/>
  <c r="M162" i="1"/>
  <c r="N162" i="1"/>
  <c r="I162" i="1"/>
  <c r="AC162" i="1" a="1"/>
  <c r="AC162" i="1" s="1"/>
  <c r="AF162" i="1" a="1"/>
  <c r="AF162" i="1" s="1"/>
  <c r="AG162" i="1" a="1"/>
  <c r="AG162" i="1" s="1"/>
  <c r="AH162" i="1" a="1"/>
  <c r="AH162" i="1" s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I162" i="1"/>
  <c r="CO162" i="1" s="1"/>
  <c r="DD162" i="1"/>
  <c r="DE162" i="1"/>
  <c r="DF162" i="1"/>
  <c r="DG162" i="1"/>
  <c r="DH162" i="1"/>
  <c r="DI162" i="1"/>
  <c r="DJ162" i="1"/>
  <c r="DK162" i="1"/>
  <c r="DL162" i="1"/>
  <c r="DM162" i="1"/>
  <c r="CC163" i="1"/>
  <c r="L163" i="1"/>
  <c r="CF163" i="1"/>
  <c r="J163" i="1"/>
  <c r="K163" i="1"/>
  <c r="N163" i="1"/>
  <c r="AD163" i="1" a="1"/>
  <c r="AD163" i="1" s="1"/>
  <c r="AE163" i="1" a="1"/>
  <c r="AE163" i="1" s="1"/>
  <c r="AF163" i="1" a="1"/>
  <c r="AF163" i="1" s="1"/>
  <c r="AH163" i="1" a="1"/>
  <c r="AH163" i="1" s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D163" i="1"/>
  <c r="DD163" i="1"/>
  <c r="DE163" i="1"/>
  <c r="DF163" i="1"/>
  <c r="DG163" i="1"/>
  <c r="DH163" i="1"/>
  <c r="DI163" i="1"/>
  <c r="DJ163" i="1"/>
  <c r="DK163" i="1"/>
  <c r="DL163" i="1"/>
  <c r="DM163" i="1"/>
  <c r="Z164" i="1" a="1"/>
  <c r="Z164" i="1" s="1"/>
  <c r="J164" i="1"/>
  <c r="K164" i="1"/>
  <c r="CD164" i="1"/>
  <c r="CE164" i="1"/>
  <c r="N164" i="1"/>
  <c r="L164" i="1"/>
  <c r="M164" i="1"/>
  <c r="AE164" i="1" a="1"/>
  <c r="AE164" i="1" s="1"/>
  <c r="AG164" i="1" a="1"/>
  <c r="AG164" i="1" s="1"/>
  <c r="AH164" i="1" a="1"/>
  <c r="AH164" i="1" s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F164" i="1"/>
  <c r="CK164" i="1"/>
  <c r="CQ164" i="1" s="1"/>
  <c r="DD164" i="1"/>
  <c r="DE164" i="1"/>
  <c r="DF164" i="1"/>
  <c r="DG164" i="1"/>
  <c r="DH164" i="1"/>
  <c r="DI164" i="1"/>
  <c r="DJ164" i="1"/>
  <c r="DK164" i="1"/>
  <c r="DL164" i="1"/>
  <c r="DM164" i="1"/>
  <c r="Y165" i="1" a="1"/>
  <c r="Y165" i="1" s="1"/>
  <c r="AE165" i="1" a="1"/>
  <c r="AE165" i="1" s="1"/>
  <c r="L165" i="1"/>
  <c r="AG165" i="1" a="1"/>
  <c r="AG165" i="1" s="1"/>
  <c r="N165" i="1"/>
  <c r="J165" i="1"/>
  <c r="K165" i="1"/>
  <c r="M165" i="1"/>
  <c r="AD165" i="1" a="1"/>
  <c r="AD165" i="1" s="1"/>
  <c r="AH165" i="1" a="1"/>
  <c r="AH165" i="1" s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D165" i="1"/>
  <c r="CI165" i="1"/>
  <c r="CO165" i="1" s="1"/>
  <c r="DD165" i="1"/>
  <c r="DE165" i="1"/>
  <c r="DF165" i="1"/>
  <c r="DG165" i="1"/>
  <c r="DH165" i="1"/>
  <c r="DI165" i="1"/>
  <c r="DJ165" i="1"/>
  <c r="DK165" i="1"/>
  <c r="DL165" i="1"/>
  <c r="DM165" i="1"/>
  <c r="AC166" i="1" a="1"/>
  <c r="AC166" i="1" s="1"/>
  <c r="J166" i="1"/>
  <c r="AA166" i="1" a="1"/>
  <c r="AA166" i="1" s="1"/>
  <c r="AG166" i="1" a="1"/>
  <c r="AG166" i="1" s="1"/>
  <c r="N166" i="1"/>
  <c r="L166" i="1"/>
  <c r="AD166" i="1" a="1"/>
  <c r="AD166" i="1" s="1"/>
  <c r="AF166" i="1" a="1"/>
  <c r="AF166" i="1" s="1"/>
  <c r="AH166" i="1" a="1"/>
  <c r="AH166" i="1" s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K166" i="1"/>
  <c r="CQ166" i="1" s="1"/>
  <c r="DD166" i="1"/>
  <c r="DE166" i="1"/>
  <c r="DF166" i="1"/>
  <c r="DG166" i="1"/>
  <c r="DH166" i="1"/>
  <c r="DI166" i="1"/>
  <c r="DJ166" i="1"/>
  <c r="DK166" i="1"/>
  <c r="DL166" i="1"/>
  <c r="DM166" i="1"/>
  <c r="AQ167" i="1"/>
  <c r="L167" i="1"/>
  <c r="N167" i="1"/>
  <c r="J167" i="1"/>
  <c r="AC167" i="1" a="1"/>
  <c r="AC167" i="1" s="1"/>
  <c r="AG167" i="1" a="1"/>
  <c r="AG167" i="1" s="1"/>
  <c r="AH167" i="1" a="1"/>
  <c r="AH167" i="1" s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F167" i="1"/>
  <c r="DD167" i="1"/>
  <c r="DE167" i="1"/>
  <c r="DF167" i="1"/>
  <c r="DG167" i="1"/>
  <c r="DH167" i="1"/>
  <c r="DI167" i="1"/>
  <c r="DJ167" i="1"/>
  <c r="DK167" i="1"/>
  <c r="DL167" i="1"/>
  <c r="DM167" i="1"/>
  <c r="J168" i="1"/>
  <c r="L168" i="1"/>
  <c r="N168" i="1"/>
  <c r="I168" i="1"/>
  <c r="K168" i="1"/>
  <c r="AC168" i="1" a="1"/>
  <c r="AC168" i="1" s="1"/>
  <c r="AE168" i="1" a="1"/>
  <c r="AE168" i="1" s="1"/>
  <c r="AH168" i="1" a="1"/>
  <c r="AH168" i="1" s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H168" i="1"/>
  <c r="CN168" i="1" s="1"/>
  <c r="CI168" i="1"/>
  <c r="CO168" i="1" s="1"/>
  <c r="DD168" i="1"/>
  <c r="DE168" i="1"/>
  <c r="DF168" i="1"/>
  <c r="DG168" i="1"/>
  <c r="DH168" i="1"/>
  <c r="DI168" i="1"/>
  <c r="DJ168" i="1"/>
  <c r="DK168" i="1"/>
  <c r="DL168" i="1"/>
  <c r="DM168" i="1"/>
  <c r="AC169" i="1" a="1"/>
  <c r="AC169" i="1" s="1"/>
  <c r="K169" i="1"/>
  <c r="AF169" i="1" a="1"/>
  <c r="AF169" i="1" s="1"/>
  <c r="M169" i="1"/>
  <c r="CL169" i="1"/>
  <c r="CR169" i="1" s="1"/>
  <c r="L169" i="1"/>
  <c r="AE169" i="1" a="1"/>
  <c r="AE169" i="1" s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E169" i="1"/>
  <c r="DD169" i="1"/>
  <c r="DE169" i="1"/>
  <c r="DF169" i="1"/>
  <c r="DG169" i="1"/>
  <c r="DH169" i="1"/>
  <c r="DI169" i="1"/>
  <c r="DJ169" i="1"/>
  <c r="DK169" i="1"/>
  <c r="DL169" i="1"/>
  <c r="DM169" i="1"/>
  <c r="S170" i="1"/>
  <c r="T170" i="1" s="1"/>
  <c r="AD170" i="1" a="1"/>
  <c r="AD170" i="1" s="1"/>
  <c r="AE170" i="1" a="1"/>
  <c r="AE170" i="1" s="1"/>
  <c r="AG170" i="1" a="1"/>
  <c r="AG170" i="1" s="1"/>
  <c r="AH170" i="1" a="1"/>
  <c r="AH170" i="1" s="1"/>
  <c r="J170" i="1"/>
  <c r="M170" i="1"/>
  <c r="N170" i="1"/>
  <c r="AF170" i="1" a="1"/>
  <c r="AF170" i="1" s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E170" i="1"/>
  <c r="CJ170" i="1"/>
  <c r="CP170" i="1" s="1"/>
  <c r="CL170" i="1"/>
  <c r="CR170" i="1" s="1"/>
  <c r="DD170" i="1"/>
  <c r="DE170" i="1"/>
  <c r="DF170" i="1"/>
  <c r="DG170" i="1"/>
  <c r="DH170" i="1"/>
  <c r="DI170" i="1"/>
  <c r="DJ170" i="1"/>
  <c r="DK170" i="1"/>
  <c r="DL170" i="1"/>
  <c r="DM170" i="1"/>
  <c r="I171" i="1"/>
  <c r="CI171" i="1"/>
  <c r="CO171" i="1" s="1"/>
  <c r="AF171" i="1" a="1"/>
  <c r="AF171" i="1" s="1"/>
  <c r="CL171" i="1"/>
  <c r="CR171" i="1" s="1"/>
  <c r="AH171" i="1" a="1"/>
  <c r="AH171" i="1" s="1"/>
  <c r="AC171" i="1" a="1"/>
  <c r="AC171" i="1" s="1"/>
  <c r="AG171" i="1" a="1"/>
  <c r="AG171" i="1" s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H171" i="1"/>
  <c r="DD171" i="1"/>
  <c r="DE171" i="1"/>
  <c r="DF171" i="1"/>
  <c r="DG171" i="1"/>
  <c r="DH171" i="1"/>
  <c r="DI171" i="1"/>
  <c r="DJ171" i="1"/>
  <c r="DK171" i="1"/>
  <c r="DL171" i="1"/>
  <c r="DM171" i="1"/>
  <c r="P172" i="1" a="1"/>
  <c r="P172" i="1" s="1"/>
  <c r="AD172" i="1" a="1"/>
  <c r="AD172" i="1" s="1"/>
  <c r="K172" i="1"/>
  <c r="N172" i="1"/>
  <c r="AH172" i="1" a="1"/>
  <c r="AH172" i="1" s="1"/>
  <c r="AQ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D172" i="1"/>
  <c r="CJ172" i="1"/>
  <c r="CP172" i="1" s="1"/>
  <c r="DD172" i="1"/>
  <c r="DE172" i="1"/>
  <c r="DF172" i="1"/>
  <c r="DG172" i="1"/>
  <c r="DH172" i="1"/>
  <c r="DI172" i="1"/>
  <c r="DJ172" i="1"/>
  <c r="DK172" i="1"/>
  <c r="DL172" i="1"/>
  <c r="DM172" i="1"/>
  <c r="AC173" i="1" a="1"/>
  <c r="AC173" i="1" s="1"/>
  <c r="K173" i="1"/>
  <c r="AF173" i="1" a="1"/>
  <c r="AF173" i="1" s="1"/>
  <c r="M173" i="1"/>
  <c r="L173" i="1"/>
  <c r="AE173" i="1" a="1"/>
  <c r="AE173" i="1" s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E173" i="1"/>
  <c r="DD173" i="1"/>
  <c r="DE173" i="1"/>
  <c r="DF173" i="1"/>
  <c r="DG173" i="1"/>
  <c r="DH173" i="1"/>
  <c r="DI173" i="1"/>
  <c r="DJ173" i="1"/>
  <c r="DK173" i="1"/>
  <c r="DL173" i="1"/>
  <c r="DM173" i="1"/>
  <c r="AD174" i="1" a="1"/>
  <c r="AD174" i="1" s="1"/>
  <c r="AE174" i="1" a="1"/>
  <c r="AE174" i="1" s="1"/>
  <c r="AF174" i="1" a="1"/>
  <c r="AF174" i="1" s="1"/>
  <c r="M174" i="1"/>
  <c r="AH174" i="1" a="1"/>
  <c r="AH174" i="1" s="1"/>
  <c r="K174" i="1"/>
  <c r="N174" i="1"/>
  <c r="AG174" i="1" a="1"/>
  <c r="AG174" i="1" s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J174" i="1"/>
  <c r="CP174" i="1" s="1"/>
  <c r="DD174" i="1"/>
  <c r="DE174" i="1"/>
  <c r="DF174" i="1"/>
  <c r="DG174" i="1"/>
  <c r="DH174" i="1"/>
  <c r="DI174" i="1"/>
  <c r="DJ174" i="1"/>
  <c r="DK174" i="1"/>
  <c r="DL174" i="1"/>
  <c r="DM174" i="1"/>
  <c r="I175" i="1"/>
  <c r="AF175" i="1" a="1"/>
  <c r="AF175" i="1" s="1"/>
  <c r="CL175" i="1"/>
  <c r="CR175" i="1" s="1"/>
  <c r="AH175" i="1" a="1"/>
  <c r="AH175" i="1" s="1"/>
  <c r="L175" i="1"/>
  <c r="AC175" i="1" a="1"/>
  <c r="AC175" i="1" s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K175" i="1"/>
  <c r="CQ175" i="1" s="1"/>
  <c r="DD175" i="1"/>
  <c r="DE175" i="1"/>
  <c r="DF175" i="1"/>
  <c r="DG175" i="1"/>
  <c r="DH175" i="1"/>
  <c r="DI175" i="1"/>
  <c r="DJ175" i="1"/>
  <c r="DK175" i="1"/>
  <c r="DL175" i="1"/>
  <c r="DM175" i="1"/>
  <c r="CH176" i="1"/>
  <c r="CN176" i="1" s="1"/>
  <c r="J176" i="1"/>
  <c r="K176" i="1"/>
  <c r="CD176" i="1"/>
  <c r="N176" i="1"/>
  <c r="AD176" i="1" a="1"/>
  <c r="AD176" i="1" s="1"/>
  <c r="AH176" i="1" a="1"/>
  <c r="AH176" i="1" s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DD176" i="1"/>
  <c r="DE176" i="1"/>
  <c r="DF176" i="1"/>
  <c r="DG176" i="1"/>
  <c r="DH176" i="1"/>
  <c r="DI176" i="1"/>
  <c r="DJ176" i="1"/>
  <c r="DK176" i="1"/>
  <c r="DL176" i="1"/>
  <c r="DM176" i="1"/>
  <c r="AC177" i="1" a="1"/>
  <c r="AC177" i="1" s="1"/>
  <c r="AA177" i="1" a="1"/>
  <c r="AA177" i="1" s="1"/>
  <c r="CJ177" i="1"/>
  <c r="CP177" i="1" s="1"/>
  <c r="AF177" i="1" a="1"/>
  <c r="AF177" i="1" s="1"/>
  <c r="M177" i="1"/>
  <c r="CL177" i="1"/>
  <c r="CR177" i="1" s="1"/>
  <c r="K177" i="1"/>
  <c r="Z177" i="1" a="1"/>
  <c r="Z177" i="1" s="1"/>
  <c r="AE177" i="1" a="1"/>
  <c r="AE177" i="1" s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E177" i="1"/>
  <c r="CF177" i="1"/>
  <c r="DD177" i="1"/>
  <c r="DE177" i="1"/>
  <c r="DF177" i="1"/>
  <c r="DG177" i="1"/>
  <c r="DH177" i="1"/>
  <c r="DI177" i="1"/>
  <c r="DJ177" i="1"/>
  <c r="DK177" i="1"/>
  <c r="DL177" i="1"/>
  <c r="DM177" i="1"/>
  <c r="S178" i="1"/>
  <c r="T178" i="1" s="1"/>
  <c r="AD178" i="1" a="1"/>
  <c r="AD178" i="1" s="1"/>
  <c r="AE178" i="1" a="1"/>
  <c r="AE178" i="1" s="1"/>
  <c r="CD178" i="1"/>
  <c r="AH178" i="1" a="1"/>
  <c r="AH178" i="1" s="1"/>
  <c r="K178" i="1"/>
  <c r="M178" i="1"/>
  <c r="AG178" i="1" a="1"/>
  <c r="AG178" i="1" s="1"/>
  <c r="AK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C178" i="1"/>
  <c r="CJ178" i="1"/>
  <c r="CP178" i="1" s="1"/>
  <c r="CL178" i="1"/>
  <c r="CR178" i="1" s="1"/>
  <c r="DD178" i="1"/>
  <c r="DE178" i="1"/>
  <c r="DF178" i="1"/>
  <c r="DG178" i="1"/>
  <c r="DH178" i="1"/>
  <c r="DI178" i="1"/>
  <c r="DJ178" i="1"/>
  <c r="DK178" i="1"/>
  <c r="DL178" i="1"/>
  <c r="DM178" i="1"/>
  <c r="I179" i="1"/>
  <c r="CI179" i="1"/>
  <c r="CO179" i="1" s="1"/>
  <c r="L179" i="1"/>
  <c r="CE179" i="1"/>
  <c r="AH179" i="1" a="1"/>
  <c r="AH179" i="1" s="1"/>
  <c r="AF179" i="1" a="1"/>
  <c r="AF179" i="1" s="1"/>
  <c r="AG179" i="1" a="1"/>
  <c r="AG179" i="1" s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K179" i="1"/>
  <c r="CQ179" i="1" s="1"/>
  <c r="DD179" i="1"/>
  <c r="DE179" i="1"/>
  <c r="DF179" i="1"/>
  <c r="DG179" i="1"/>
  <c r="DH179" i="1"/>
  <c r="DI179" i="1"/>
  <c r="DJ179" i="1"/>
  <c r="DK179" i="1"/>
  <c r="DL179" i="1"/>
  <c r="DM179" i="1"/>
  <c r="P180" i="1" a="1"/>
  <c r="P180" i="1" s="1"/>
  <c r="K180" i="1"/>
  <c r="Y180" i="1" a="1"/>
  <c r="Y180" i="1" s="1"/>
  <c r="N180" i="1"/>
  <c r="I180" i="1"/>
  <c r="J180" i="1"/>
  <c r="AD180" i="1" a="1"/>
  <c r="AD180" i="1" s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N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D180" i="1"/>
  <c r="CJ180" i="1"/>
  <c r="CP180" i="1" s="1"/>
  <c r="DD180" i="1"/>
  <c r="DE180" i="1"/>
  <c r="DF180" i="1"/>
  <c r="DG180" i="1"/>
  <c r="DH180" i="1"/>
  <c r="DI180" i="1"/>
  <c r="DJ180" i="1"/>
  <c r="DK180" i="1"/>
  <c r="DL180" i="1"/>
  <c r="DM180" i="1"/>
  <c r="AC181" i="1" a="1"/>
  <c r="AC181" i="1" s="1"/>
  <c r="AR181" i="1"/>
  <c r="AF181" i="1" a="1"/>
  <c r="AF181" i="1" s="1"/>
  <c r="M181" i="1"/>
  <c r="CL181" i="1"/>
  <c r="CR181" i="1" s="1"/>
  <c r="I181" i="1"/>
  <c r="K181" i="1"/>
  <c r="AE181" i="1" a="1"/>
  <c r="AE181" i="1" s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J181" i="1"/>
  <c r="CP181" i="1" s="1"/>
  <c r="DD181" i="1"/>
  <c r="DE181" i="1"/>
  <c r="DF181" i="1"/>
  <c r="DG181" i="1"/>
  <c r="DH181" i="1"/>
  <c r="DI181" i="1"/>
  <c r="DJ181" i="1"/>
  <c r="DK181" i="1"/>
  <c r="DL181" i="1"/>
  <c r="DM181" i="1"/>
  <c r="AA182" i="1" a="1"/>
  <c r="AA182" i="1" s="1"/>
  <c r="AD182" i="1" a="1"/>
  <c r="AD182" i="1" s="1"/>
  <c r="CD182" i="1"/>
  <c r="AG182" i="1" a="1"/>
  <c r="AG182" i="1" s="1"/>
  <c r="AH182" i="1" a="1"/>
  <c r="AH182" i="1" s="1"/>
  <c r="K182" i="1"/>
  <c r="N182" i="1"/>
  <c r="AE182" i="1" a="1"/>
  <c r="AE182" i="1" s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L182" i="1"/>
  <c r="CR182" i="1" s="1"/>
  <c r="DD182" i="1"/>
  <c r="DE182" i="1"/>
  <c r="DF182" i="1"/>
  <c r="DG182" i="1"/>
  <c r="DH182" i="1"/>
  <c r="DI182" i="1"/>
  <c r="DJ182" i="1"/>
  <c r="DK182" i="1"/>
  <c r="DL182" i="1"/>
  <c r="DM182" i="1"/>
  <c r="L183" i="1"/>
  <c r="AH183" i="1" a="1"/>
  <c r="AH183" i="1" s="1"/>
  <c r="M183" i="1"/>
  <c r="AC183" i="1" a="1"/>
  <c r="AC183" i="1" s="1"/>
  <c r="AG183" i="1" a="1"/>
  <c r="AG183" i="1" s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L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I183" i="1"/>
  <c r="CO183" i="1" s="1"/>
  <c r="CL183" i="1"/>
  <c r="CR183" i="1" s="1"/>
  <c r="DD183" i="1"/>
  <c r="DE183" i="1"/>
  <c r="DF183" i="1"/>
  <c r="DG183" i="1"/>
  <c r="DH183" i="1"/>
  <c r="DI183" i="1"/>
  <c r="DJ183" i="1"/>
  <c r="DK183" i="1"/>
  <c r="DL183" i="1"/>
  <c r="DM183" i="1"/>
  <c r="AD184" i="1" a="1"/>
  <c r="AD184" i="1" s="1"/>
  <c r="AE184" i="1" a="1"/>
  <c r="AE184" i="1" s="1"/>
  <c r="BM184" i="1"/>
  <c r="N184" i="1"/>
  <c r="I184" i="1"/>
  <c r="AC184" i="1" a="1"/>
  <c r="AC184" i="1" s="1"/>
  <c r="AH184" i="1" a="1"/>
  <c r="AH184" i="1" s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DD184" i="1"/>
  <c r="DE184" i="1"/>
  <c r="DF184" i="1"/>
  <c r="DG184" i="1"/>
  <c r="DH184" i="1"/>
  <c r="DI184" i="1"/>
  <c r="DJ184" i="1"/>
  <c r="DK184" i="1"/>
  <c r="DL184" i="1"/>
  <c r="DM184" i="1"/>
  <c r="AC185" i="1" a="1"/>
  <c r="AC185" i="1" s="1"/>
  <c r="CH185" i="1"/>
  <c r="CN185" i="1" s="1"/>
  <c r="CD185" i="1"/>
  <c r="AF185" i="1" a="1"/>
  <c r="AF185" i="1" s="1"/>
  <c r="M185" i="1"/>
  <c r="L185" i="1"/>
  <c r="AE185" i="1" a="1"/>
  <c r="AE185" i="1" s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E185" i="1"/>
  <c r="CJ185" i="1"/>
  <c r="CP185" i="1" s="1"/>
  <c r="DD185" i="1"/>
  <c r="DE185" i="1"/>
  <c r="DF185" i="1"/>
  <c r="DG185" i="1"/>
  <c r="DH185" i="1"/>
  <c r="DI185" i="1"/>
  <c r="DJ185" i="1"/>
  <c r="DK185" i="1"/>
  <c r="DL185" i="1"/>
  <c r="DM185" i="1"/>
  <c r="AK186" i="1"/>
  <c r="AD186" i="1" a="1"/>
  <c r="AD186" i="1" s="1"/>
  <c r="K186" i="1"/>
  <c r="AG186" i="1" a="1"/>
  <c r="AG186" i="1" s="1"/>
  <c r="AH186" i="1" a="1"/>
  <c r="AH186" i="1" s="1"/>
  <c r="J186" i="1"/>
  <c r="AE186" i="1" a="1"/>
  <c r="AE186" i="1" s="1"/>
  <c r="AF186" i="1" a="1"/>
  <c r="AF186" i="1" s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J186" i="1"/>
  <c r="CP186" i="1" s="1"/>
  <c r="DD186" i="1"/>
  <c r="DE186" i="1"/>
  <c r="DF186" i="1"/>
  <c r="DG186" i="1"/>
  <c r="DH186" i="1"/>
  <c r="DI186" i="1"/>
  <c r="DJ186" i="1"/>
  <c r="DK186" i="1"/>
  <c r="DL186" i="1"/>
  <c r="DM186" i="1"/>
  <c r="M187" i="1"/>
  <c r="L187" i="1"/>
  <c r="AC187" i="1" a="1"/>
  <c r="AC187" i="1" s="1"/>
  <c r="AF187" i="1" a="1"/>
  <c r="AF187" i="1" s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I187" i="1"/>
  <c r="CO187" i="1" s="1"/>
  <c r="DD187" i="1"/>
  <c r="DE187" i="1"/>
  <c r="DF187" i="1"/>
  <c r="DG187" i="1"/>
  <c r="DH187" i="1"/>
  <c r="DI187" i="1"/>
  <c r="DJ187" i="1"/>
  <c r="DK187" i="1"/>
  <c r="DL187" i="1"/>
  <c r="DM187" i="1"/>
  <c r="AD188" i="1" a="1"/>
  <c r="AD188" i="1" s="1"/>
  <c r="AE188" i="1" a="1"/>
  <c r="AE188" i="1" s="1"/>
  <c r="BN188" i="1"/>
  <c r="N188" i="1"/>
  <c r="I188" i="1"/>
  <c r="J188" i="1"/>
  <c r="AC188" i="1" a="1"/>
  <c r="AC188" i="1" s="1"/>
  <c r="AH188" i="1" a="1"/>
  <c r="AH188" i="1" s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C188" i="1"/>
  <c r="CH188" i="1"/>
  <c r="CN188" i="1" s="1"/>
  <c r="CI188" i="1"/>
  <c r="CO188" i="1" s="1"/>
  <c r="DD188" i="1"/>
  <c r="DE188" i="1"/>
  <c r="DF188" i="1"/>
  <c r="DG188" i="1"/>
  <c r="DH188" i="1"/>
  <c r="DI188" i="1"/>
  <c r="DJ188" i="1"/>
  <c r="DK188" i="1"/>
  <c r="DL188" i="1"/>
  <c r="DM188" i="1"/>
  <c r="AC189" i="1" a="1"/>
  <c r="AC189" i="1" s="1"/>
  <c r="K189" i="1"/>
  <c r="AF189" i="1" a="1"/>
  <c r="AF189" i="1" s="1"/>
  <c r="M189" i="1"/>
  <c r="L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E189" i="1"/>
  <c r="CH189" i="1"/>
  <c r="DD189" i="1"/>
  <c r="DE189" i="1"/>
  <c r="DF189" i="1"/>
  <c r="DG189" i="1"/>
  <c r="DH189" i="1"/>
  <c r="DI189" i="1"/>
  <c r="DJ189" i="1"/>
  <c r="DK189" i="1"/>
  <c r="DL189" i="1"/>
  <c r="DM189" i="1"/>
  <c r="S190" i="1"/>
  <c r="T190" i="1" s="1"/>
  <c r="AD190" i="1" a="1"/>
  <c r="AD190" i="1" s="1"/>
  <c r="AE190" i="1" a="1"/>
  <c r="AE190" i="1" s="1"/>
  <c r="AF190" i="1" a="1"/>
  <c r="AF190" i="1" s="1"/>
  <c r="AG190" i="1" a="1"/>
  <c r="AG190" i="1" s="1"/>
  <c r="AH190" i="1" a="1"/>
  <c r="AH190" i="1" s="1"/>
  <c r="J190" i="1"/>
  <c r="M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M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F190" i="1"/>
  <c r="DD190" i="1"/>
  <c r="DE190" i="1"/>
  <c r="DF190" i="1"/>
  <c r="DG190" i="1"/>
  <c r="DH190" i="1"/>
  <c r="DI190" i="1"/>
  <c r="DJ190" i="1"/>
  <c r="DK190" i="1"/>
  <c r="DL190" i="1"/>
  <c r="DM190" i="1"/>
  <c r="AD191" i="1" a="1"/>
  <c r="AD191" i="1" s="1"/>
  <c r="K191" i="1"/>
  <c r="AF191" i="1" a="1"/>
  <c r="AF191" i="1" s="1"/>
  <c r="CL191" i="1"/>
  <c r="CR191" i="1" s="1"/>
  <c r="L191" i="1"/>
  <c r="M191" i="1"/>
  <c r="S191" i="1"/>
  <c r="T191" i="1" s="1"/>
  <c r="AC191" i="1" a="1"/>
  <c r="AC191" i="1" s="1"/>
  <c r="AG191" i="1" a="1"/>
  <c r="AG191" i="1" s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E191" i="1"/>
  <c r="CK191" i="1"/>
  <c r="CQ191" i="1" s="1"/>
  <c r="DD191" i="1"/>
  <c r="DE191" i="1"/>
  <c r="DF191" i="1"/>
  <c r="DG191" i="1"/>
  <c r="DH191" i="1"/>
  <c r="DI191" i="1"/>
  <c r="DJ191" i="1"/>
  <c r="DK191" i="1"/>
  <c r="DL191" i="1"/>
  <c r="DM191" i="1"/>
  <c r="I192" i="1"/>
  <c r="BL192" i="1"/>
  <c r="N192" i="1"/>
  <c r="AC192" i="1" a="1"/>
  <c r="AC192" i="1" s="1"/>
  <c r="AH192" i="1" a="1"/>
  <c r="AH192" i="1" s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C192" i="1"/>
  <c r="DD192" i="1"/>
  <c r="DE192" i="1"/>
  <c r="DF192" i="1"/>
  <c r="DG192" i="1"/>
  <c r="DH192" i="1"/>
  <c r="DI192" i="1"/>
  <c r="DJ192" i="1"/>
  <c r="DK192" i="1"/>
  <c r="DL192" i="1"/>
  <c r="DM192" i="1"/>
  <c r="Y193" i="1" a="1"/>
  <c r="Y193" i="1" s="1"/>
  <c r="CD193" i="1"/>
  <c r="CL193" i="1"/>
  <c r="CR193" i="1" s="1"/>
  <c r="K193" i="1"/>
  <c r="L193" i="1"/>
  <c r="N193" i="1"/>
  <c r="AE193" i="1" a="1"/>
  <c r="AE193" i="1" s="1"/>
  <c r="AF193" i="1" a="1"/>
  <c r="AF193" i="1" s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C193" i="1"/>
  <c r="CE193" i="1"/>
  <c r="CF193" i="1"/>
  <c r="CJ193" i="1"/>
  <c r="CP193" i="1" s="1"/>
  <c r="DD193" i="1"/>
  <c r="DE193" i="1"/>
  <c r="DF193" i="1"/>
  <c r="DG193" i="1"/>
  <c r="DH193" i="1"/>
  <c r="DI193" i="1"/>
  <c r="DJ193" i="1"/>
  <c r="DK193" i="1"/>
  <c r="DL193" i="1"/>
  <c r="DM193" i="1"/>
  <c r="AO194" i="1"/>
  <c r="AD194" i="1" a="1"/>
  <c r="AD194" i="1" s="1"/>
  <c r="AE194" i="1" a="1"/>
  <c r="AE194" i="1" s="1"/>
  <c r="AG194" i="1" a="1"/>
  <c r="AG194" i="1" s="1"/>
  <c r="AH194" i="1" a="1"/>
  <c r="AH194" i="1" s="1"/>
  <c r="K194" i="1"/>
  <c r="M194" i="1"/>
  <c r="N194" i="1"/>
  <c r="AF194" i="1" a="1"/>
  <c r="AF194" i="1" s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E194" i="1"/>
  <c r="CL194" i="1"/>
  <c r="CR194" i="1" s="1"/>
  <c r="DD194" i="1"/>
  <c r="DE194" i="1"/>
  <c r="DF194" i="1"/>
  <c r="DG194" i="1"/>
  <c r="DH194" i="1"/>
  <c r="DI194" i="1"/>
  <c r="DJ194" i="1"/>
  <c r="DK194" i="1"/>
  <c r="DL194" i="1"/>
  <c r="DM194" i="1"/>
  <c r="AC195" i="1" a="1"/>
  <c r="AC195" i="1" s="1"/>
  <c r="V195" i="1" a="1"/>
  <c r="V195" i="1" s="1"/>
  <c r="W195" i="1" s="1"/>
  <c r="CI195" i="1"/>
  <c r="CO195" i="1" s="1"/>
  <c r="CE195" i="1"/>
  <c r="AA195" i="1" a="1"/>
  <c r="AA195" i="1" s="1"/>
  <c r="J195" i="1"/>
  <c r="K195" i="1"/>
  <c r="M195" i="1"/>
  <c r="AD195" i="1" a="1"/>
  <c r="AD195" i="1" s="1"/>
  <c r="AF195" i="1" a="1"/>
  <c r="AF195" i="1" s="1"/>
  <c r="AG195" i="1" a="1"/>
  <c r="AG195" i="1" s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DD195" i="1"/>
  <c r="DE195" i="1"/>
  <c r="DF195" i="1"/>
  <c r="DG195" i="1"/>
  <c r="DH195" i="1"/>
  <c r="DI195" i="1"/>
  <c r="DJ195" i="1"/>
  <c r="DK195" i="1"/>
  <c r="DL195" i="1"/>
  <c r="DM195" i="1"/>
  <c r="Y196" i="1" a="1"/>
  <c r="Y196" i="1" s="1"/>
  <c r="CI196" i="1"/>
  <c r="CO196" i="1" s="1"/>
  <c r="L196" i="1"/>
  <c r="AG196" i="1" a="1"/>
  <c r="AG196" i="1" s="1"/>
  <c r="CF196" i="1"/>
  <c r="I196" i="1"/>
  <c r="P196" i="1" a="1"/>
  <c r="P196" i="1" s="1"/>
  <c r="Q196" i="1" s="1"/>
  <c r="AC196" i="1" a="1"/>
  <c r="AC196" i="1" s="1"/>
  <c r="AH196" i="1" a="1"/>
  <c r="AH196" i="1" s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L196" i="1"/>
  <c r="CR196" i="1" s="1"/>
  <c r="DD196" i="1"/>
  <c r="DE196" i="1"/>
  <c r="DF196" i="1"/>
  <c r="DG196" i="1"/>
  <c r="DH196" i="1"/>
  <c r="DI196" i="1"/>
  <c r="DJ196" i="1"/>
  <c r="DK196" i="1"/>
  <c r="DL196" i="1"/>
  <c r="DM196" i="1"/>
  <c r="S197" i="1"/>
  <c r="T197" i="1" s="1"/>
  <c r="CJ197" i="1"/>
  <c r="CP197" i="1" s="1"/>
  <c r="I197" i="1"/>
  <c r="K197" i="1"/>
  <c r="L197" i="1"/>
  <c r="AD197" i="1" a="1"/>
  <c r="AD197" i="1" s="1"/>
  <c r="AE197" i="1" a="1"/>
  <c r="AE197" i="1" s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N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D197" i="1"/>
  <c r="DD197" i="1"/>
  <c r="DE197" i="1"/>
  <c r="DF197" i="1"/>
  <c r="DG197" i="1"/>
  <c r="DH197" i="1"/>
  <c r="DI197" i="1"/>
  <c r="DJ197" i="1"/>
  <c r="DK197" i="1"/>
  <c r="DL197" i="1"/>
  <c r="DM197" i="1"/>
  <c r="AO198" i="1"/>
  <c r="AD198" i="1" a="1"/>
  <c r="AD198" i="1" s="1"/>
  <c r="CC198" i="1"/>
  <c r="M198" i="1"/>
  <c r="AH198" i="1" a="1"/>
  <c r="AH198" i="1" s="1"/>
  <c r="J198" i="1"/>
  <c r="K198" i="1"/>
  <c r="N198" i="1"/>
  <c r="AE198" i="1" a="1"/>
  <c r="AE198" i="1" s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E198" i="1"/>
  <c r="CJ198" i="1"/>
  <c r="CP198" i="1" s="1"/>
  <c r="DD198" i="1"/>
  <c r="DE198" i="1"/>
  <c r="DF198" i="1"/>
  <c r="DG198" i="1"/>
  <c r="DH198" i="1"/>
  <c r="DI198" i="1"/>
  <c r="DJ198" i="1"/>
  <c r="DK198" i="1"/>
  <c r="DL198" i="1"/>
  <c r="DM198" i="1"/>
  <c r="AC199" i="1" a="1"/>
  <c r="AC199" i="1" s="1"/>
  <c r="AE199" i="1" a="1"/>
  <c r="AE199" i="1" s="1"/>
  <c r="AF199" i="1" a="1"/>
  <c r="AF199" i="1" s="1"/>
  <c r="AG199" i="1" a="1"/>
  <c r="AG199" i="1" s="1"/>
  <c r="AH199" i="1" a="1"/>
  <c r="AH199" i="1" s="1"/>
  <c r="L199" i="1"/>
  <c r="M199" i="1"/>
  <c r="AD199" i="1" a="1"/>
  <c r="AD199" i="1" s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E199" i="1"/>
  <c r="DD199" i="1"/>
  <c r="DE199" i="1"/>
  <c r="DF199" i="1"/>
  <c r="DG199" i="1"/>
  <c r="DH199" i="1"/>
  <c r="DI199" i="1"/>
  <c r="DJ199" i="1"/>
  <c r="DK199" i="1"/>
  <c r="DL199" i="1"/>
  <c r="DM199" i="1"/>
  <c r="AK200" i="1"/>
  <c r="AE200" i="1" a="1"/>
  <c r="AE200" i="1" s="1"/>
  <c r="CD200" i="1"/>
  <c r="M200" i="1"/>
  <c r="J200" i="1"/>
  <c r="N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DD200" i="1"/>
  <c r="DE200" i="1"/>
  <c r="DF200" i="1"/>
  <c r="DG200" i="1"/>
  <c r="DH200" i="1"/>
  <c r="DI200" i="1"/>
  <c r="DJ200" i="1"/>
  <c r="DK200" i="1"/>
  <c r="DL200" i="1"/>
  <c r="DM200" i="1"/>
  <c r="S201" i="1"/>
  <c r="T201" i="1" s="1"/>
  <c r="K201" i="1"/>
  <c r="AG201" i="1" a="1"/>
  <c r="AG201" i="1" s="1"/>
  <c r="AH201" i="1" a="1"/>
  <c r="AH201" i="1" s="1"/>
  <c r="L201" i="1"/>
  <c r="M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E201" i="1"/>
  <c r="CJ201" i="1"/>
  <c r="CP201" i="1" s="1"/>
  <c r="DD201" i="1"/>
  <c r="DE201" i="1"/>
  <c r="DF201" i="1"/>
  <c r="DG201" i="1"/>
  <c r="DH201" i="1"/>
  <c r="DI201" i="1"/>
  <c r="DJ201" i="1"/>
  <c r="DK201" i="1"/>
  <c r="DL201" i="1"/>
  <c r="DM201" i="1"/>
  <c r="AE202" i="1" a="1"/>
  <c r="AE202" i="1" s="1"/>
  <c r="J202" i="1"/>
  <c r="N202" i="1"/>
  <c r="AD202" i="1" a="1"/>
  <c r="AD202" i="1" s="1"/>
  <c r="AH202" i="1" a="1"/>
  <c r="AH202" i="1" s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C202" i="1"/>
  <c r="CH202" i="1"/>
  <c r="DD202" i="1"/>
  <c r="DE202" i="1"/>
  <c r="DF202" i="1"/>
  <c r="DG202" i="1"/>
  <c r="DH202" i="1"/>
  <c r="DI202" i="1"/>
  <c r="DJ202" i="1"/>
  <c r="DK202" i="1"/>
  <c r="DL202" i="1"/>
  <c r="DM202" i="1"/>
  <c r="AO203" i="1"/>
  <c r="L203" i="1"/>
  <c r="CF203" i="1"/>
  <c r="AH203" i="1" a="1"/>
  <c r="AH203" i="1" s="1"/>
  <c r="I203" i="1"/>
  <c r="AC203" i="1" a="1"/>
  <c r="AC203" i="1" s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E203" i="1"/>
  <c r="DD203" i="1"/>
  <c r="DE203" i="1"/>
  <c r="DF203" i="1"/>
  <c r="DG203" i="1"/>
  <c r="DH203" i="1"/>
  <c r="DI203" i="1"/>
  <c r="DJ203" i="1"/>
  <c r="DK203" i="1"/>
  <c r="DL203" i="1"/>
  <c r="DM203" i="1"/>
  <c r="Y204" i="1" a="1"/>
  <c r="Y204" i="1" s="1"/>
  <c r="K204" i="1"/>
  <c r="AF204" i="1" a="1"/>
  <c r="AF204" i="1" s="1"/>
  <c r="CK204" i="1"/>
  <c r="CQ204" i="1" s="1"/>
  <c r="CL204" i="1"/>
  <c r="CR204" i="1" s="1"/>
  <c r="AE204" i="1" a="1"/>
  <c r="AE204" i="1" s="1"/>
  <c r="AH204" i="1" a="1"/>
  <c r="AH204" i="1" s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F204" i="1"/>
  <c r="CJ204" i="1"/>
  <c r="CP204" i="1" s="1"/>
  <c r="DD204" i="1"/>
  <c r="DE204" i="1"/>
  <c r="DF204" i="1"/>
  <c r="DG204" i="1"/>
  <c r="DH204" i="1"/>
  <c r="DI204" i="1"/>
  <c r="DJ204" i="1"/>
  <c r="DK204" i="1"/>
  <c r="DL204" i="1"/>
  <c r="DM204" i="1"/>
  <c r="AC205" i="1" a="1"/>
  <c r="AC205" i="1" s="1"/>
  <c r="CC205" i="1"/>
  <c r="AF205" i="1" a="1"/>
  <c r="AF205" i="1" s="1"/>
  <c r="AG205" i="1" a="1"/>
  <c r="AG205" i="1" s="1"/>
  <c r="AH205" i="1" a="1"/>
  <c r="AH205" i="1" s="1"/>
  <c r="M205" i="1"/>
  <c r="N205" i="1"/>
  <c r="V205" i="1" a="1"/>
  <c r="V205" i="1" s="1"/>
  <c r="W205" i="1" s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L205" i="1"/>
  <c r="CR205" i="1" s="1"/>
  <c r="DD205" i="1"/>
  <c r="DE205" i="1"/>
  <c r="DF205" i="1"/>
  <c r="DG205" i="1"/>
  <c r="DH205" i="1"/>
  <c r="DI205" i="1"/>
  <c r="DJ205" i="1"/>
  <c r="DK205" i="1"/>
  <c r="DL205" i="1"/>
  <c r="DM205" i="1"/>
  <c r="CH206" i="1"/>
  <c r="AE206" i="1" a="1"/>
  <c r="AE206" i="1" s="1"/>
  <c r="AN206" i="1"/>
  <c r="J206" i="1"/>
  <c r="K206" i="1"/>
  <c r="M206" i="1"/>
  <c r="AC206" i="1" a="1"/>
  <c r="AC206" i="1" s="1"/>
  <c r="AD206" i="1" a="1"/>
  <c r="AD206" i="1" s="1"/>
  <c r="AF206" i="1" a="1"/>
  <c r="AF206" i="1" s="1"/>
  <c r="AG206" i="1" a="1"/>
  <c r="AG206" i="1" s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D206" i="1"/>
  <c r="CI206" i="1"/>
  <c r="CO206" i="1" s="1"/>
  <c r="CK206" i="1"/>
  <c r="CQ206" i="1" s="1"/>
  <c r="DD206" i="1"/>
  <c r="DE206" i="1"/>
  <c r="DF206" i="1"/>
  <c r="DG206" i="1"/>
  <c r="DH206" i="1"/>
  <c r="DI206" i="1"/>
  <c r="DJ206" i="1"/>
  <c r="DK206" i="1"/>
  <c r="DL206" i="1"/>
  <c r="DM206" i="1"/>
  <c r="AP207" i="1"/>
  <c r="AH207" i="1" a="1"/>
  <c r="AH207" i="1" s="1"/>
  <c r="I207" i="1"/>
  <c r="J207" i="1"/>
  <c r="M207" i="1"/>
  <c r="AC207" i="1" a="1"/>
  <c r="AC207" i="1" s="1"/>
  <c r="AG207" i="1" a="1"/>
  <c r="AG207" i="1" s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I207" i="1"/>
  <c r="CO207" i="1" s="1"/>
  <c r="DD207" i="1"/>
  <c r="DE207" i="1"/>
  <c r="DF207" i="1"/>
  <c r="DG207" i="1"/>
  <c r="DH207" i="1"/>
  <c r="DI207" i="1"/>
  <c r="DJ207" i="1"/>
  <c r="DK207" i="1"/>
  <c r="DL207" i="1"/>
  <c r="DM207" i="1"/>
  <c r="P208" i="1" a="1"/>
  <c r="P208" i="1" s="1"/>
  <c r="AD208" i="1" a="1"/>
  <c r="AD208" i="1" s="1"/>
  <c r="AE208" i="1" a="1"/>
  <c r="AE208" i="1" s="1"/>
  <c r="CD208" i="1"/>
  <c r="AH208" i="1" a="1"/>
  <c r="AH208" i="1" s="1"/>
  <c r="K208" i="1"/>
  <c r="L208" i="1"/>
  <c r="AF208" i="1" a="1"/>
  <c r="AF208" i="1" s="1"/>
  <c r="AQ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E208" i="1"/>
  <c r="CI208" i="1"/>
  <c r="CO208" i="1" s="1"/>
  <c r="CL208" i="1"/>
  <c r="CR208" i="1" s="1"/>
  <c r="DD208" i="1"/>
  <c r="DE208" i="1"/>
  <c r="DF208" i="1"/>
  <c r="DG208" i="1"/>
  <c r="DH208" i="1"/>
  <c r="DI208" i="1"/>
  <c r="DJ208" i="1"/>
  <c r="DK208" i="1"/>
  <c r="DL208" i="1"/>
  <c r="DM208" i="1"/>
  <c r="AD209" i="1" a="1"/>
  <c r="AD209" i="1" s="1"/>
  <c r="CC209" i="1"/>
  <c r="L209" i="1"/>
  <c r="J209" i="1"/>
  <c r="M209" i="1"/>
  <c r="N209" i="1"/>
  <c r="AG209" i="1" a="1"/>
  <c r="AG209" i="1" s="1"/>
  <c r="AH209" i="1" a="1"/>
  <c r="AH209" i="1" s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F209" i="1"/>
  <c r="DD209" i="1"/>
  <c r="DE209" i="1"/>
  <c r="DF209" i="1"/>
  <c r="DG209" i="1"/>
  <c r="DH209" i="1"/>
  <c r="DI209" i="1"/>
  <c r="DJ209" i="1"/>
  <c r="DK209" i="1"/>
  <c r="DL209" i="1"/>
  <c r="DM209" i="1"/>
  <c r="CH210" i="1"/>
  <c r="K210" i="1"/>
  <c r="L210" i="1"/>
  <c r="AG210" i="1" a="1"/>
  <c r="AG210" i="1" s="1"/>
  <c r="N210" i="1"/>
  <c r="M210" i="1"/>
  <c r="V210" i="1" a="1"/>
  <c r="V210" i="1" s="1"/>
  <c r="W210" i="1" s="1"/>
  <c r="AF210" i="1" a="1"/>
  <c r="AF210" i="1" s="1"/>
  <c r="AH210" i="1" a="1"/>
  <c r="AH210" i="1" s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DD210" i="1"/>
  <c r="DE210" i="1"/>
  <c r="DF210" i="1"/>
  <c r="DG210" i="1"/>
  <c r="DH210" i="1"/>
  <c r="DI210" i="1"/>
  <c r="DJ210" i="1"/>
  <c r="DK210" i="1"/>
  <c r="DL210" i="1"/>
  <c r="DM210" i="1"/>
  <c r="AC211" i="1" a="1"/>
  <c r="AC211" i="1" s="1"/>
  <c r="AD211" i="1" a="1"/>
  <c r="AD211" i="1" s="1"/>
  <c r="CK211" i="1"/>
  <c r="CQ211" i="1" s="1"/>
  <c r="N211" i="1"/>
  <c r="J211" i="1"/>
  <c r="M211" i="1"/>
  <c r="AG211" i="1" a="1"/>
  <c r="AG211" i="1" s="1"/>
  <c r="AH211" i="1" a="1"/>
  <c r="AH211" i="1" s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DD211" i="1"/>
  <c r="DE211" i="1"/>
  <c r="DF211" i="1"/>
  <c r="DG211" i="1"/>
  <c r="DH211" i="1"/>
  <c r="DI211" i="1"/>
  <c r="DJ211" i="1"/>
  <c r="DK211" i="1"/>
  <c r="DL211" i="1"/>
  <c r="DM211" i="1"/>
  <c r="I212" i="1"/>
  <c r="AD212" i="1" a="1"/>
  <c r="AD212" i="1" s="1"/>
  <c r="AE212" i="1" a="1"/>
  <c r="AE212" i="1" s="1"/>
  <c r="N212" i="1"/>
  <c r="K212" i="1"/>
  <c r="L212" i="1"/>
  <c r="AF212" i="1" a="1"/>
  <c r="AF212" i="1" s="1"/>
  <c r="AH212" i="1" a="1"/>
  <c r="AH212" i="1" s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L212" i="1"/>
  <c r="CR212" i="1" s="1"/>
  <c r="DD212" i="1"/>
  <c r="DE212" i="1"/>
  <c r="DF212" i="1"/>
  <c r="DG212" i="1"/>
  <c r="DH212" i="1"/>
  <c r="DI212" i="1"/>
  <c r="DJ212" i="1"/>
  <c r="DK212" i="1"/>
  <c r="DL212" i="1"/>
  <c r="DM212" i="1"/>
  <c r="AD213" i="1" a="1"/>
  <c r="AD213" i="1" s="1"/>
  <c r="AE213" i="1" a="1"/>
  <c r="AE213" i="1" s="1"/>
  <c r="AF213" i="1" a="1"/>
  <c r="AF213" i="1" s="1"/>
  <c r="CF213" i="1"/>
  <c r="M213" i="1"/>
  <c r="N213" i="1"/>
  <c r="AG213" i="1" a="1"/>
  <c r="AG213" i="1" s="1"/>
  <c r="AH213" i="1" a="1"/>
  <c r="AH213" i="1" s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DD213" i="1"/>
  <c r="DE213" i="1"/>
  <c r="DF213" i="1"/>
  <c r="DG213" i="1"/>
  <c r="DH213" i="1"/>
  <c r="DI213" i="1"/>
  <c r="DJ213" i="1"/>
  <c r="DK213" i="1"/>
  <c r="DL213" i="1"/>
  <c r="DM213" i="1"/>
  <c r="AA214" i="1" a="1"/>
  <c r="AA214" i="1" s="1"/>
  <c r="CE214" i="1"/>
  <c r="K214" i="1"/>
  <c r="L214" i="1"/>
  <c r="AF214" i="1" a="1"/>
  <c r="AF214" i="1" s="1"/>
  <c r="AH214" i="1" a="1"/>
  <c r="AH214" i="1" s="1"/>
  <c r="AN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I214" i="1"/>
  <c r="CO214" i="1" s="1"/>
  <c r="DD214" i="1"/>
  <c r="DE214" i="1"/>
  <c r="DF214" i="1"/>
  <c r="DG214" i="1"/>
  <c r="DH214" i="1"/>
  <c r="DI214" i="1"/>
  <c r="DJ214" i="1"/>
  <c r="DK214" i="1"/>
  <c r="DL214" i="1"/>
  <c r="DM214" i="1"/>
  <c r="CB215" i="1"/>
  <c r="CJ215" i="1"/>
  <c r="CP215" i="1" s="1"/>
  <c r="CK215" i="1"/>
  <c r="CQ215" i="1" s="1"/>
  <c r="J215" i="1"/>
  <c r="M215" i="1"/>
  <c r="N215" i="1"/>
  <c r="AC215" i="1" a="1"/>
  <c r="AC215" i="1" s="1"/>
  <c r="AD215" i="1" a="1"/>
  <c r="AD215" i="1" s="1"/>
  <c r="AH215" i="1" a="1"/>
  <c r="AH215" i="1" s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DD215" i="1"/>
  <c r="DE215" i="1"/>
  <c r="DF215" i="1"/>
  <c r="DG215" i="1"/>
  <c r="DH215" i="1"/>
  <c r="DI215" i="1"/>
  <c r="DJ215" i="1"/>
  <c r="DK215" i="1"/>
  <c r="DL215" i="1"/>
  <c r="DM215" i="1"/>
  <c r="S216" i="1"/>
  <c r="T216" i="1" s="1"/>
  <c r="AD216" i="1" a="1"/>
  <c r="AD216" i="1" s="1"/>
  <c r="CD216" i="1"/>
  <c r="N216" i="1"/>
  <c r="J216" i="1"/>
  <c r="K216" i="1"/>
  <c r="L216" i="1"/>
  <c r="AE216" i="1" a="1"/>
  <c r="AE216" i="1" s="1"/>
  <c r="AF216" i="1" a="1"/>
  <c r="AF216" i="1" s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L216" i="1"/>
  <c r="CR216" i="1" s="1"/>
  <c r="DD216" i="1"/>
  <c r="DE216" i="1"/>
  <c r="DF216" i="1"/>
  <c r="DG216" i="1"/>
  <c r="DH216" i="1"/>
  <c r="DI216" i="1"/>
  <c r="DJ216" i="1"/>
  <c r="DK216" i="1"/>
  <c r="DL216" i="1"/>
  <c r="DM216" i="1"/>
  <c r="AD217" i="1" a="1"/>
  <c r="AD217" i="1" s="1"/>
  <c r="CD217" i="1"/>
  <c r="AH217" i="1" a="1"/>
  <c r="AH217" i="1" s="1"/>
  <c r="J217" i="1"/>
  <c r="K217" i="1"/>
  <c r="M217" i="1"/>
  <c r="AE217" i="1" a="1"/>
  <c r="AE217" i="1" s="1"/>
  <c r="AG217" i="1" a="1"/>
  <c r="AG217" i="1" s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F217" i="1"/>
  <c r="CI217" i="1"/>
  <c r="CO217" i="1" s="1"/>
  <c r="DD217" i="1"/>
  <c r="DE217" i="1"/>
  <c r="DF217" i="1"/>
  <c r="DG217" i="1"/>
  <c r="DH217" i="1"/>
  <c r="DI217" i="1"/>
  <c r="DJ217" i="1"/>
  <c r="DK217" i="1"/>
  <c r="DL217" i="1"/>
  <c r="DM217" i="1"/>
  <c r="AC218" i="1" a="1"/>
  <c r="AC218" i="1" s="1"/>
  <c r="J218" i="1"/>
  <c r="CD218" i="1"/>
  <c r="N218" i="1"/>
  <c r="L218" i="1"/>
  <c r="AF218" i="1" a="1"/>
  <c r="AF218" i="1" s="1"/>
  <c r="AH218" i="1" a="1"/>
  <c r="AH218" i="1" s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DD218" i="1"/>
  <c r="DE218" i="1"/>
  <c r="DF218" i="1"/>
  <c r="DG218" i="1"/>
  <c r="DH218" i="1"/>
  <c r="DI218" i="1"/>
  <c r="DJ218" i="1"/>
  <c r="DK218" i="1"/>
  <c r="DL218" i="1"/>
  <c r="DM218" i="1"/>
  <c r="AC219" i="1" a="1"/>
  <c r="AC219" i="1" s="1"/>
  <c r="AE219" i="1" a="1"/>
  <c r="AE219" i="1" s="1"/>
  <c r="CF219" i="1"/>
  <c r="I219" i="1"/>
  <c r="J219" i="1"/>
  <c r="N219" i="1"/>
  <c r="AD219" i="1" a="1"/>
  <c r="AD219" i="1" s="1"/>
  <c r="AG219" i="1" a="1"/>
  <c r="AG219" i="1" s="1"/>
  <c r="AH219" i="1" a="1"/>
  <c r="AH219" i="1" s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DD219" i="1"/>
  <c r="DE219" i="1"/>
  <c r="DF219" i="1"/>
  <c r="DG219" i="1"/>
  <c r="DH219" i="1"/>
  <c r="DI219" i="1"/>
  <c r="DJ219" i="1"/>
  <c r="DK219" i="1"/>
  <c r="DL219" i="1"/>
  <c r="DM219" i="1"/>
  <c r="I220" i="1"/>
  <c r="CC220" i="1"/>
  <c r="AF220" i="1" a="1"/>
  <c r="AF220" i="1" s="1"/>
  <c r="J220" i="1"/>
  <c r="AD220" i="1" a="1"/>
  <c r="AD220" i="1" s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D220" i="1"/>
  <c r="CE220" i="1"/>
  <c r="DD220" i="1"/>
  <c r="DE220" i="1"/>
  <c r="DF220" i="1"/>
  <c r="DG220" i="1"/>
  <c r="DH220" i="1"/>
  <c r="DI220" i="1"/>
  <c r="DJ220" i="1"/>
  <c r="DK220" i="1"/>
  <c r="DL220" i="1"/>
  <c r="DM220" i="1"/>
  <c r="CB221" i="1"/>
  <c r="AD221" i="1" a="1"/>
  <c r="AD221" i="1" s="1"/>
  <c r="AE221" i="1" a="1"/>
  <c r="AE221" i="1" s="1"/>
  <c r="CE221" i="1"/>
  <c r="AH221" i="1" a="1"/>
  <c r="AH221" i="1" s="1"/>
  <c r="I221" i="1"/>
  <c r="L221" i="1"/>
  <c r="AC221" i="1" a="1"/>
  <c r="AC221" i="1" s="1"/>
  <c r="AF221" i="1" a="1"/>
  <c r="AF221" i="1" s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K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I221" i="1"/>
  <c r="CO221" i="1" s="1"/>
  <c r="DD221" i="1"/>
  <c r="DE221" i="1"/>
  <c r="DF221" i="1"/>
  <c r="DG221" i="1"/>
  <c r="DH221" i="1"/>
  <c r="DI221" i="1"/>
  <c r="DJ221" i="1"/>
  <c r="DK221" i="1"/>
  <c r="DL221" i="1"/>
  <c r="DM221" i="1"/>
  <c r="J222" i="1"/>
  <c r="AE222" i="1" a="1"/>
  <c r="AE222" i="1" s="1"/>
  <c r="M222" i="1"/>
  <c r="N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DD222" i="1"/>
  <c r="DE222" i="1"/>
  <c r="DF222" i="1"/>
  <c r="DG222" i="1"/>
  <c r="DH222" i="1"/>
  <c r="DI222" i="1"/>
  <c r="DJ222" i="1"/>
  <c r="DK222" i="1"/>
  <c r="DL222" i="1"/>
  <c r="DM222" i="1"/>
  <c r="AC223" i="1" a="1"/>
  <c r="AC223" i="1" s="1"/>
  <c r="AD223" i="1" a="1"/>
  <c r="AD223" i="1" s="1"/>
  <c r="CF223" i="1"/>
  <c r="N223" i="1"/>
  <c r="AH223" i="1" a="1"/>
  <c r="AH223" i="1" s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L223" i="1"/>
  <c r="CR223" i="1" s="1"/>
  <c r="DD223" i="1"/>
  <c r="DE223" i="1"/>
  <c r="DF223" i="1"/>
  <c r="DG223" i="1"/>
  <c r="DH223" i="1"/>
  <c r="DI223" i="1"/>
  <c r="DJ223" i="1"/>
  <c r="DK223" i="1"/>
  <c r="DL223" i="1"/>
  <c r="DM223" i="1"/>
  <c r="AQ224" i="1"/>
  <c r="AD224" i="1" a="1"/>
  <c r="AD224" i="1" s="1"/>
  <c r="AF224" i="1" a="1"/>
  <c r="AF224" i="1" s="1"/>
  <c r="N224" i="1"/>
  <c r="J224" i="1"/>
  <c r="K224" i="1"/>
  <c r="L224" i="1"/>
  <c r="AE224" i="1" a="1"/>
  <c r="AE224" i="1" s="1"/>
  <c r="AH224" i="1" a="1"/>
  <c r="AH224" i="1" s="1"/>
  <c r="AK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D224" i="1"/>
  <c r="DD224" i="1"/>
  <c r="DE224" i="1"/>
  <c r="DF224" i="1"/>
  <c r="DG224" i="1"/>
  <c r="DH224" i="1"/>
  <c r="DI224" i="1"/>
  <c r="DJ224" i="1"/>
  <c r="DK224" i="1"/>
  <c r="DL224" i="1"/>
  <c r="DM224" i="1"/>
  <c r="AD225" i="1" a="1"/>
  <c r="AD225" i="1" s="1"/>
  <c r="AE225" i="1" a="1"/>
  <c r="AE225" i="1" s="1"/>
  <c r="L225" i="1"/>
  <c r="CF225" i="1"/>
  <c r="M225" i="1"/>
  <c r="N225" i="1"/>
  <c r="AF225" i="1" a="1"/>
  <c r="AF225" i="1" s="1"/>
  <c r="AG225" i="1" a="1"/>
  <c r="AG225" i="1" s="1"/>
  <c r="AH225" i="1" a="1"/>
  <c r="AH225" i="1" s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DD225" i="1"/>
  <c r="DE225" i="1"/>
  <c r="DF225" i="1"/>
  <c r="DG225" i="1"/>
  <c r="DH225" i="1"/>
  <c r="DI225" i="1"/>
  <c r="DJ225" i="1"/>
  <c r="DK225" i="1"/>
  <c r="DL225" i="1"/>
  <c r="DM225" i="1"/>
  <c r="J226" i="1"/>
  <c r="CF226" i="1"/>
  <c r="M226" i="1"/>
  <c r="AG226" i="1" a="1"/>
  <c r="AG226" i="1" s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DD226" i="1"/>
  <c r="DE226" i="1"/>
  <c r="DF226" i="1"/>
  <c r="DG226" i="1"/>
  <c r="DH226" i="1"/>
  <c r="DI226" i="1"/>
  <c r="DJ226" i="1"/>
  <c r="DK226" i="1"/>
  <c r="DL226" i="1"/>
  <c r="DM226" i="1"/>
  <c r="I227" i="1"/>
  <c r="AE227" i="1" a="1"/>
  <c r="AE227" i="1" s="1"/>
  <c r="J227" i="1"/>
  <c r="N227" i="1"/>
  <c r="AD227" i="1" a="1"/>
  <c r="AD227" i="1" s="1"/>
  <c r="AH227" i="1" a="1"/>
  <c r="AH227" i="1" s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M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K227" i="1"/>
  <c r="CQ227" i="1" s="1"/>
  <c r="CL227" i="1"/>
  <c r="CR227" i="1" s="1"/>
  <c r="DD227" i="1"/>
  <c r="DE227" i="1"/>
  <c r="DF227" i="1"/>
  <c r="DG227" i="1"/>
  <c r="DH227" i="1"/>
  <c r="DI227" i="1"/>
  <c r="DJ227" i="1"/>
  <c r="DK227" i="1"/>
  <c r="DL227" i="1"/>
  <c r="DM227" i="1"/>
  <c r="AA228" i="1" a="1"/>
  <c r="AA228" i="1" s="1"/>
  <c r="K228" i="1"/>
  <c r="N228" i="1"/>
  <c r="I228" i="1"/>
  <c r="L228" i="1"/>
  <c r="AE228" i="1" a="1"/>
  <c r="AE228" i="1" s="1"/>
  <c r="AF228" i="1" a="1"/>
  <c r="AF228" i="1" s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D228" i="1"/>
  <c r="CH228" i="1"/>
  <c r="DD228" i="1"/>
  <c r="DE228" i="1"/>
  <c r="DF228" i="1"/>
  <c r="DG228" i="1"/>
  <c r="DH228" i="1"/>
  <c r="DI228" i="1"/>
  <c r="DJ228" i="1"/>
  <c r="DK228" i="1"/>
  <c r="DL228" i="1"/>
  <c r="DM228" i="1"/>
  <c r="AA229" i="1" a="1"/>
  <c r="AA229" i="1" s="1"/>
  <c r="AD229" i="1" a="1"/>
  <c r="AD229" i="1" s="1"/>
  <c r="CI229" i="1"/>
  <c r="CO229" i="1" s="1"/>
  <c r="CE229" i="1"/>
  <c r="N229" i="1"/>
  <c r="AE229" i="1" a="1"/>
  <c r="AE229" i="1" s="1"/>
  <c r="AG229" i="1" a="1"/>
  <c r="AG229" i="1" s="1"/>
  <c r="AH229" i="1" a="1"/>
  <c r="AH229" i="1" s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H229" i="1"/>
  <c r="DD229" i="1"/>
  <c r="DE229" i="1"/>
  <c r="DF229" i="1"/>
  <c r="DG229" i="1"/>
  <c r="DH229" i="1"/>
  <c r="DI229" i="1"/>
  <c r="DJ229" i="1"/>
  <c r="DK229" i="1"/>
  <c r="DL229" i="1"/>
  <c r="DM229" i="1"/>
  <c r="AR230" i="1"/>
  <c r="J230" i="1"/>
  <c r="BO230" i="1"/>
  <c r="M230" i="1"/>
  <c r="CL230" i="1"/>
  <c r="CR230" i="1" s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DD230" i="1"/>
  <c r="DE230" i="1"/>
  <c r="DF230" i="1"/>
  <c r="DG230" i="1"/>
  <c r="DH230" i="1"/>
  <c r="DI230" i="1"/>
  <c r="DJ230" i="1"/>
  <c r="DK230" i="1"/>
  <c r="DL230" i="1"/>
  <c r="DM230" i="1"/>
  <c r="AJ231" i="1"/>
  <c r="AE231" i="1" a="1"/>
  <c r="AE231" i="1" s="1"/>
  <c r="L231" i="1"/>
  <c r="AH231" i="1" a="1"/>
  <c r="AH231" i="1" s="1"/>
  <c r="I231" i="1"/>
  <c r="J231" i="1"/>
  <c r="AC231" i="1" a="1"/>
  <c r="AC231" i="1" s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C231" i="1"/>
  <c r="CE231" i="1"/>
  <c r="DD231" i="1"/>
  <c r="DE231" i="1"/>
  <c r="DF231" i="1"/>
  <c r="DG231" i="1"/>
  <c r="DH231" i="1"/>
  <c r="DI231" i="1"/>
  <c r="DJ231" i="1"/>
  <c r="DK231" i="1"/>
  <c r="DL231" i="1"/>
  <c r="DM231" i="1"/>
  <c r="AC232" i="1" a="1"/>
  <c r="AC232" i="1" s="1"/>
  <c r="S232" i="1"/>
  <c r="T232" i="1" s="1"/>
  <c r="K232" i="1"/>
  <c r="AF232" i="1" a="1"/>
  <c r="AF232" i="1" s="1"/>
  <c r="AA232" i="1" a="1"/>
  <c r="AA232" i="1" s="1"/>
  <c r="I232" i="1"/>
  <c r="J232" i="1"/>
  <c r="M232" i="1"/>
  <c r="AD232" i="1" a="1"/>
  <c r="AD232" i="1" s="1"/>
  <c r="AG232" i="1" a="1"/>
  <c r="AG232" i="1" s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I232" i="1"/>
  <c r="CO232" i="1" s="1"/>
  <c r="DD232" i="1"/>
  <c r="DE232" i="1"/>
  <c r="DF232" i="1"/>
  <c r="DG232" i="1"/>
  <c r="DH232" i="1"/>
  <c r="DI232" i="1"/>
  <c r="DJ232" i="1"/>
  <c r="DK232" i="1"/>
  <c r="DL232" i="1"/>
  <c r="DM232" i="1"/>
  <c r="AC233" i="1" a="1"/>
  <c r="AC233" i="1" s="1"/>
  <c r="N233" i="1"/>
  <c r="L233" i="1"/>
  <c r="M233" i="1"/>
  <c r="AF233" i="1" a="1"/>
  <c r="AF233" i="1" s="1"/>
  <c r="AG233" i="1" a="1"/>
  <c r="AG233" i="1" s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K233" i="1"/>
  <c r="CQ233" i="1" s="1"/>
  <c r="DD233" i="1"/>
  <c r="DE233" i="1"/>
  <c r="DF233" i="1"/>
  <c r="DG233" i="1"/>
  <c r="DH233" i="1"/>
  <c r="DI233" i="1"/>
  <c r="DJ233" i="1"/>
  <c r="DK233" i="1"/>
  <c r="DL233" i="1"/>
  <c r="DM233" i="1"/>
  <c r="I234" i="1"/>
  <c r="CH234" i="1"/>
  <c r="CN234" i="1" s="1"/>
  <c r="CK234" i="1"/>
  <c r="CQ234" i="1" s="1"/>
  <c r="K234" i="1"/>
  <c r="N234" i="1"/>
  <c r="AD234" i="1" a="1"/>
  <c r="AD234" i="1" s="1"/>
  <c r="AE234" i="1" a="1"/>
  <c r="AE234" i="1" s="1"/>
  <c r="AH234" i="1" a="1"/>
  <c r="AH234" i="1" s="1"/>
  <c r="AP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M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C234" i="1"/>
  <c r="DD234" i="1"/>
  <c r="DE234" i="1"/>
  <c r="DF234" i="1"/>
  <c r="DG234" i="1"/>
  <c r="DH234" i="1"/>
  <c r="DI234" i="1"/>
  <c r="DJ234" i="1"/>
  <c r="DK234" i="1"/>
  <c r="DL234" i="1"/>
  <c r="DM234" i="1"/>
  <c r="AC235" i="1" a="1"/>
  <c r="AC235" i="1" s="1"/>
  <c r="K235" i="1"/>
  <c r="AF235" i="1" a="1"/>
  <c r="AF235" i="1" s="1"/>
  <c r="M235" i="1"/>
  <c r="I235" i="1"/>
  <c r="J235" i="1"/>
  <c r="AD235" i="1" a="1"/>
  <c r="AD235" i="1" s="1"/>
  <c r="AG235" i="1" a="1"/>
  <c r="AG235" i="1" s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J235" i="1"/>
  <c r="CP235" i="1" s="1"/>
  <c r="DD235" i="1"/>
  <c r="DE235" i="1"/>
  <c r="DF235" i="1"/>
  <c r="DG235" i="1"/>
  <c r="DH235" i="1"/>
  <c r="DI235" i="1"/>
  <c r="DJ235" i="1"/>
  <c r="DK235" i="1"/>
  <c r="DL235" i="1"/>
  <c r="DM235" i="1"/>
  <c r="J236" i="1"/>
  <c r="CI236" i="1"/>
  <c r="CO236" i="1" s="1"/>
  <c r="M236" i="1"/>
  <c r="L236" i="1"/>
  <c r="AD236" i="1" a="1"/>
  <c r="AD236" i="1" s="1"/>
  <c r="AF236" i="1" a="1"/>
  <c r="AF236" i="1" s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D236" i="1"/>
  <c r="CE236" i="1"/>
  <c r="CK236" i="1"/>
  <c r="CQ236" i="1" s="1"/>
  <c r="DD236" i="1"/>
  <c r="DE236" i="1"/>
  <c r="DF236" i="1"/>
  <c r="DG236" i="1"/>
  <c r="DH236" i="1"/>
  <c r="DI236" i="1"/>
  <c r="DJ236" i="1"/>
  <c r="DK236" i="1"/>
  <c r="DL236" i="1"/>
  <c r="DM236" i="1"/>
  <c r="AR237" i="1"/>
  <c r="CH237" i="1"/>
  <c r="AF237" i="1" a="1"/>
  <c r="AF237" i="1" s="1"/>
  <c r="AG237" i="1" a="1"/>
  <c r="AG237" i="1" s="1"/>
  <c r="N237" i="1"/>
  <c r="L237" i="1"/>
  <c r="M237" i="1"/>
  <c r="AH237" i="1" a="1"/>
  <c r="AH237" i="1" s="1"/>
  <c r="AK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K237" i="1"/>
  <c r="CQ237" i="1" s="1"/>
  <c r="DD237" i="1"/>
  <c r="DE237" i="1"/>
  <c r="DF237" i="1"/>
  <c r="DG237" i="1"/>
  <c r="DH237" i="1"/>
  <c r="DI237" i="1"/>
  <c r="DJ237" i="1"/>
  <c r="DK237" i="1"/>
  <c r="DL237" i="1"/>
  <c r="DM237" i="1"/>
  <c r="I238" i="1"/>
  <c r="CH238" i="1"/>
  <c r="AE238" i="1" a="1"/>
  <c r="AE238" i="1" s="1"/>
  <c r="AF238" i="1" a="1"/>
  <c r="AF238" i="1" s="1"/>
  <c r="K238" i="1"/>
  <c r="L238" i="1"/>
  <c r="N238" i="1"/>
  <c r="AD238" i="1" a="1"/>
  <c r="AD238" i="1" s="1"/>
  <c r="AH238" i="1" a="1"/>
  <c r="AH238" i="1" s="1"/>
  <c r="AP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C238" i="1"/>
  <c r="CJ238" i="1"/>
  <c r="CP238" i="1" s="1"/>
  <c r="DD238" i="1"/>
  <c r="DE238" i="1"/>
  <c r="DF238" i="1"/>
  <c r="DG238" i="1"/>
  <c r="DH238" i="1"/>
  <c r="DI238" i="1"/>
  <c r="DJ238" i="1"/>
  <c r="DK238" i="1"/>
  <c r="DL238" i="1"/>
  <c r="DM238" i="1"/>
  <c r="CI239" i="1"/>
  <c r="CO239" i="1" s="1"/>
  <c r="K239" i="1"/>
  <c r="Z239" i="1" a="1"/>
  <c r="Z239" i="1" s="1"/>
  <c r="AH239" i="1" a="1"/>
  <c r="AH239" i="1" s="1"/>
  <c r="I239" i="1"/>
  <c r="J239" i="1"/>
  <c r="M239" i="1"/>
  <c r="AC239" i="1" a="1"/>
  <c r="AC239" i="1" s="1"/>
  <c r="AE239" i="1" a="1"/>
  <c r="AE239" i="1" s="1"/>
  <c r="AG239" i="1" a="1"/>
  <c r="AG239" i="1" s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J239" i="1"/>
  <c r="CP239" i="1" s="1"/>
  <c r="DD239" i="1"/>
  <c r="DE239" i="1"/>
  <c r="DF239" i="1"/>
  <c r="DG239" i="1"/>
  <c r="DH239" i="1"/>
  <c r="DI239" i="1"/>
  <c r="DJ239" i="1"/>
  <c r="DK239" i="1"/>
  <c r="DL239" i="1"/>
  <c r="DM239" i="1"/>
  <c r="S240" i="1"/>
  <c r="T240" i="1" s="1"/>
  <c r="J240" i="1"/>
  <c r="CI240" i="1"/>
  <c r="CO240" i="1" s="1"/>
  <c r="L240" i="1"/>
  <c r="M240" i="1"/>
  <c r="K240" i="1"/>
  <c r="AA240" i="1" a="1"/>
  <c r="AA240" i="1" s="1"/>
  <c r="AD240" i="1" a="1"/>
  <c r="AD240" i="1" s="1"/>
  <c r="AE240" i="1" a="1"/>
  <c r="AE240" i="1" s="1"/>
  <c r="AF240" i="1" a="1"/>
  <c r="AF240" i="1" s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E240" i="1"/>
  <c r="CK240" i="1"/>
  <c r="CQ240" i="1" s="1"/>
  <c r="CL240" i="1"/>
  <c r="CR240" i="1" s="1"/>
  <c r="DD240" i="1"/>
  <c r="DE240" i="1"/>
  <c r="DF240" i="1"/>
  <c r="DG240" i="1"/>
  <c r="DH240" i="1"/>
  <c r="DI240" i="1"/>
  <c r="DJ240" i="1"/>
  <c r="DK240" i="1"/>
  <c r="DL240" i="1"/>
  <c r="DM240" i="1"/>
  <c r="I241" i="1"/>
  <c r="AJ241" i="1"/>
  <c r="AF241" i="1" a="1"/>
  <c r="AF241" i="1" s="1"/>
  <c r="AG241" i="1" a="1"/>
  <c r="AG241" i="1" s="1"/>
  <c r="AH241" i="1" a="1"/>
  <c r="AH241" i="1" s="1"/>
  <c r="AE241" i="1" a="1"/>
  <c r="AE241" i="1" s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DD241" i="1"/>
  <c r="DE241" i="1"/>
  <c r="DF241" i="1"/>
  <c r="DG241" i="1"/>
  <c r="DH241" i="1"/>
  <c r="DI241" i="1"/>
  <c r="DJ241" i="1"/>
  <c r="DK241" i="1"/>
  <c r="DL241" i="1"/>
  <c r="DM241" i="1"/>
  <c r="AO242" i="1"/>
  <c r="J242" i="1"/>
  <c r="AE242" i="1" a="1"/>
  <c r="AE242" i="1" s="1"/>
  <c r="AF242" i="1" a="1"/>
  <c r="AF242" i="1" s="1"/>
  <c r="AH242" i="1" a="1"/>
  <c r="AH242" i="1" s="1"/>
  <c r="N242" i="1"/>
  <c r="AC242" i="1" a="1"/>
  <c r="AC242" i="1" s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DD242" i="1"/>
  <c r="DE242" i="1"/>
  <c r="DF242" i="1"/>
  <c r="DG242" i="1"/>
  <c r="DH242" i="1"/>
  <c r="DI242" i="1"/>
  <c r="DJ242" i="1"/>
  <c r="DK242" i="1"/>
  <c r="DL242" i="1"/>
  <c r="DM242" i="1"/>
  <c r="AC243" i="1" a="1"/>
  <c r="AC243" i="1" s="1"/>
  <c r="J243" i="1"/>
  <c r="L243" i="1"/>
  <c r="M243" i="1"/>
  <c r="CF243" i="1"/>
  <c r="K243" i="1"/>
  <c r="N243" i="1"/>
  <c r="AF243" i="1" a="1"/>
  <c r="AF243" i="1" s="1"/>
  <c r="AP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K243" i="1"/>
  <c r="CQ243" i="1" s="1"/>
  <c r="DD243" i="1"/>
  <c r="DE243" i="1"/>
  <c r="DF243" i="1"/>
  <c r="DG243" i="1"/>
  <c r="DH243" i="1"/>
  <c r="DI243" i="1"/>
  <c r="DJ243" i="1"/>
  <c r="DK243" i="1"/>
  <c r="DL243" i="1"/>
  <c r="DM243" i="1"/>
  <c r="AA244" i="1" a="1"/>
  <c r="AA244" i="1" s="1"/>
  <c r="L244" i="1"/>
  <c r="N244" i="1"/>
  <c r="I244" i="1"/>
  <c r="J244" i="1"/>
  <c r="AD244" i="1" a="1"/>
  <c r="AD244" i="1" s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DD244" i="1"/>
  <c r="DE244" i="1"/>
  <c r="DF244" i="1"/>
  <c r="DG244" i="1"/>
  <c r="DH244" i="1"/>
  <c r="DI244" i="1"/>
  <c r="DJ244" i="1"/>
  <c r="DK244" i="1"/>
  <c r="DL244" i="1"/>
  <c r="DM244" i="1"/>
  <c r="Y245" i="1" a="1"/>
  <c r="Y245" i="1" s="1"/>
  <c r="CI245" i="1"/>
  <c r="CO245" i="1" s="1"/>
  <c r="M245" i="1"/>
  <c r="L245" i="1"/>
  <c r="N245" i="1"/>
  <c r="AF245" i="1" a="1"/>
  <c r="AF245" i="1" s="1"/>
  <c r="AG245" i="1" a="1"/>
  <c r="AG245" i="1" s="1"/>
  <c r="AH245" i="1" a="1"/>
  <c r="AH245" i="1" s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F245" i="1"/>
  <c r="CK245" i="1"/>
  <c r="CQ245" i="1" s="1"/>
  <c r="DD245" i="1"/>
  <c r="DE245" i="1"/>
  <c r="DF245" i="1"/>
  <c r="DG245" i="1"/>
  <c r="DH245" i="1"/>
  <c r="DI245" i="1"/>
  <c r="DJ245" i="1"/>
  <c r="DK245" i="1"/>
  <c r="DL245" i="1"/>
  <c r="DM245" i="1"/>
  <c r="J246" i="1"/>
  <c r="CK246" i="1"/>
  <c r="CQ246" i="1" s="1"/>
  <c r="N246" i="1"/>
  <c r="L246" i="1"/>
  <c r="AF246" i="1" a="1"/>
  <c r="AF246" i="1" s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DD246" i="1"/>
  <c r="DE246" i="1"/>
  <c r="DF246" i="1"/>
  <c r="DG246" i="1"/>
  <c r="DH246" i="1"/>
  <c r="DI246" i="1"/>
  <c r="DJ246" i="1"/>
  <c r="DK246" i="1"/>
  <c r="DL246" i="1"/>
  <c r="DM246" i="1"/>
  <c r="J247" i="1"/>
  <c r="AE247" i="1" a="1"/>
  <c r="AE247" i="1" s="1"/>
  <c r="L247" i="1"/>
  <c r="M247" i="1"/>
  <c r="N247" i="1"/>
  <c r="AD247" i="1" a="1"/>
  <c r="AD247" i="1" s="1"/>
  <c r="AF247" i="1" a="1"/>
  <c r="AF247" i="1" s="1"/>
  <c r="AG247" i="1" a="1"/>
  <c r="AG247" i="1" s="1"/>
  <c r="AH247" i="1" a="1"/>
  <c r="AH247" i="1" s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M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E247" i="1"/>
  <c r="CL247" i="1"/>
  <c r="CR247" i="1" s="1"/>
  <c r="DD247" i="1"/>
  <c r="DE247" i="1"/>
  <c r="DF247" i="1"/>
  <c r="DG247" i="1"/>
  <c r="DH247" i="1"/>
  <c r="DI247" i="1"/>
  <c r="DJ247" i="1"/>
  <c r="DK247" i="1"/>
  <c r="DL247" i="1"/>
  <c r="DM247" i="1"/>
  <c r="AD248" i="1" a="1"/>
  <c r="AD248" i="1" s="1"/>
  <c r="L248" i="1"/>
  <c r="N248" i="1"/>
  <c r="I248" i="1"/>
  <c r="J248" i="1"/>
  <c r="AC248" i="1" a="1"/>
  <c r="AC248" i="1" s="1"/>
  <c r="AF248" i="1" a="1"/>
  <c r="AF248" i="1" s="1"/>
  <c r="AG248" i="1" a="1"/>
  <c r="AG248" i="1" s="1"/>
  <c r="AH248" i="1" a="1"/>
  <c r="AH248" i="1" s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DD248" i="1"/>
  <c r="DE248" i="1"/>
  <c r="DF248" i="1"/>
  <c r="DG248" i="1"/>
  <c r="DH248" i="1"/>
  <c r="DI248" i="1"/>
  <c r="DJ248" i="1"/>
  <c r="DK248" i="1"/>
  <c r="DL248" i="1"/>
  <c r="DM248" i="1"/>
  <c r="Y249" i="1" a="1"/>
  <c r="Y249" i="1" s="1"/>
  <c r="AG249" i="1" a="1"/>
  <c r="AG249" i="1" s="1"/>
  <c r="BN249" i="1"/>
  <c r="L249" i="1"/>
  <c r="M249" i="1"/>
  <c r="AN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DD249" i="1"/>
  <c r="DE249" i="1"/>
  <c r="DF249" i="1"/>
  <c r="DG249" i="1"/>
  <c r="DH249" i="1"/>
  <c r="DI249" i="1"/>
  <c r="DJ249" i="1"/>
  <c r="DK249" i="1"/>
  <c r="DL249" i="1"/>
  <c r="DM249" i="1"/>
  <c r="CF250" i="1"/>
  <c r="K250" i="1"/>
  <c r="L250" i="1"/>
  <c r="M250" i="1"/>
  <c r="N250" i="1"/>
  <c r="AE250" i="1" a="1"/>
  <c r="AE250" i="1" s="1"/>
  <c r="AF250" i="1" a="1"/>
  <c r="AF250" i="1" s="1"/>
  <c r="AG250" i="1" a="1"/>
  <c r="AG250" i="1" s="1"/>
  <c r="AH250" i="1" a="1"/>
  <c r="AH250" i="1" s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N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D250" i="1"/>
  <c r="DD250" i="1"/>
  <c r="DE250" i="1"/>
  <c r="DF250" i="1"/>
  <c r="DG250" i="1"/>
  <c r="DH250" i="1"/>
  <c r="DI250" i="1"/>
  <c r="DJ250" i="1"/>
  <c r="DK250" i="1"/>
  <c r="DL250" i="1"/>
  <c r="DM250" i="1"/>
  <c r="Y251" i="1" a="1"/>
  <c r="Y251" i="1" s="1"/>
  <c r="K251" i="1"/>
  <c r="L251" i="1"/>
  <c r="I251" i="1"/>
  <c r="J251" i="1"/>
  <c r="M251" i="1"/>
  <c r="AD251" i="1" a="1"/>
  <c r="AD251" i="1" s="1"/>
  <c r="AF251" i="1" a="1"/>
  <c r="AF251" i="1" s="1"/>
  <c r="AH251" i="1" a="1"/>
  <c r="AH251" i="1" s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I251" i="1"/>
  <c r="CO251" i="1" s="1"/>
  <c r="CK251" i="1"/>
  <c r="CQ251" i="1" s="1"/>
  <c r="DD251" i="1"/>
  <c r="DE251" i="1"/>
  <c r="DF251" i="1"/>
  <c r="DG251" i="1"/>
  <c r="DH251" i="1"/>
  <c r="DI251" i="1"/>
  <c r="DJ251" i="1"/>
  <c r="DK251" i="1"/>
  <c r="DL251" i="1"/>
  <c r="DM251" i="1"/>
  <c r="P252" i="1" a="1"/>
  <c r="P252" i="1" s="1"/>
  <c r="L252" i="1"/>
  <c r="N252" i="1"/>
  <c r="J252" i="1"/>
  <c r="M252" i="1"/>
  <c r="AC252" i="1" a="1"/>
  <c r="AC252" i="1" s="1"/>
  <c r="AD252" i="1" a="1"/>
  <c r="AD252" i="1" s="1"/>
  <c r="AF252" i="1" a="1"/>
  <c r="AF252" i="1" s="1"/>
  <c r="AG252" i="1" a="1"/>
  <c r="AG252" i="1" s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E252" i="1"/>
  <c r="DD252" i="1"/>
  <c r="DE252" i="1"/>
  <c r="DF252" i="1"/>
  <c r="DG252" i="1"/>
  <c r="DH252" i="1"/>
  <c r="DI252" i="1"/>
  <c r="DJ252" i="1"/>
  <c r="DK252" i="1"/>
  <c r="DL252" i="1"/>
  <c r="DM252" i="1"/>
  <c r="L253" i="1"/>
  <c r="M253" i="1"/>
  <c r="N253" i="1"/>
  <c r="AH253" i="1" a="1"/>
  <c r="AH253" i="1" s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DD253" i="1"/>
  <c r="DE253" i="1"/>
  <c r="DF253" i="1"/>
  <c r="DG253" i="1"/>
  <c r="DH253" i="1"/>
  <c r="DI253" i="1"/>
  <c r="DJ253" i="1"/>
  <c r="DK253" i="1"/>
  <c r="DL253" i="1"/>
  <c r="DM253" i="1"/>
  <c r="AA254" i="1" a="1"/>
  <c r="AA254" i="1" s="1"/>
  <c r="AG254" i="1" a="1"/>
  <c r="AG254" i="1" s="1"/>
  <c r="K254" i="1"/>
  <c r="M254" i="1"/>
  <c r="N254" i="1"/>
  <c r="AE254" i="1" a="1"/>
  <c r="AE254" i="1" s="1"/>
  <c r="AH254" i="1" a="1"/>
  <c r="AH254" i="1" s="1"/>
  <c r="AJ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K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F254" i="1"/>
  <c r="CH254" i="1"/>
  <c r="CN254" i="1" s="1"/>
  <c r="CL254" i="1"/>
  <c r="CR254" i="1" s="1"/>
  <c r="DD254" i="1"/>
  <c r="DE254" i="1"/>
  <c r="DF254" i="1"/>
  <c r="DG254" i="1"/>
  <c r="DH254" i="1"/>
  <c r="DI254" i="1"/>
  <c r="DJ254" i="1"/>
  <c r="DK254" i="1"/>
  <c r="DL254" i="1"/>
  <c r="DM254" i="1"/>
  <c r="AP255" i="1"/>
  <c r="AF255" i="1" a="1"/>
  <c r="AF255" i="1" s="1"/>
  <c r="M255" i="1"/>
  <c r="CF255" i="1"/>
  <c r="N255" i="1"/>
  <c r="AH255" i="1" a="1"/>
  <c r="AH255" i="1" s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H255" i="1"/>
  <c r="DD255" i="1"/>
  <c r="DE255" i="1"/>
  <c r="DF255" i="1"/>
  <c r="DG255" i="1"/>
  <c r="DH255" i="1"/>
  <c r="DI255" i="1"/>
  <c r="DJ255" i="1"/>
  <c r="DK255" i="1"/>
  <c r="DL255" i="1"/>
  <c r="DM255" i="1"/>
  <c r="AR256" i="1"/>
  <c r="CC256" i="1"/>
  <c r="CE256" i="1"/>
  <c r="BL256" i="1"/>
  <c r="M256" i="1"/>
  <c r="AC256" i="1" a="1"/>
  <c r="AC256" i="1" s="1"/>
  <c r="AG256" i="1" a="1"/>
  <c r="AG256" i="1" s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L256" i="1"/>
  <c r="CR256" i="1" s="1"/>
  <c r="DD256" i="1"/>
  <c r="DE256" i="1"/>
  <c r="DF256" i="1"/>
  <c r="DG256" i="1"/>
  <c r="DH256" i="1"/>
  <c r="DI256" i="1"/>
  <c r="DJ256" i="1"/>
  <c r="DK256" i="1"/>
  <c r="DL256" i="1"/>
  <c r="DM256" i="1"/>
  <c r="I257" i="1"/>
  <c r="Y257" i="1" a="1"/>
  <c r="Y257" i="1" s="1"/>
  <c r="AE257" i="1" a="1"/>
  <c r="AE257" i="1" s="1"/>
  <c r="CJ257" i="1"/>
  <c r="CP257" i="1" s="1"/>
  <c r="M257" i="1"/>
  <c r="AH257" i="1" a="1"/>
  <c r="AH257" i="1" s="1"/>
  <c r="J257" i="1"/>
  <c r="AC257" i="1" a="1"/>
  <c r="AC257" i="1" s="1"/>
  <c r="AD257" i="1" a="1"/>
  <c r="AD257" i="1" s="1"/>
  <c r="AG257" i="1" a="1"/>
  <c r="AG257" i="1" s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I257" i="1"/>
  <c r="CO257" i="1" s="1"/>
  <c r="DD257" i="1"/>
  <c r="DE257" i="1"/>
  <c r="DF257" i="1"/>
  <c r="DG257" i="1"/>
  <c r="DH257" i="1"/>
  <c r="DI257" i="1"/>
  <c r="DJ257" i="1"/>
  <c r="DK257" i="1"/>
  <c r="DL257" i="1"/>
  <c r="DM257" i="1"/>
  <c r="BK258" i="1"/>
  <c r="K258" i="1"/>
  <c r="AF258" i="1" a="1"/>
  <c r="AF258" i="1" s="1"/>
  <c r="N258" i="1"/>
  <c r="I258" i="1"/>
  <c r="AC258" i="1" a="1"/>
  <c r="AC258" i="1" s="1"/>
  <c r="AH258" i="1" a="1"/>
  <c r="AH258" i="1" s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DD258" i="1"/>
  <c r="DE258" i="1"/>
  <c r="DF258" i="1"/>
  <c r="DG258" i="1"/>
  <c r="DH258" i="1"/>
  <c r="DI258" i="1"/>
  <c r="DJ258" i="1"/>
  <c r="DK258" i="1"/>
  <c r="DL258" i="1"/>
  <c r="DM258" i="1"/>
  <c r="Y259" i="1" a="1"/>
  <c r="Y259" i="1" s="1"/>
  <c r="CC259" i="1"/>
  <c r="CF259" i="1"/>
  <c r="J259" i="1"/>
  <c r="K259" i="1"/>
  <c r="N259" i="1"/>
  <c r="AD259" i="1" a="1"/>
  <c r="AD259" i="1" s="1"/>
  <c r="AE259" i="1" a="1"/>
  <c r="AE259" i="1" s="1"/>
  <c r="AF259" i="1" a="1"/>
  <c r="AF259" i="1" s="1"/>
  <c r="AH259" i="1" a="1"/>
  <c r="AH259" i="1" s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M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D259" i="1"/>
  <c r="CK259" i="1"/>
  <c r="CQ259" i="1" s="1"/>
  <c r="DD259" i="1"/>
  <c r="DE259" i="1"/>
  <c r="DF259" i="1"/>
  <c r="DG259" i="1"/>
  <c r="DH259" i="1"/>
  <c r="DI259" i="1"/>
  <c r="DJ259" i="1"/>
  <c r="DK259" i="1"/>
  <c r="DL259" i="1"/>
  <c r="DM259" i="1"/>
  <c r="J260" i="1"/>
  <c r="CJ260" i="1"/>
  <c r="CP260" i="1" s="1"/>
  <c r="N260" i="1"/>
  <c r="K260" i="1"/>
  <c r="L260" i="1"/>
  <c r="M260" i="1"/>
  <c r="AD260" i="1" a="1"/>
  <c r="AD260" i="1" s="1"/>
  <c r="AE260" i="1" a="1"/>
  <c r="AE260" i="1" s="1"/>
  <c r="AF260" i="1" a="1"/>
  <c r="AF260" i="1" s="1"/>
  <c r="AG260" i="1" a="1"/>
  <c r="AG260" i="1" s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D260" i="1"/>
  <c r="CI260" i="1"/>
  <c r="CO260" i="1" s="1"/>
  <c r="CK260" i="1"/>
  <c r="CQ260" i="1" s="1"/>
  <c r="DD260" i="1"/>
  <c r="DE260" i="1"/>
  <c r="DF260" i="1"/>
  <c r="DG260" i="1"/>
  <c r="DH260" i="1"/>
  <c r="DI260" i="1"/>
  <c r="DJ260" i="1"/>
  <c r="DK260" i="1"/>
  <c r="DL260" i="1"/>
  <c r="DM260" i="1"/>
  <c r="BK261" i="1"/>
  <c r="AE261" i="1" a="1"/>
  <c r="AE261" i="1" s="1"/>
  <c r="AF261" i="1" a="1"/>
  <c r="AF261" i="1" s="1"/>
  <c r="CF261" i="1"/>
  <c r="N261" i="1"/>
  <c r="V261" i="1" a="1"/>
  <c r="V261" i="1" s="1"/>
  <c r="W261" i="1" s="1"/>
  <c r="AH261" i="1" a="1"/>
  <c r="AH261" i="1" s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H261" i="1"/>
  <c r="CK261" i="1"/>
  <c r="CQ261" i="1" s="1"/>
  <c r="DD261" i="1"/>
  <c r="DE261" i="1"/>
  <c r="DF261" i="1"/>
  <c r="DG261" i="1"/>
  <c r="DH261" i="1"/>
  <c r="DI261" i="1"/>
  <c r="DJ261" i="1"/>
  <c r="DK261" i="1"/>
  <c r="DL261" i="1"/>
  <c r="DM261" i="1"/>
  <c r="J262" i="1"/>
  <c r="AE262" i="1" a="1"/>
  <c r="AE262" i="1" s="1"/>
  <c r="CE262" i="1"/>
  <c r="M262" i="1"/>
  <c r="AH262" i="1" a="1"/>
  <c r="AH262" i="1" s="1"/>
  <c r="K262" i="1"/>
  <c r="AP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C262" i="1"/>
  <c r="CF262" i="1"/>
  <c r="CH262" i="1"/>
  <c r="DD262" i="1"/>
  <c r="DE262" i="1"/>
  <c r="DF262" i="1"/>
  <c r="DG262" i="1"/>
  <c r="DH262" i="1"/>
  <c r="DI262" i="1"/>
  <c r="DJ262" i="1"/>
  <c r="DK262" i="1"/>
  <c r="DL262" i="1"/>
  <c r="DM262" i="1"/>
  <c r="S263" i="1"/>
  <c r="T263" i="1" s="1"/>
  <c r="CB263" i="1"/>
  <c r="K263" i="1"/>
  <c r="AF263" i="1" a="1"/>
  <c r="AF263" i="1" s="1"/>
  <c r="CE263" i="1"/>
  <c r="M263" i="1"/>
  <c r="AC263" i="1" a="1"/>
  <c r="AC263" i="1" s="1"/>
  <c r="AD263" i="1" a="1"/>
  <c r="AD263" i="1" s="1"/>
  <c r="AG263" i="1" a="1"/>
  <c r="AG263" i="1" s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D263" i="1"/>
  <c r="CI263" i="1"/>
  <c r="CO263" i="1" s="1"/>
  <c r="CJ263" i="1"/>
  <c r="CP263" i="1" s="1"/>
  <c r="CK263" i="1"/>
  <c r="CQ263" i="1" s="1"/>
  <c r="DD263" i="1"/>
  <c r="DE263" i="1"/>
  <c r="DF263" i="1"/>
  <c r="DG263" i="1"/>
  <c r="DH263" i="1"/>
  <c r="DI263" i="1"/>
  <c r="DJ263" i="1"/>
  <c r="DK263" i="1"/>
  <c r="DL263" i="1"/>
  <c r="DM263" i="1"/>
  <c r="BN264" i="1"/>
  <c r="V264" i="1" a="1"/>
  <c r="V264" i="1" s="1"/>
  <c r="W264" i="1" s="1"/>
  <c r="AF264" i="1" a="1"/>
  <c r="AF264" i="1" s="1"/>
  <c r="CE264" i="1"/>
  <c r="N264" i="1"/>
  <c r="J264" i="1"/>
  <c r="Y264" i="1" a="1"/>
  <c r="Y264" i="1" s="1"/>
  <c r="AC264" i="1" a="1"/>
  <c r="AC264" i="1" s="1"/>
  <c r="AD264" i="1" a="1"/>
  <c r="AD264" i="1" s="1"/>
  <c r="AH264" i="1" a="1"/>
  <c r="AH264" i="1" s="1"/>
  <c r="AQ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L264" i="1"/>
  <c r="CR264" i="1" s="1"/>
  <c r="DD264" i="1"/>
  <c r="DE264" i="1"/>
  <c r="DF264" i="1"/>
  <c r="DG264" i="1"/>
  <c r="DH264" i="1"/>
  <c r="DI264" i="1"/>
  <c r="DJ264" i="1"/>
  <c r="DK264" i="1"/>
  <c r="DL264" i="1"/>
  <c r="DM264" i="1"/>
  <c r="V265" i="1" a="1"/>
  <c r="V265" i="1" s="1"/>
  <c r="W265" i="1" s="1"/>
  <c r="CC265" i="1"/>
  <c r="AF265" i="1" a="1"/>
  <c r="AF265" i="1" s="1"/>
  <c r="CK265" i="1"/>
  <c r="CQ265" i="1" s="1"/>
  <c r="AH265" i="1" a="1"/>
  <c r="AH265" i="1" s="1"/>
  <c r="K265" i="1"/>
  <c r="AE265" i="1" a="1"/>
  <c r="AE265" i="1" s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DD265" i="1"/>
  <c r="DE265" i="1"/>
  <c r="DF265" i="1"/>
  <c r="DG265" i="1"/>
  <c r="DH265" i="1"/>
  <c r="DI265" i="1"/>
  <c r="DJ265" i="1"/>
  <c r="DK265" i="1"/>
  <c r="DL265" i="1"/>
  <c r="DM265" i="1"/>
  <c r="AP266" i="1"/>
  <c r="J266" i="1"/>
  <c r="AE266" i="1" a="1"/>
  <c r="AE266" i="1" s="1"/>
  <c r="BM266" i="1"/>
  <c r="AH266" i="1" a="1"/>
  <c r="AH266" i="1" s="1"/>
  <c r="K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C266" i="1"/>
  <c r="CI266" i="1"/>
  <c r="CO266" i="1" s="1"/>
  <c r="CJ266" i="1"/>
  <c r="CP266" i="1" s="1"/>
  <c r="DD266" i="1"/>
  <c r="DE266" i="1"/>
  <c r="DF266" i="1"/>
  <c r="DG266" i="1"/>
  <c r="DH266" i="1"/>
  <c r="DI266" i="1"/>
  <c r="DJ266" i="1"/>
  <c r="DK266" i="1"/>
  <c r="DL266" i="1"/>
  <c r="DM266" i="1"/>
  <c r="K267" i="1"/>
  <c r="AF267" i="1" a="1"/>
  <c r="AF267" i="1" s="1"/>
  <c r="CE267" i="1"/>
  <c r="J267" i="1"/>
  <c r="AC267" i="1" a="1"/>
  <c r="AC267" i="1" s="1"/>
  <c r="AD267" i="1" a="1"/>
  <c r="AD267" i="1" s="1"/>
  <c r="AG267" i="1" a="1"/>
  <c r="AG267" i="1" s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DD267" i="1"/>
  <c r="DE267" i="1"/>
  <c r="DF267" i="1"/>
  <c r="DG267" i="1"/>
  <c r="DH267" i="1"/>
  <c r="DI267" i="1"/>
  <c r="DJ267" i="1"/>
  <c r="DK267" i="1"/>
  <c r="DL267" i="1"/>
  <c r="DM267" i="1"/>
  <c r="P268" i="1" a="1"/>
  <c r="P268" i="1" s="1"/>
  <c r="CB268" i="1"/>
  <c r="AF268" i="1" a="1"/>
  <c r="AF268" i="1" s="1"/>
  <c r="M268" i="1"/>
  <c r="N268" i="1"/>
  <c r="J268" i="1"/>
  <c r="L268" i="1"/>
  <c r="AE268" i="1" a="1"/>
  <c r="AE268" i="1"/>
  <c r="AH268" i="1" a="1"/>
  <c r="AH268" i="1" s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D268" i="1"/>
  <c r="CK268" i="1"/>
  <c r="CQ268" i="1" s="1"/>
  <c r="DD268" i="1"/>
  <c r="DE268" i="1"/>
  <c r="DF268" i="1"/>
  <c r="DG268" i="1"/>
  <c r="DH268" i="1"/>
  <c r="DI268" i="1"/>
  <c r="DJ268" i="1"/>
  <c r="DK268" i="1"/>
  <c r="DL268" i="1"/>
  <c r="DM268" i="1"/>
  <c r="I269" i="1"/>
  <c r="CH269" i="1"/>
  <c r="AF269" i="1" a="1"/>
  <c r="AF269" i="1" s="1"/>
  <c r="CK269" i="1"/>
  <c r="CQ269" i="1" s="1"/>
  <c r="AH269" i="1" a="1"/>
  <c r="AH269" i="1" s="1"/>
  <c r="K269" i="1"/>
  <c r="AE269" i="1" a="1"/>
  <c r="AE269" i="1" s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DD269" i="1"/>
  <c r="DE269" i="1"/>
  <c r="DF269" i="1"/>
  <c r="DG269" i="1"/>
  <c r="DH269" i="1"/>
  <c r="DI269" i="1"/>
  <c r="DJ269" i="1"/>
  <c r="DK269" i="1"/>
  <c r="DL269" i="1"/>
  <c r="DM269" i="1"/>
  <c r="J270" i="1"/>
  <c r="AE270" i="1" a="1"/>
  <c r="AE270" i="1" s="1"/>
  <c r="CJ270" i="1"/>
  <c r="CP270" i="1" s="1"/>
  <c r="AH270" i="1" a="1"/>
  <c r="AH270" i="1" s="1"/>
  <c r="K270" i="1"/>
  <c r="M270" i="1"/>
  <c r="AG270" i="1" a="1"/>
  <c r="AG270" i="1" s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C270" i="1"/>
  <c r="CI270" i="1"/>
  <c r="CO270" i="1" s="1"/>
  <c r="CL270" i="1"/>
  <c r="CR270" i="1" s="1"/>
  <c r="DD270" i="1"/>
  <c r="DE270" i="1"/>
  <c r="DF270" i="1"/>
  <c r="DG270" i="1"/>
  <c r="DH270" i="1"/>
  <c r="DI270" i="1"/>
  <c r="DJ270" i="1"/>
  <c r="DK270" i="1"/>
  <c r="DL270" i="1"/>
  <c r="DM270" i="1"/>
  <c r="K271" i="1"/>
  <c r="AF271" i="1" a="1"/>
  <c r="AF271" i="1" s="1"/>
  <c r="BO271" i="1"/>
  <c r="J271" i="1"/>
  <c r="AC271" i="1" a="1"/>
  <c r="AC271" i="1" s="1"/>
  <c r="AD271" i="1" a="1"/>
  <c r="AD271" i="1" s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I271" i="1"/>
  <c r="CO271" i="1" s="1"/>
  <c r="DD271" i="1"/>
  <c r="DE271" i="1"/>
  <c r="DF271" i="1"/>
  <c r="DG271" i="1"/>
  <c r="DH271" i="1"/>
  <c r="DI271" i="1"/>
  <c r="DJ271" i="1"/>
  <c r="DK271" i="1"/>
  <c r="DL271" i="1"/>
  <c r="DM271" i="1"/>
  <c r="P272" i="1" a="1"/>
  <c r="P272" i="1" s="1"/>
  <c r="CB272" i="1"/>
  <c r="M272" i="1"/>
  <c r="N272" i="1"/>
  <c r="I272" i="1"/>
  <c r="L272" i="1"/>
  <c r="AC272" i="1" a="1"/>
  <c r="AC272" i="1" s="1"/>
  <c r="AD272" i="1" a="1"/>
  <c r="AD272" i="1" s="1"/>
  <c r="AE272" i="1" a="1"/>
  <c r="AE272" i="1" s="1"/>
  <c r="AF272" i="1" a="1"/>
  <c r="AF272" i="1" s="1"/>
  <c r="AQ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D272" i="1"/>
  <c r="CH272" i="1"/>
  <c r="CN272" i="1" s="1"/>
  <c r="CI272" i="1"/>
  <c r="CO272" i="1" s="1"/>
  <c r="DD272" i="1"/>
  <c r="DE272" i="1"/>
  <c r="DF272" i="1"/>
  <c r="DG272" i="1"/>
  <c r="DH272" i="1"/>
  <c r="DI272" i="1"/>
  <c r="DJ272" i="1"/>
  <c r="DK272" i="1"/>
  <c r="DL272" i="1"/>
  <c r="DM272" i="1"/>
  <c r="I273" i="1"/>
  <c r="CH273" i="1"/>
  <c r="CD273" i="1"/>
  <c r="CE273" i="1"/>
  <c r="L273" i="1"/>
  <c r="N273" i="1"/>
  <c r="AE273" i="1" a="1"/>
  <c r="AE273" i="1" s="1"/>
  <c r="AF273" i="1" a="1"/>
  <c r="AF273" i="1" s="1"/>
  <c r="AH273" i="1" a="1"/>
  <c r="AH273" i="1" s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F273" i="1"/>
  <c r="DD273" i="1"/>
  <c r="DE273" i="1"/>
  <c r="DF273" i="1"/>
  <c r="DG273" i="1"/>
  <c r="DH273" i="1"/>
  <c r="DI273" i="1"/>
  <c r="DJ273" i="1"/>
  <c r="DK273" i="1"/>
  <c r="DL273" i="1"/>
  <c r="DM273" i="1"/>
  <c r="J274" i="1"/>
  <c r="AE274" i="1" a="1"/>
  <c r="AE274" i="1" s="1"/>
  <c r="CL274" i="1"/>
  <c r="CR274" i="1" s="1"/>
  <c r="AH274" i="1" a="1"/>
  <c r="AH274" i="1" s="1"/>
  <c r="K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M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J274" i="1"/>
  <c r="CP274" i="1" s="1"/>
  <c r="DD274" i="1"/>
  <c r="DE274" i="1"/>
  <c r="DF274" i="1"/>
  <c r="DG274" i="1"/>
  <c r="DH274" i="1"/>
  <c r="DI274" i="1"/>
  <c r="DJ274" i="1"/>
  <c r="DK274" i="1"/>
  <c r="DL274" i="1"/>
  <c r="DM274" i="1"/>
  <c r="J275" i="1"/>
  <c r="K275" i="1"/>
  <c r="AF275" i="1" a="1"/>
  <c r="AF275" i="1" s="1"/>
  <c r="CK275" i="1"/>
  <c r="CQ275" i="1" s="1"/>
  <c r="CL275" i="1"/>
  <c r="CR275" i="1" s="1"/>
  <c r="AC275" i="1" a="1"/>
  <c r="AC275" i="1" s="1"/>
  <c r="AD275" i="1" a="1"/>
  <c r="AD275" i="1" s="1"/>
  <c r="AG275" i="1" a="1"/>
  <c r="AG275" i="1" s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I275" i="1"/>
  <c r="CO275" i="1" s="1"/>
  <c r="DD275" i="1"/>
  <c r="DE275" i="1"/>
  <c r="DF275" i="1"/>
  <c r="DG275" i="1"/>
  <c r="DH275" i="1"/>
  <c r="DI275" i="1"/>
  <c r="DJ275" i="1"/>
  <c r="DK275" i="1"/>
  <c r="DL275" i="1"/>
  <c r="DM275" i="1"/>
  <c r="AP276" i="1"/>
  <c r="AE276" i="1" a="1"/>
  <c r="AE276" i="1" s="1"/>
  <c r="CD276" i="1"/>
  <c r="M276" i="1"/>
  <c r="N276" i="1"/>
  <c r="I276" i="1"/>
  <c r="P276" i="1" a="1"/>
  <c r="P276" i="1" s="1"/>
  <c r="AC276" i="1" a="1"/>
  <c r="AC276" i="1" s="1"/>
  <c r="AH276" i="1" a="1"/>
  <c r="AH276" i="1" s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DD276" i="1"/>
  <c r="DE276" i="1"/>
  <c r="DF276" i="1"/>
  <c r="DG276" i="1"/>
  <c r="DH276" i="1"/>
  <c r="DI276" i="1"/>
  <c r="DJ276" i="1"/>
  <c r="DK276" i="1"/>
  <c r="DL276" i="1"/>
  <c r="DM276" i="1"/>
  <c r="Z277" i="1" a="1"/>
  <c r="Z277" i="1" s="1"/>
  <c r="L277" i="1"/>
  <c r="AH277" i="1" a="1"/>
  <c r="AH277" i="1" s="1"/>
  <c r="I277" i="1"/>
  <c r="K277" i="1"/>
  <c r="AE277" i="1" a="1"/>
  <c r="AE277" i="1" s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D277" i="1"/>
  <c r="CH277" i="1"/>
  <c r="CN277" i="1" s="1"/>
  <c r="DD277" i="1"/>
  <c r="DE277" i="1"/>
  <c r="DF277" i="1"/>
  <c r="DG277" i="1"/>
  <c r="DH277" i="1"/>
  <c r="DI277" i="1"/>
  <c r="DJ277" i="1"/>
  <c r="DK277" i="1"/>
  <c r="DL277" i="1"/>
  <c r="DM277" i="1"/>
  <c r="AO278" i="1"/>
  <c r="J278" i="1"/>
  <c r="AE278" i="1" a="1"/>
  <c r="AE278" i="1" s="1"/>
  <c r="AG278" i="1" a="1"/>
  <c r="AG278" i="1" s="1"/>
  <c r="AH278" i="1" a="1"/>
  <c r="AH278" i="1" s="1"/>
  <c r="M278" i="1"/>
  <c r="N278" i="1"/>
  <c r="AF278" i="1" a="1"/>
  <c r="AF278" i="1" s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J278" i="1"/>
  <c r="CP278" i="1" s="1"/>
  <c r="DD278" i="1"/>
  <c r="DE278" i="1"/>
  <c r="DF278" i="1"/>
  <c r="DG278" i="1"/>
  <c r="DH278" i="1"/>
  <c r="DI278" i="1"/>
  <c r="DJ278" i="1"/>
  <c r="DK278" i="1"/>
  <c r="DL278" i="1"/>
  <c r="DM278" i="1"/>
  <c r="BO279" i="1"/>
  <c r="AQ279" i="1"/>
  <c r="AF279" i="1" a="1"/>
  <c r="AF279" i="1" s="1"/>
  <c r="M279" i="1"/>
  <c r="AH279" i="1" a="1"/>
  <c r="AH279" i="1" s="1"/>
  <c r="J279" i="1"/>
  <c r="AC279" i="1" a="1"/>
  <c r="AC279" i="1" s="1"/>
  <c r="AD279" i="1" a="1"/>
  <c r="AD279" i="1" s="1"/>
  <c r="AG279" i="1" a="1"/>
  <c r="AG279" i="1" s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I279" i="1"/>
  <c r="CO279" i="1" s="1"/>
  <c r="DD279" i="1"/>
  <c r="DE279" i="1"/>
  <c r="DF279" i="1"/>
  <c r="DG279" i="1"/>
  <c r="DH279" i="1"/>
  <c r="DI279" i="1"/>
  <c r="DJ279" i="1"/>
  <c r="DK279" i="1"/>
  <c r="DL279" i="1"/>
  <c r="DM279" i="1"/>
  <c r="P280" i="1" a="1"/>
  <c r="P280" i="1" s="1"/>
  <c r="Q280" i="1" s="1"/>
  <c r="AD280" i="1" a="1"/>
  <c r="AD280" i="1" s="1"/>
  <c r="CD280" i="1"/>
  <c r="N280" i="1"/>
  <c r="I280" i="1"/>
  <c r="J280" i="1"/>
  <c r="L280" i="1"/>
  <c r="AE280" i="1" a="1"/>
  <c r="AE280" i="1" s="1"/>
  <c r="AF280" i="1" a="1"/>
  <c r="AF280" i="1" s="1"/>
  <c r="AH280" i="1" a="1"/>
  <c r="AH280" i="1" s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I280" i="1"/>
  <c r="CO280" i="1"/>
  <c r="DD280" i="1"/>
  <c r="DE280" i="1"/>
  <c r="DF280" i="1"/>
  <c r="DG280" i="1"/>
  <c r="DH280" i="1"/>
  <c r="DI280" i="1"/>
  <c r="DJ280" i="1"/>
  <c r="DK280" i="1"/>
  <c r="DL280" i="1"/>
  <c r="DM280" i="1"/>
  <c r="CH281" i="1"/>
  <c r="CN281" i="1" s="1"/>
  <c r="AF281" i="1" a="1"/>
  <c r="AF281" i="1" s="1"/>
  <c r="N281" i="1"/>
  <c r="K281" i="1"/>
  <c r="L281" i="1"/>
  <c r="AE281" i="1" a="1"/>
  <c r="AE281" i="1" s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K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J281" i="1"/>
  <c r="CP281" i="1" s="1"/>
  <c r="CK281" i="1"/>
  <c r="CQ281" i="1" s="1"/>
  <c r="DD281" i="1"/>
  <c r="DE281" i="1"/>
  <c r="DF281" i="1"/>
  <c r="DG281" i="1"/>
  <c r="DH281" i="1"/>
  <c r="DI281" i="1"/>
  <c r="DJ281" i="1"/>
  <c r="DK281" i="1"/>
  <c r="DL281" i="1"/>
  <c r="DM281" i="1"/>
  <c r="CB282" i="1"/>
  <c r="J282" i="1"/>
  <c r="AE282" i="1" a="1"/>
  <c r="AE282" i="1" s="1"/>
  <c r="AF282" i="1" a="1"/>
  <c r="AF282" i="1" s="1"/>
  <c r="M282" i="1"/>
  <c r="AH282" i="1" a="1"/>
  <c r="AH282" i="1" s="1"/>
  <c r="N282" i="1"/>
  <c r="AC282" i="1" a="1"/>
  <c r="AC282" i="1" s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F282" i="1"/>
  <c r="CL282" i="1"/>
  <c r="CR282" i="1" s="1"/>
  <c r="DD282" i="1"/>
  <c r="DE282" i="1"/>
  <c r="DF282" i="1"/>
  <c r="DG282" i="1"/>
  <c r="DH282" i="1"/>
  <c r="DI282" i="1"/>
  <c r="DJ282" i="1"/>
  <c r="DK282" i="1"/>
  <c r="DL282" i="1"/>
  <c r="DM282" i="1"/>
  <c r="AR283" i="1"/>
  <c r="J283" i="1"/>
  <c r="AF283" i="1" a="1"/>
  <c r="AF283" i="1" s="1"/>
  <c r="AH283" i="1" a="1"/>
  <c r="AH283" i="1" s="1"/>
  <c r="AC283" i="1" a="1"/>
  <c r="AC283" i="1" s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DD283" i="1"/>
  <c r="DE283" i="1"/>
  <c r="DF283" i="1"/>
  <c r="DG283" i="1"/>
  <c r="DH283" i="1"/>
  <c r="DI283" i="1"/>
  <c r="DJ283" i="1"/>
  <c r="DK283" i="1"/>
  <c r="DL283" i="1"/>
  <c r="DM283" i="1"/>
  <c r="P284" i="1" a="1"/>
  <c r="P284" i="1" s="1"/>
  <c r="Q284" i="1" s="1"/>
  <c r="CH284" i="1"/>
  <c r="CN284" i="1" s="1"/>
  <c r="CD284" i="1"/>
  <c r="N284" i="1"/>
  <c r="I284" i="1"/>
  <c r="J284" i="1"/>
  <c r="L284" i="1"/>
  <c r="AD284" i="1" a="1"/>
  <c r="AD284" i="1" s="1"/>
  <c r="AE284" i="1" a="1"/>
  <c r="AE284" i="1" s="1"/>
  <c r="AF284" i="1" a="1"/>
  <c r="AF284" i="1" s="1"/>
  <c r="AH284" i="1" a="1"/>
  <c r="AH284" i="1" s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F284" i="1"/>
  <c r="CI284" i="1"/>
  <c r="CO284" i="1" s="1"/>
  <c r="CK284" i="1"/>
  <c r="CQ284" i="1" s="1"/>
  <c r="DD284" i="1"/>
  <c r="DE284" i="1"/>
  <c r="DF284" i="1"/>
  <c r="DG284" i="1"/>
  <c r="DH284" i="1"/>
  <c r="DI284" i="1"/>
  <c r="DJ284" i="1"/>
  <c r="DK284" i="1"/>
  <c r="DL284" i="1"/>
  <c r="DM284" i="1"/>
  <c r="V285" i="1" a="1"/>
  <c r="V285" i="1" s="1"/>
  <c r="W285" i="1" s="1"/>
  <c r="AE285" i="1" a="1"/>
  <c r="AE285" i="1" s="1"/>
  <c r="AF285" i="1" a="1"/>
  <c r="AF285" i="1" s="1"/>
  <c r="CF285" i="1"/>
  <c r="N285" i="1"/>
  <c r="Z285" i="1" a="1"/>
  <c r="Z285" i="1" s="1"/>
  <c r="AH285" i="1" a="1"/>
  <c r="AH285" i="1" s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DD285" i="1"/>
  <c r="DE285" i="1"/>
  <c r="DF285" i="1"/>
  <c r="DG285" i="1"/>
  <c r="DH285" i="1"/>
  <c r="DI285" i="1"/>
  <c r="DJ285" i="1"/>
  <c r="DK285" i="1"/>
  <c r="DL285" i="1"/>
  <c r="DM285" i="1"/>
  <c r="AC286" i="1" a="1"/>
  <c r="AC286" i="1" s="1"/>
  <c r="AE286" i="1" a="1"/>
  <c r="AE286" i="1" s="1"/>
  <c r="L286" i="1"/>
  <c r="AG286" i="1" a="1"/>
  <c r="AG286" i="1" s="1"/>
  <c r="AH286" i="1" a="1"/>
  <c r="AH286" i="1" s="1"/>
  <c r="M286" i="1"/>
  <c r="N286" i="1"/>
  <c r="V286" i="1" a="1"/>
  <c r="V286" i="1" s="1"/>
  <c r="W286" i="1" s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DD286" i="1"/>
  <c r="DE286" i="1"/>
  <c r="DF286" i="1"/>
  <c r="DG286" i="1"/>
  <c r="DH286" i="1"/>
  <c r="DI286" i="1"/>
  <c r="DJ286" i="1"/>
  <c r="DK286" i="1"/>
  <c r="DL286" i="1"/>
  <c r="DM286" i="1"/>
  <c r="CB287" i="1"/>
  <c r="CD287" i="1"/>
  <c r="CF287" i="1"/>
  <c r="J287" i="1"/>
  <c r="M287" i="1"/>
  <c r="AC287" i="1" a="1"/>
  <c r="AC287" i="1" s="1"/>
  <c r="AD287" i="1" a="1"/>
  <c r="AD287" i="1" s="1"/>
  <c r="AG287" i="1" a="1"/>
  <c r="AG287" i="1" s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DD287" i="1"/>
  <c r="DE287" i="1"/>
  <c r="DF287" i="1"/>
  <c r="DG287" i="1"/>
  <c r="DH287" i="1"/>
  <c r="DI287" i="1"/>
  <c r="DJ287" i="1"/>
  <c r="DK287" i="1"/>
  <c r="DL287" i="1"/>
  <c r="DM287" i="1"/>
  <c r="P288" i="1" a="1"/>
  <c r="P288" i="1" s="1"/>
  <c r="AD288" i="1" a="1"/>
  <c r="AD288" i="1" s="1"/>
  <c r="AE288" i="1" a="1"/>
  <c r="AE288" i="1" s="1"/>
  <c r="CE288" i="1"/>
  <c r="N288" i="1"/>
  <c r="J288" i="1"/>
  <c r="L288" i="1"/>
  <c r="AF288" i="1" a="1"/>
  <c r="AF288" i="1" s="1"/>
  <c r="AH288" i="1" a="1"/>
  <c r="AH288" i="1" s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D288" i="1"/>
  <c r="CF288" i="1"/>
  <c r="CH288" i="1"/>
  <c r="CN288" i="1" s="1"/>
  <c r="CI288" i="1"/>
  <c r="CO288" i="1" s="1"/>
  <c r="DD288" i="1"/>
  <c r="DE288" i="1"/>
  <c r="DF288" i="1"/>
  <c r="DG288" i="1"/>
  <c r="DH288" i="1"/>
  <c r="DI288" i="1"/>
  <c r="DJ288" i="1"/>
  <c r="DK288" i="1"/>
  <c r="DL288" i="1"/>
  <c r="DM288" i="1"/>
  <c r="S289" i="1"/>
  <c r="T289" i="1" s="1"/>
  <c r="AE289" i="1" a="1"/>
  <c r="AE289" i="1" s="1"/>
  <c r="AF289" i="1" a="1"/>
  <c r="AF289" i="1" s="1"/>
  <c r="CF289" i="1"/>
  <c r="N289" i="1"/>
  <c r="AH289" i="1" a="1"/>
  <c r="AH289" i="1" s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H289" i="1"/>
  <c r="CJ289" i="1"/>
  <c r="CP289" i="1" s="1"/>
  <c r="CK289" i="1"/>
  <c r="CQ289" i="1" s="1"/>
  <c r="DD289" i="1"/>
  <c r="DE289" i="1"/>
  <c r="DF289" i="1"/>
  <c r="DG289" i="1"/>
  <c r="DH289" i="1"/>
  <c r="DI289" i="1"/>
  <c r="DJ289" i="1"/>
  <c r="DK289" i="1"/>
  <c r="DL289" i="1"/>
  <c r="DM289" i="1"/>
  <c r="CB290" i="1"/>
  <c r="AE290" i="1" a="1"/>
  <c r="AE290" i="1" s="1"/>
  <c r="AF290" i="1" a="1"/>
  <c r="AF290" i="1" s="1"/>
  <c r="M290" i="1"/>
  <c r="AH290" i="1" a="1"/>
  <c r="AH290" i="1" s="1"/>
  <c r="N290" i="1"/>
  <c r="AC290" i="1" a="1"/>
  <c r="AC290" i="1" s="1"/>
  <c r="AG290" i="1" a="1"/>
  <c r="AG290" i="1" s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L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F290" i="1"/>
  <c r="CJ290" i="1"/>
  <c r="CP290" i="1" s="1"/>
  <c r="CL290" i="1"/>
  <c r="CR290" i="1" s="1"/>
  <c r="DD290" i="1"/>
  <c r="DE290" i="1"/>
  <c r="DF290" i="1"/>
  <c r="DG290" i="1"/>
  <c r="DH290" i="1"/>
  <c r="DI290" i="1"/>
  <c r="DJ290" i="1"/>
  <c r="DK290" i="1"/>
  <c r="DL290" i="1"/>
  <c r="DM290" i="1"/>
  <c r="J291" i="1"/>
  <c r="CD291" i="1"/>
  <c r="M291" i="1"/>
  <c r="AC291" i="1" a="1"/>
  <c r="AC291" i="1" s="1"/>
  <c r="AD291" i="1" a="1"/>
  <c r="AD291" i="1" s="1"/>
  <c r="AH291" i="1" a="1"/>
  <c r="AH291" i="1" s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DD291" i="1"/>
  <c r="DE291" i="1"/>
  <c r="DF291" i="1"/>
  <c r="DG291" i="1"/>
  <c r="DH291" i="1"/>
  <c r="DI291" i="1"/>
  <c r="DJ291" i="1"/>
  <c r="DK291" i="1"/>
  <c r="DL291" i="1"/>
  <c r="DM291" i="1"/>
  <c r="AR292" i="1"/>
  <c r="AE292" i="1" a="1"/>
  <c r="AE292" i="1" s="1"/>
  <c r="CD292" i="1"/>
  <c r="N292" i="1"/>
  <c r="I292" i="1"/>
  <c r="J292" i="1"/>
  <c r="L292" i="1"/>
  <c r="AD292" i="1" a="1"/>
  <c r="AD292" i="1" s="1"/>
  <c r="AH292" i="1" a="1"/>
  <c r="AH292" i="1" s="1"/>
  <c r="AQ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L292" i="1"/>
  <c r="CR292" i="1" s="1"/>
  <c r="DD292" i="1"/>
  <c r="DE292" i="1"/>
  <c r="DF292" i="1"/>
  <c r="DG292" i="1"/>
  <c r="DH292" i="1"/>
  <c r="DI292" i="1"/>
  <c r="DJ292" i="1"/>
  <c r="DK292" i="1"/>
  <c r="DL292" i="1"/>
  <c r="DM292" i="1"/>
  <c r="Z293" i="1" a="1"/>
  <c r="Z293" i="1" s="1"/>
  <c r="CJ293" i="1"/>
  <c r="CP293" i="1" s="1"/>
  <c r="J293" i="1"/>
  <c r="K293" i="1"/>
  <c r="L293" i="1"/>
  <c r="N293" i="1"/>
  <c r="AD293" i="1" a="1"/>
  <c r="AD293" i="1" s="1"/>
  <c r="AE293" i="1" a="1"/>
  <c r="AE293" i="1" s="1"/>
  <c r="AF293" i="1" a="1"/>
  <c r="AF293" i="1" s="1"/>
  <c r="AH293" i="1" a="1"/>
  <c r="AH293" i="1" s="1"/>
  <c r="AK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D293" i="1"/>
  <c r="CH293" i="1"/>
  <c r="CN293" i="1" s="1"/>
  <c r="DD293" i="1"/>
  <c r="DE293" i="1"/>
  <c r="DF293" i="1"/>
  <c r="DG293" i="1"/>
  <c r="DH293" i="1"/>
  <c r="DI293" i="1"/>
  <c r="DJ293" i="1"/>
  <c r="DK293" i="1"/>
  <c r="DL293" i="1"/>
  <c r="DM293" i="1"/>
  <c r="CI294" i="1"/>
  <c r="K294" i="1"/>
  <c r="CE294" i="1"/>
  <c r="M294" i="1"/>
  <c r="AH294" i="1" a="1"/>
  <c r="AH294" i="1" s="1"/>
  <c r="I294" i="1"/>
  <c r="N294" i="1"/>
  <c r="AN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F294" i="1"/>
  <c r="CL294" i="1"/>
  <c r="CR294" i="1" s="1"/>
  <c r="DD294" i="1"/>
  <c r="DE294" i="1"/>
  <c r="DF294" i="1"/>
  <c r="DG294" i="1"/>
  <c r="DH294" i="1"/>
  <c r="DI294" i="1"/>
  <c r="DJ294" i="1"/>
  <c r="DK294" i="1"/>
  <c r="DL294" i="1"/>
  <c r="DM294" i="1"/>
  <c r="AK295" i="1"/>
  <c r="AD295" i="1" a="1"/>
  <c r="AD295" i="1" s="1"/>
  <c r="AE295" i="1" a="1"/>
  <c r="AE295" i="1" s="1"/>
  <c r="L295" i="1"/>
  <c r="CF295" i="1"/>
  <c r="J295" i="1"/>
  <c r="M295" i="1"/>
  <c r="AG295" i="1" a="1"/>
  <c r="AG295" i="1" s="1"/>
  <c r="AO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D295" i="1"/>
  <c r="CE295" i="1"/>
  <c r="CI295" i="1"/>
  <c r="CO295" i="1" s="1"/>
  <c r="DD295" i="1"/>
  <c r="DE295" i="1"/>
  <c r="DF295" i="1"/>
  <c r="DG295" i="1"/>
  <c r="DH295" i="1"/>
  <c r="DI295" i="1"/>
  <c r="DJ295" i="1"/>
  <c r="DK295" i="1"/>
  <c r="DL295" i="1"/>
  <c r="DM295" i="1"/>
  <c r="AR296" i="1"/>
  <c r="CI296" i="1"/>
  <c r="CO296" i="1" s="1"/>
  <c r="CE296" i="1"/>
  <c r="N296" i="1"/>
  <c r="I296" i="1"/>
  <c r="M296" i="1"/>
  <c r="AC296" i="1" a="1"/>
  <c r="AC296" i="1" s="1"/>
  <c r="AG296" i="1" a="1"/>
  <c r="AG296" i="1" s="1"/>
  <c r="AH296" i="1" a="1"/>
  <c r="AH296" i="1" s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F296" i="1"/>
  <c r="DD296" i="1"/>
  <c r="DE296" i="1"/>
  <c r="DF296" i="1"/>
  <c r="DG296" i="1"/>
  <c r="DH296" i="1"/>
  <c r="DI296" i="1"/>
  <c r="DJ296" i="1"/>
  <c r="DK296" i="1"/>
  <c r="DL296" i="1"/>
  <c r="DM296" i="1"/>
  <c r="Y297" i="1" a="1"/>
  <c r="Y297" i="1" s="1"/>
  <c r="CC297" i="1"/>
  <c r="L297" i="1"/>
  <c r="J297" i="1"/>
  <c r="K297" i="1"/>
  <c r="N297" i="1"/>
  <c r="AD297" i="1" a="1"/>
  <c r="AD297" i="1" s="1"/>
  <c r="AE297" i="1" a="1"/>
  <c r="AE297" i="1" s="1"/>
  <c r="AF297" i="1" a="1"/>
  <c r="AF297" i="1" s="1"/>
  <c r="AH297" i="1" a="1"/>
  <c r="AH297" i="1" s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L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F297" i="1"/>
  <c r="CJ297" i="1"/>
  <c r="CP297" i="1" s="1"/>
  <c r="CK297" i="1"/>
  <c r="CQ297" i="1" s="1"/>
  <c r="DD297" i="1"/>
  <c r="DE297" i="1"/>
  <c r="DF297" i="1"/>
  <c r="DG297" i="1"/>
  <c r="DH297" i="1"/>
  <c r="DI297" i="1"/>
  <c r="DJ297" i="1"/>
  <c r="DK297" i="1"/>
  <c r="DL297" i="1"/>
  <c r="DM297" i="1"/>
  <c r="I298" i="1"/>
  <c r="J298" i="1"/>
  <c r="AE298" i="1" a="1"/>
  <c r="AE298" i="1" s="1"/>
  <c r="L298" i="1"/>
  <c r="CF298" i="1"/>
  <c r="AH298" i="1" a="1"/>
  <c r="AH298" i="1" s="1"/>
  <c r="K298" i="1"/>
  <c r="AD298" i="1" a="1"/>
  <c r="AD298" i="1" s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I298" i="1"/>
  <c r="CO298" i="1" s="1"/>
  <c r="DD298" i="1"/>
  <c r="DE298" i="1"/>
  <c r="DF298" i="1"/>
  <c r="DG298" i="1"/>
  <c r="DH298" i="1"/>
  <c r="DI298" i="1"/>
  <c r="DJ298" i="1"/>
  <c r="DK298" i="1"/>
  <c r="DL298" i="1"/>
  <c r="DM298" i="1"/>
  <c r="AD299" i="1" a="1"/>
  <c r="AD299" i="1" s="1"/>
  <c r="K299" i="1"/>
  <c r="L299" i="1"/>
  <c r="AG299" i="1" a="1"/>
  <c r="AG299" i="1" s="1"/>
  <c r="N299" i="1"/>
  <c r="AC299" i="1" a="1"/>
  <c r="AC299" i="1" s="1"/>
  <c r="AF299" i="1" a="1"/>
  <c r="AF299" i="1" s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DD299" i="1"/>
  <c r="DE299" i="1"/>
  <c r="DF299" i="1"/>
  <c r="DG299" i="1"/>
  <c r="DH299" i="1"/>
  <c r="DI299" i="1"/>
  <c r="DJ299" i="1"/>
  <c r="DK299" i="1"/>
  <c r="DL299" i="1"/>
  <c r="DM299" i="1"/>
  <c r="AC300" i="1" a="1"/>
  <c r="AC300" i="1" s="1"/>
  <c r="AD300" i="1" a="1"/>
  <c r="AD300" i="1" s="1"/>
  <c r="M300" i="1"/>
  <c r="AH300" i="1" a="1"/>
  <c r="AH300" i="1" s="1"/>
  <c r="J300" i="1"/>
  <c r="K300" i="1"/>
  <c r="N300" i="1"/>
  <c r="AE300" i="1" a="1"/>
  <c r="AE300" i="1" s="1"/>
  <c r="AQ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D300" i="1"/>
  <c r="CI300" i="1"/>
  <c r="CO300" i="1" s="1"/>
  <c r="CJ300" i="1"/>
  <c r="CP300" i="1" s="1"/>
  <c r="DD300" i="1"/>
  <c r="DE300" i="1"/>
  <c r="DF300" i="1"/>
  <c r="DG300" i="1"/>
  <c r="DH300" i="1"/>
  <c r="DI300" i="1"/>
  <c r="DJ300" i="1"/>
  <c r="DK300" i="1"/>
  <c r="DL300" i="1"/>
  <c r="DM300" i="1"/>
  <c r="AD301" i="1" a="1"/>
  <c r="AD301" i="1" s="1"/>
  <c r="CD301" i="1"/>
  <c r="AF301" i="1" a="1"/>
  <c r="AF301" i="1" s="1"/>
  <c r="AH301" i="1" a="1"/>
  <c r="AH301" i="1" s="1"/>
  <c r="I301" i="1"/>
  <c r="M301" i="1"/>
  <c r="AG301" i="1" a="1"/>
  <c r="AG301" i="1" s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K301" i="1"/>
  <c r="CQ301" i="1" s="1"/>
  <c r="CL301" i="1"/>
  <c r="CR301" i="1" s="1"/>
  <c r="DD301" i="1"/>
  <c r="DE301" i="1"/>
  <c r="DF301" i="1"/>
  <c r="DG301" i="1"/>
  <c r="DH301" i="1"/>
  <c r="DI301" i="1"/>
  <c r="DJ301" i="1"/>
  <c r="DK301" i="1"/>
  <c r="DL301" i="1"/>
  <c r="DM301" i="1"/>
  <c r="I302" i="1"/>
  <c r="J302" i="1"/>
  <c r="AE302" i="1" a="1"/>
  <c r="AE302" i="1" s="1"/>
  <c r="L302" i="1"/>
  <c r="CF302" i="1"/>
  <c r="AH302" i="1" a="1"/>
  <c r="AH302" i="1" s="1"/>
  <c r="K302" i="1"/>
  <c r="AD302" i="1" a="1"/>
  <c r="AD302" i="1" s="1"/>
  <c r="AF302" i="1" a="1"/>
  <c r="AF302" i="1" s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I302" i="1"/>
  <c r="CO302" i="1" s="1"/>
  <c r="DD302" i="1"/>
  <c r="DE302" i="1"/>
  <c r="DF302" i="1"/>
  <c r="DG302" i="1"/>
  <c r="DH302" i="1"/>
  <c r="DI302" i="1"/>
  <c r="DJ302" i="1"/>
  <c r="DK302" i="1"/>
  <c r="DL302" i="1"/>
  <c r="DM302" i="1"/>
  <c r="AC303" i="1" a="1"/>
  <c r="AC303" i="1" s="1"/>
  <c r="K303" i="1"/>
  <c r="L303" i="1"/>
  <c r="CE303" i="1"/>
  <c r="N303" i="1"/>
  <c r="I303" i="1"/>
  <c r="AD303" i="1" a="1"/>
  <c r="AD303" i="1" s="1"/>
  <c r="AF303" i="1" a="1"/>
  <c r="AF303" i="1"/>
  <c r="AG303" i="1" a="1"/>
  <c r="AG303" i="1" s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DD303" i="1"/>
  <c r="DE303" i="1"/>
  <c r="DF303" i="1"/>
  <c r="DG303" i="1"/>
  <c r="DH303" i="1"/>
  <c r="DI303" i="1"/>
  <c r="DJ303" i="1"/>
  <c r="DK303" i="1"/>
  <c r="DL303" i="1"/>
  <c r="DM303" i="1"/>
  <c r="DO77" i="1" l="1" a="1"/>
  <c r="DO77" i="1" s="1"/>
  <c r="CN44" i="1"/>
  <c r="CP84" i="1"/>
  <c r="CN81" i="1"/>
  <c r="CR79" i="1"/>
  <c r="DO63" i="1" a="1"/>
  <c r="DO63" i="1" s="1"/>
  <c r="CR49" i="1"/>
  <c r="DO46" i="1" a="1"/>
  <c r="DO46" i="1" s="1"/>
  <c r="DS44" i="1" a="1"/>
  <c r="DS44" i="1" s="1"/>
  <c r="AL50" i="1"/>
  <c r="AL89" i="1"/>
  <c r="AL79" i="1"/>
  <c r="AL65" i="1"/>
  <c r="DP50" i="1" a="1"/>
  <c r="DP50" i="1" s="1"/>
  <c r="CQ44" i="1"/>
  <c r="AL83" i="1"/>
  <c r="CP82" i="1"/>
  <c r="CR77" i="1"/>
  <c r="CP74" i="1"/>
  <c r="DS70" i="1" a="1"/>
  <c r="DS70" i="1" s="1"/>
  <c r="AL68" i="1"/>
  <c r="CW32" i="1" a="1"/>
  <c r="CW32" i="1" s="1"/>
  <c r="CX32" i="1" s="1"/>
  <c r="AL23" i="1"/>
  <c r="DO80" i="1" a="1"/>
  <c r="DO80" i="1" s="1"/>
  <c r="AL77" i="1"/>
  <c r="DP51" i="1" a="1"/>
  <c r="DP51" i="1" s="1"/>
  <c r="DS82" i="1" a="1"/>
  <c r="DS82" i="1" s="1"/>
  <c r="AL32" i="1"/>
  <c r="AL25" i="1"/>
  <c r="AL22" i="1"/>
  <c r="AL21" i="1"/>
  <c r="DB8" i="1" a="1"/>
  <c r="DB8" i="1" s="1"/>
  <c r="DO141" i="1" a="1"/>
  <c r="DO141" i="1" s="1"/>
  <c r="DR87" i="1" a="1"/>
  <c r="DR87" i="1" s="1"/>
  <c r="DS74" i="1" a="1"/>
  <c r="DS74" i="1" s="1"/>
  <c r="DS65" i="1" a="1"/>
  <c r="DS65" i="1" s="1"/>
  <c r="CN58" i="1"/>
  <c r="DR57" i="1" a="1"/>
  <c r="DR57" i="1" s="1"/>
  <c r="CP88" i="1"/>
  <c r="CO79" i="1"/>
  <c r="CP75" i="1"/>
  <c r="AL20" i="1"/>
  <c r="DO73" i="1" a="1"/>
  <c r="DO73" i="1" s="1"/>
  <c r="DQ62" i="1" a="1"/>
  <c r="DQ62" i="1" s="1"/>
  <c r="DR53" i="1" a="1"/>
  <c r="DR53" i="1" s="1"/>
  <c r="AL47" i="1"/>
  <c r="CR46" i="1"/>
  <c r="AL41" i="1"/>
  <c r="AL5" i="1"/>
  <c r="CR81" i="1"/>
  <c r="CW72" i="1" a="1"/>
  <c r="CW72" i="1" s="1"/>
  <c r="CX72" i="1" s="1"/>
  <c r="CZ56" i="1" a="1"/>
  <c r="CZ56" i="1" s="1"/>
  <c r="AL55" i="1"/>
  <c r="CR52" i="1"/>
  <c r="CT31" i="1" a="1"/>
  <c r="CT31" i="1" s="1"/>
  <c r="CU31" i="1" s="1"/>
  <c r="AL28" i="1"/>
  <c r="DB23" i="1" a="1"/>
  <c r="DB23" i="1" s="1"/>
  <c r="CW8" i="1" a="1"/>
  <c r="CW8" i="1" s="1"/>
  <c r="CX8" i="1" s="1"/>
  <c r="AL71" i="1"/>
  <c r="DS67" i="1" a="1"/>
  <c r="DS67" i="1" s="1"/>
  <c r="AL67" i="1"/>
  <c r="DQ66" i="1" a="1"/>
  <c r="DQ66" i="1" s="1"/>
  <c r="DB64" i="1" a="1"/>
  <c r="DB64" i="1" s="1"/>
  <c r="CR62" i="1"/>
  <c r="AL58" i="1"/>
  <c r="DO57" i="1" a="1"/>
  <c r="DO57" i="1" s="1"/>
  <c r="CR56" i="1"/>
  <c r="DO55" i="1" a="1"/>
  <c r="DO55" i="1" s="1"/>
  <c r="DQ53" i="1" a="1"/>
  <c r="DQ53" i="1" s="1"/>
  <c r="DQ45" i="1" a="1"/>
  <c r="DQ45" i="1" s="1"/>
  <c r="AL40" i="1"/>
  <c r="CT38" i="1" a="1"/>
  <c r="CT38" i="1" s="1"/>
  <c r="CU38" i="1" s="1"/>
  <c r="AL16" i="1"/>
  <c r="CT9" i="1" a="1"/>
  <c r="CT9" i="1" s="1"/>
  <c r="CU9" i="1" s="1"/>
  <c r="AL4" i="1"/>
  <c r="DS78" i="1" a="1"/>
  <c r="DS78" i="1" s="1"/>
  <c r="CN65" i="1"/>
  <c r="DA60" i="1" a="1"/>
  <c r="DA60" i="1" s="1"/>
  <c r="DB26" i="1" a="1"/>
  <c r="DB26" i="1" s="1"/>
  <c r="CZ24" i="1" a="1"/>
  <c r="CZ24" i="1" s="1"/>
  <c r="DB18" i="1" a="1"/>
  <c r="DB18" i="1" s="1"/>
  <c r="CT89" i="1" a="1"/>
  <c r="CT89" i="1" s="1"/>
  <c r="CU89" i="1" s="1"/>
  <c r="AL76" i="1"/>
  <c r="DQ71" i="1" a="1"/>
  <c r="DQ71" i="1" s="1"/>
  <c r="AL62" i="1"/>
  <c r="CR51" i="1"/>
  <c r="DR50" i="1" a="1"/>
  <c r="DR50" i="1" s="1"/>
  <c r="CZ50" i="1" a="1"/>
  <c r="CZ50" i="1" s="1"/>
  <c r="AL43" i="1"/>
  <c r="AL39" i="1"/>
  <c r="CZ30" i="1" a="1"/>
  <c r="CZ30" i="1" s="1"/>
  <c r="CZ28" i="1" a="1"/>
  <c r="CZ28" i="1" s="1"/>
  <c r="AL19" i="1"/>
  <c r="AL17" i="1"/>
  <c r="DB16" i="1" a="1"/>
  <c r="DB16" i="1" s="1"/>
  <c r="CQ126" i="1"/>
  <c r="DO122" i="1" a="1"/>
  <c r="DO122" i="1" s="1"/>
  <c r="DS85" i="1" a="1"/>
  <c r="DS85" i="1" s="1"/>
  <c r="CW85" i="1" a="1"/>
  <c r="CW85" i="1" s="1"/>
  <c r="CX85" i="1" s="1"/>
  <c r="CW71" i="1" a="1"/>
  <c r="CW71" i="1" s="1"/>
  <c r="CX71" i="1" s="1"/>
  <c r="CQ66" i="1"/>
  <c r="CR57" i="1"/>
  <c r="CW44" i="1" a="1"/>
  <c r="CW44" i="1" s="1"/>
  <c r="CX44" i="1" s="1"/>
  <c r="CT40" i="1" a="1"/>
  <c r="CT40" i="1" s="1"/>
  <c r="CU40" i="1" s="1"/>
  <c r="CZ32" i="1" a="1"/>
  <c r="CZ32" i="1" s="1"/>
  <c r="DA24" i="1" a="1"/>
  <c r="DA24" i="1" s="1"/>
  <c r="AL10" i="1"/>
  <c r="DR103" i="1" a="1"/>
  <c r="DR103" i="1" s="1"/>
  <c r="CR83" i="1"/>
  <c r="CW83" i="1" a="1"/>
  <c r="CW83" i="1" s="1"/>
  <c r="CX83" i="1" s="1"/>
  <c r="CW79" i="1" a="1"/>
  <c r="CW79" i="1" s="1"/>
  <c r="CX79" i="1" s="1"/>
  <c r="DQ76" i="1" a="1"/>
  <c r="DQ76" i="1" s="1"/>
  <c r="CW76" i="1" a="1"/>
  <c r="CW76" i="1" s="1"/>
  <c r="CX76" i="1" s="1"/>
  <c r="AL74" i="1"/>
  <c r="CP70" i="1"/>
  <c r="AL61" i="1"/>
  <c r="CO60" i="1"/>
  <c r="CP57" i="1"/>
  <c r="CZ47" i="1" a="1"/>
  <c r="CZ47" i="1" s="1"/>
  <c r="AL42" i="1"/>
  <c r="CZ26" i="1" a="1"/>
  <c r="CZ26" i="1" s="1"/>
  <c r="CW18" i="1" a="1"/>
  <c r="CW18" i="1" s="1"/>
  <c r="CX18" i="1" s="1"/>
  <c r="DB14" i="1" a="1"/>
  <c r="DB14" i="1" s="1"/>
  <c r="CW10" i="1" a="1"/>
  <c r="CW10" i="1" s="1"/>
  <c r="CX10" i="1" s="1"/>
  <c r="DQ109" i="1" a="1"/>
  <c r="DQ109" i="1" s="1"/>
  <c r="CP83" i="1"/>
  <c r="AL82" i="1"/>
  <c r="CP78" i="1"/>
  <c r="AL73" i="1"/>
  <c r="DS69" i="1" a="1"/>
  <c r="DS69" i="1" s="1"/>
  <c r="AL66" i="1"/>
  <c r="CP58" i="1"/>
  <c r="CW51" i="1" a="1"/>
  <c r="CW51" i="1" s="1"/>
  <c r="CX51" i="1" s="1"/>
  <c r="AL45" i="1"/>
  <c r="CT39" i="1" a="1"/>
  <c r="CT39" i="1" s="1"/>
  <c r="CU39" i="1" s="1"/>
  <c r="AL38" i="1"/>
  <c r="AL9" i="1"/>
  <c r="DO132" i="1" a="1"/>
  <c r="DO132" i="1" s="1"/>
  <c r="DQ117" i="1" a="1"/>
  <c r="DQ117" i="1" s="1"/>
  <c r="CQ114" i="1"/>
  <c r="DO88" i="1" a="1"/>
  <c r="DO88" i="1" s="1"/>
  <c r="DQ87" i="1" a="1"/>
  <c r="DQ87" i="1" s="1"/>
  <c r="CN87" i="1"/>
  <c r="CN86" i="1"/>
  <c r="DR79" i="1" a="1"/>
  <c r="DR79" i="1" s="1"/>
  <c r="CT79" i="1" a="1"/>
  <c r="CT79" i="1" s="1"/>
  <c r="CU79" i="1" s="1"/>
  <c r="CN76" i="1"/>
  <c r="CQ74" i="1"/>
  <c r="CR73" i="1"/>
  <c r="CN72" i="1"/>
  <c r="CT71" i="1" a="1"/>
  <c r="CT71" i="1" s="1"/>
  <c r="CU71" i="1" s="1"/>
  <c r="DB70" i="1" a="1"/>
  <c r="DB70" i="1" s="1"/>
  <c r="DQ68" i="1" a="1"/>
  <c r="DQ68" i="1" s="1"/>
  <c r="CO65" i="1"/>
  <c r="CT63" i="1" a="1"/>
  <c r="CT63" i="1" s="1"/>
  <c r="CU63" i="1" s="1"/>
  <c r="AL60" i="1"/>
  <c r="DS53" i="1" a="1"/>
  <c r="DS53" i="1" s="1"/>
  <c r="CR53" i="1"/>
  <c r="AL87" i="1"/>
  <c r="CZ86" i="1" a="1"/>
  <c r="CZ86" i="1" s="1"/>
  <c r="AL85" i="1"/>
  <c r="AL84" i="1"/>
  <c r="CQ82" i="1"/>
  <c r="AL80" i="1"/>
  <c r="DQ79" i="1" a="1"/>
  <c r="DQ79" i="1" s="1"/>
  <c r="DB78" i="1" a="1"/>
  <c r="DB78" i="1" s="1"/>
  <c r="DQ72" i="1" a="1"/>
  <c r="DQ72" i="1" s="1"/>
  <c r="DR70" i="1" a="1"/>
  <c r="DR70" i="1" s="1"/>
  <c r="CR66" i="1"/>
  <c r="DB63" i="1" a="1"/>
  <c r="DB63" i="1" s="1"/>
  <c r="CR61" i="1"/>
  <c r="CT85" i="1" a="1"/>
  <c r="CT85" i="1" s="1"/>
  <c r="DB85" i="1" a="1"/>
  <c r="DB85" i="1" s="1"/>
  <c r="DA81" i="1" a="1"/>
  <c r="DA81" i="1" s="1"/>
  <c r="CW75" i="1" a="1"/>
  <c r="CW75" i="1" s="1"/>
  <c r="CX75" i="1" s="1"/>
  <c r="CW64" i="1" a="1"/>
  <c r="CW64" i="1" s="1"/>
  <c r="CX64" i="1" s="1"/>
  <c r="CT64" i="1" a="1"/>
  <c r="CT64" i="1" s="1"/>
  <c r="CU64" i="1" s="1"/>
  <c r="CQ62" i="1"/>
  <c r="CO55" i="1"/>
  <c r="DP55" i="1" a="1"/>
  <c r="DP55" i="1" s="1"/>
  <c r="CQ94" i="1"/>
  <c r="CR89" i="1"/>
  <c r="CW86" i="1" a="1"/>
  <c r="CW86" i="1" s="1"/>
  <c r="CX86" i="1" s="1"/>
  <c r="DO83" i="1" a="1"/>
  <c r="DO83" i="1" s="1"/>
  <c r="DB81" i="1" a="1"/>
  <c r="DB81" i="1" s="1"/>
  <c r="DO79" i="1" a="1"/>
  <c r="DO79" i="1" s="1"/>
  <c r="CQ78" i="1"/>
  <c r="CZ76" i="1" a="1"/>
  <c r="CZ76" i="1" s="1"/>
  <c r="DR75" i="1" a="1"/>
  <c r="DR75" i="1" s="1"/>
  <c r="CT75" i="1" a="1"/>
  <c r="CT75" i="1" s="1"/>
  <c r="CU75" i="1" s="1"/>
  <c r="DO72" i="1" a="1"/>
  <c r="DO72" i="1" s="1"/>
  <c r="CZ72" i="1" a="1"/>
  <c r="CZ72" i="1" s="1"/>
  <c r="CN71" i="1"/>
  <c r="CW65" i="1" a="1"/>
  <c r="CW65" i="1" s="1"/>
  <c r="CX65" i="1" s="1"/>
  <c r="CQ64" i="1"/>
  <c r="CR63" i="1"/>
  <c r="CT53" i="1" a="1"/>
  <c r="CT53" i="1" s="1"/>
  <c r="CU53" i="1" s="1"/>
  <c r="CN53" i="1"/>
  <c r="DO53" i="1" a="1"/>
  <c r="DO53" i="1" s="1"/>
  <c r="DB87" i="1" a="1"/>
  <c r="DB87" i="1" s="1"/>
  <c r="CT87" i="1" a="1"/>
  <c r="CT87" i="1" s="1"/>
  <c r="CU87" i="1" s="1"/>
  <c r="DS86" i="1" a="1"/>
  <c r="DS86" i="1" s="1"/>
  <c r="CP85" i="1"/>
  <c r="DO71" i="1" a="1"/>
  <c r="DO71" i="1" s="1"/>
  <c r="CQ69" i="1"/>
  <c r="CW68" i="1" a="1"/>
  <c r="CW68" i="1" s="1"/>
  <c r="CX68" i="1" s="1"/>
  <c r="CZ68" i="1" a="1"/>
  <c r="CZ68" i="1" s="1"/>
  <c r="DQ64" i="1" a="1"/>
  <c r="DQ64" i="1" s="1"/>
  <c r="CP63" i="1"/>
  <c r="DQ56" i="1" a="1"/>
  <c r="DQ56" i="1" s="1"/>
  <c r="CP56" i="1"/>
  <c r="DR137" i="1" a="1"/>
  <c r="DR137" i="1" s="1"/>
  <c r="CR87" i="1"/>
  <c r="CP86" i="1"/>
  <c r="CN85" i="1"/>
  <c r="CO75" i="1"/>
  <c r="DB71" i="1" a="1"/>
  <c r="DB71" i="1" s="1"/>
  <c r="CP69" i="1"/>
  <c r="DS68" i="1" a="1"/>
  <c r="DS68" i="1" s="1"/>
  <c r="DO64" i="1" a="1"/>
  <c r="DO64" i="1" s="1"/>
  <c r="CN64" i="1"/>
  <c r="DR59" i="1" a="1"/>
  <c r="DR59" i="1" s="1"/>
  <c r="CQ59" i="1"/>
  <c r="CO86" i="1"/>
  <c r="DO85" i="1" a="1"/>
  <c r="DO85" i="1" s="1"/>
  <c r="CQ68" i="1"/>
  <c r="CZ64" i="1" a="1"/>
  <c r="CZ64" i="1" s="1"/>
  <c r="DP63" i="1" a="1"/>
  <c r="DP63" i="1" s="1"/>
  <c r="DP61" i="1" a="1"/>
  <c r="DP61" i="1" s="1"/>
  <c r="DO61" i="1" a="1"/>
  <c r="DO61" i="1" s="1"/>
  <c r="CN61" i="1"/>
  <c r="AL57" i="1"/>
  <c r="CN54" i="1"/>
  <c r="DB54" i="1" a="1"/>
  <c r="DB54" i="1" s="1"/>
  <c r="DO54" i="1" a="1"/>
  <c r="DO54" i="1" s="1"/>
  <c r="CW56" i="1" a="1"/>
  <c r="CW56" i="1" s="1"/>
  <c r="CX56" i="1" s="1"/>
  <c r="AL53" i="1"/>
  <c r="AL52" i="1"/>
  <c r="DB50" i="1" a="1"/>
  <c r="DB50" i="1" s="1"/>
  <c r="CZ48" i="1" a="1"/>
  <c r="CZ48" i="1" s="1"/>
  <c r="DP43" i="1" a="1"/>
  <c r="DP43" i="1" s="1"/>
  <c r="CT42" i="1" a="1"/>
  <c r="CT42" i="1" s="1"/>
  <c r="CU42" i="1" s="1"/>
  <c r="CT41" i="1" a="1"/>
  <c r="CT41" i="1" s="1"/>
  <c r="CU41" i="1" s="1"/>
  <c r="DB37" i="1" a="1"/>
  <c r="DB37" i="1" s="1"/>
  <c r="DA36" i="1" a="1"/>
  <c r="DA36" i="1" s="1"/>
  <c r="AL33" i="1"/>
  <c r="CZ23" i="1" a="1"/>
  <c r="CZ23" i="1" s="1"/>
  <c r="CZ21" i="1" a="1"/>
  <c r="CZ21" i="1" s="1"/>
  <c r="DB12" i="1" a="1"/>
  <c r="DB12" i="1" s="1"/>
  <c r="CN8" i="1"/>
  <c r="AL7" i="1"/>
  <c r="CZ54" i="1" a="1"/>
  <c r="CZ54" i="1" s="1"/>
  <c r="AL51" i="1"/>
  <c r="CP50" i="1"/>
  <c r="DR49" i="1" a="1"/>
  <c r="DR49" i="1" s="1"/>
  <c r="AL46" i="1"/>
  <c r="DB45" i="1" a="1"/>
  <c r="DB45" i="1" s="1"/>
  <c r="CZ37" i="1" a="1"/>
  <c r="CZ37" i="1" s="1"/>
  <c r="CN32" i="1"/>
  <c r="CW30" i="1" a="1"/>
  <c r="CW30" i="1" s="1"/>
  <c r="CX30" i="1" s="1"/>
  <c r="DB30" i="1" a="1"/>
  <c r="DB30" i="1" s="1"/>
  <c r="AL27" i="1"/>
  <c r="CN26" i="1"/>
  <c r="CZ22" i="1" a="1"/>
  <c r="CZ22" i="1" s="1"/>
  <c r="CN18" i="1"/>
  <c r="CN14" i="1"/>
  <c r="CW12" i="1" a="1"/>
  <c r="CW12" i="1" s="1"/>
  <c r="CX12" i="1" s="1"/>
  <c r="CZ10" i="1" a="1"/>
  <c r="CZ10" i="1" s="1"/>
  <c r="CT48" i="1" a="1"/>
  <c r="CT48" i="1" s="1"/>
  <c r="CU48" i="1" s="1"/>
  <c r="CT43" i="1" a="1"/>
  <c r="CT43" i="1" s="1"/>
  <c r="CU43" i="1" s="1"/>
  <c r="AL34" i="1"/>
  <c r="CW22" i="1" a="1"/>
  <c r="CW22" i="1" s="1"/>
  <c r="CX22" i="1" s="1"/>
  <c r="CW16" i="1" a="1"/>
  <c r="CW16" i="1" s="1"/>
  <c r="CX16" i="1" s="1"/>
  <c r="CT16" i="1" a="1"/>
  <c r="CT16" i="1" s="1"/>
  <c r="CU16" i="1" s="1"/>
  <c r="AL59" i="1"/>
  <c r="DB52" i="1" a="1"/>
  <c r="DB52" i="1" s="1"/>
  <c r="DQ50" i="1" a="1"/>
  <c r="DQ50" i="1" s="1"/>
  <c r="CR48" i="1"/>
  <c r="DB40" i="1" a="1"/>
  <c r="DB40" i="1" s="1"/>
  <c r="DB36" i="1" a="1"/>
  <c r="DB36" i="1" s="1"/>
  <c r="AL31" i="1"/>
  <c r="CW28" i="1" a="1"/>
  <c r="CW28" i="1" s="1"/>
  <c r="CX28" i="1" s="1"/>
  <c r="DB28" i="1" a="1"/>
  <c r="DB28" i="1" s="1"/>
  <c r="CZ27" i="1" a="1"/>
  <c r="CZ27" i="1" s="1"/>
  <c r="DB20" i="1" a="1"/>
  <c r="DB20" i="1" s="1"/>
  <c r="AL8" i="1"/>
  <c r="CT7" i="1" a="1"/>
  <c r="CT7" i="1" s="1"/>
  <c r="CU7" i="1" s="1"/>
  <c r="AL6" i="1"/>
  <c r="CP60" i="1"/>
  <c r="DA51" i="1" a="1"/>
  <c r="DA51" i="1" s="1"/>
  <c r="DB51" i="1" a="1"/>
  <c r="DB51" i="1" s="1"/>
  <c r="CN48" i="1"/>
  <c r="CT45" i="1" a="1"/>
  <c r="CT45" i="1" s="1"/>
  <c r="CU45" i="1" s="1"/>
  <c r="AL44" i="1"/>
  <c r="CN30" i="1"/>
  <c r="CT27" i="1" a="1"/>
  <c r="CT27" i="1" s="1"/>
  <c r="CU27" i="1" s="1"/>
  <c r="AL26" i="1"/>
  <c r="AL24" i="1"/>
  <c r="CT20" i="1" a="1"/>
  <c r="CT20" i="1" s="1"/>
  <c r="CU20" i="1" s="1"/>
  <c r="AL18" i="1"/>
  <c r="CZ14" i="1" a="1"/>
  <c r="CZ14" i="1" s="1"/>
  <c r="AL14" i="1"/>
  <c r="CP10" i="1"/>
  <c r="CZ8" i="1" a="1"/>
  <c r="CZ8" i="1" s="1"/>
  <c r="CT51" i="1" a="1"/>
  <c r="CT51" i="1" s="1"/>
  <c r="CU51" i="1" s="1"/>
  <c r="DB49" i="1" a="1"/>
  <c r="DB49" i="1" s="1"/>
  <c r="DR48" i="1" a="1"/>
  <c r="DR48" i="1" s="1"/>
  <c r="CW46" i="1" a="1"/>
  <c r="CW46" i="1" s="1"/>
  <c r="CX46" i="1" s="1"/>
  <c r="DS43" i="1" a="1"/>
  <c r="DS43" i="1" s="1"/>
  <c r="DB42" i="1" a="1"/>
  <c r="DB42" i="1" s="1"/>
  <c r="CZ35" i="1" a="1"/>
  <c r="CZ35" i="1" s="1"/>
  <c r="CW34" i="1" a="1"/>
  <c r="CW34" i="1" s="1"/>
  <c r="CX34" i="1" s="1"/>
  <c r="AL29" i="1"/>
  <c r="CN22" i="1"/>
  <c r="DB6" i="1" a="1"/>
  <c r="DB6" i="1" s="1"/>
  <c r="CW6" i="1" a="1"/>
  <c r="CW6" i="1" s="1"/>
  <c r="CX6" i="1" s="1"/>
  <c r="CN51" i="1"/>
  <c r="AL48" i="1"/>
  <c r="DR46" i="1" a="1"/>
  <c r="DR46" i="1" s="1"/>
  <c r="CO45" i="1"/>
  <c r="DB44" i="1" a="1"/>
  <c r="DB44" i="1" s="1"/>
  <c r="DB33" i="1" a="1"/>
  <c r="DB33" i="1" s="1"/>
  <c r="AL30" i="1"/>
  <c r="CW26" i="1" a="1"/>
  <c r="CW26" i="1" s="1"/>
  <c r="CX26" i="1" s="1"/>
  <c r="CN20" i="1"/>
  <c r="CZ12" i="1" a="1"/>
  <c r="CZ12" i="1" s="1"/>
  <c r="AL12" i="1"/>
  <c r="CP145" i="1"/>
  <c r="DQ145" i="1" a="1"/>
  <c r="DQ145" i="1" s="1"/>
  <c r="DS126" i="1" a="1"/>
  <c r="DS126" i="1" s="1"/>
  <c r="CR126" i="1"/>
  <c r="CP147" i="1"/>
  <c r="DQ147" i="1" a="1"/>
  <c r="DQ147" i="1" s="1"/>
  <c r="DQ134" i="1" a="1"/>
  <c r="DQ134" i="1" s="1"/>
  <c r="CP134" i="1"/>
  <c r="CP137" i="1"/>
  <c r="DQ137" i="1" a="1"/>
  <c r="DQ137" i="1" s="1"/>
  <c r="CQ136" i="1"/>
  <c r="DR136" i="1" a="1"/>
  <c r="DR136" i="1" s="1"/>
  <c r="CP144" i="1"/>
  <c r="DQ144" i="1" a="1"/>
  <c r="DQ144" i="1" s="1"/>
  <c r="CR96" i="1"/>
  <c r="DS96" i="1" a="1"/>
  <c r="DS96" i="1" s="1"/>
  <c r="CP133" i="1"/>
  <c r="DQ133" i="1" a="1"/>
  <c r="DQ133" i="1" s="1"/>
  <c r="AA302" i="1" a="1"/>
  <c r="AA302" i="1" s="1"/>
  <c r="CF301" i="1"/>
  <c r="AR301" i="1"/>
  <c r="L301" i="1"/>
  <c r="P301" i="1" a="1"/>
  <c r="P301" i="1" s="1"/>
  <c r="CC300" i="1"/>
  <c r="I300" i="1"/>
  <c r="AA298" i="1" a="1"/>
  <c r="AA298" i="1" s="1"/>
  <c r="CI297" i="1"/>
  <c r="CO297" i="1" s="1"/>
  <c r="L296" i="1"/>
  <c r="CC295" i="1"/>
  <c r="CK295" i="1"/>
  <c r="CQ295" i="1" s="1"/>
  <c r="AG294" i="1" a="1"/>
  <c r="AG294" i="1" s="1"/>
  <c r="AA294" i="1" a="1"/>
  <c r="AA294" i="1" s="1"/>
  <c r="AF292" i="1" a="1"/>
  <c r="AF292" i="1" s="1"/>
  <c r="CI290" i="1"/>
  <c r="CO290" i="1" s="1"/>
  <c r="AP290" i="1"/>
  <c r="AJ289" i="1"/>
  <c r="L289" i="1"/>
  <c r="AA289" i="1" a="1"/>
  <c r="AA289" i="1" s="1"/>
  <c r="BN288" i="1"/>
  <c r="I288" i="1"/>
  <c r="AH287" i="1" a="1"/>
  <c r="AH287" i="1" s="1"/>
  <c r="CL286" i="1"/>
  <c r="CR286" i="1" s="1"/>
  <c r="AC284" i="1" a="1"/>
  <c r="AC284" i="1" s="1"/>
  <c r="CI283" i="1"/>
  <c r="CO283" i="1" s="1"/>
  <c r="AG282" i="1" a="1"/>
  <c r="AG282" i="1" s="1"/>
  <c r="CE281" i="1"/>
  <c r="CL279" i="1"/>
  <c r="CR279" i="1" s="1"/>
  <c r="CL278" i="1"/>
  <c r="CR278" i="1" s="1"/>
  <c r="K278" i="1"/>
  <c r="AF277" i="1" a="1"/>
  <c r="AF277" i="1" s="1"/>
  <c r="CE277" i="1"/>
  <c r="AF276" i="1" a="1"/>
  <c r="AF276" i="1" s="1"/>
  <c r="L276" i="1"/>
  <c r="CI274" i="1"/>
  <c r="CO274" i="1" s="1"/>
  <c r="CK273" i="1"/>
  <c r="CQ273" i="1" s="1"/>
  <c r="K273" i="1"/>
  <c r="AK272" i="1"/>
  <c r="Y272" i="1" a="1"/>
  <c r="Y272" i="1" s="1"/>
  <c r="CE271" i="1"/>
  <c r="AG271" i="1" a="1"/>
  <c r="AG271" i="1" s="1"/>
  <c r="BM270" i="1"/>
  <c r="V269" i="1" a="1"/>
  <c r="V269" i="1" s="1"/>
  <c r="W269" i="1" s="1"/>
  <c r="CI268" i="1"/>
  <c r="CO268" i="1" s="1"/>
  <c r="I268" i="1"/>
  <c r="CF266" i="1"/>
  <c r="CE266" i="1"/>
  <c r="CK264" i="1"/>
  <c r="CQ264" i="1" s="1"/>
  <c r="AK264" i="1"/>
  <c r="S264" i="1"/>
  <c r="T264" i="1" s="1"/>
  <c r="AP264" i="1"/>
  <c r="BO263" i="1"/>
  <c r="J263" i="1"/>
  <c r="CB262" i="1"/>
  <c r="CJ261" i="1"/>
  <c r="CP261" i="1" s="1"/>
  <c r="CC261" i="1"/>
  <c r="CE260" i="1"/>
  <c r="CF258" i="1"/>
  <c r="AJ258" i="1"/>
  <c r="S258" i="1"/>
  <c r="T258" i="1" s="1"/>
  <c r="CF253" i="1"/>
  <c r="AF253" i="1" a="1"/>
  <c r="AF253" i="1" s="1"/>
  <c r="Y253" i="1" a="1"/>
  <c r="Y253" i="1" s="1"/>
  <c r="CJ251" i="1"/>
  <c r="CP251" i="1" s="1"/>
  <c r="BN251" i="1"/>
  <c r="AE251" i="1" a="1"/>
  <c r="AE251" i="1" s="1"/>
  <c r="CL251" i="1"/>
  <c r="CR251" i="1" s="1"/>
  <c r="CF249" i="1"/>
  <c r="AH249" i="1" a="1"/>
  <c r="AH249" i="1" s="1"/>
  <c r="CK247" i="1"/>
  <c r="CQ247" i="1" s="1"/>
  <c r="K247" i="1"/>
  <c r="AH246" i="1" a="1"/>
  <c r="AH246" i="1" s="1"/>
  <c r="AO245" i="1"/>
  <c r="CL243" i="1"/>
  <c r="CR243" i="1" s="1"/>
  <c r="AJ243" i="1"/>
  <c r="I243" i="1"/>
  <c r="K242" i="1"/>
  <c r="BK241" i="1"/>
  <c r="AC241" i="1" a="1"/>
  <c r="AC241" i="1" s="1"/>
  <c r="AD239" i="1" a="1"/>
  <c r="AD239" i="1" s="1"/>
  <c r="AN238" i="1"/>
  <c r="I237" i="1"/>
  <c r="K236" i="1"/>
  <c r="AE235" i="1" a="1"/>
  <c r="AE235" i="1" s="1"/>
  <c r="AR235" i="1"/>
  <c r="AQ234" i="1"/>
  <c r="AH233" i="1" a="1"/>
  <c r="AH233" i="1" s="1"/>
  <c r="I233" i="1"/>
  <c r="CI231" i="1"/>
  <c r="CO231" i="1" s="1"/>
  <c r="CK231" i="1"/>
  <c r="CQ231" i="1" s="1"/>
  <c r="CI227" i="1"/>
  <c r="CO227" i="1" s="1"/>
  <c r="BL227" i="1"/>
  <c r="AC227" i="1" a="1"/>
  <c r="AC227" i="1" s="1"/>
  <c r="CJ225" i="1"/>
  <c r="CP225" i="1" s="1"/>
  <c r="I224" i="1"/>
  <c r="BM223" i="1"/>
  <c r="J223" i="1"/>
  <c r="AH222" i="1" a="1"/>
  <c r="AH222" i="1" s="1"/>
  <c r="AN222" i="1"/>
  <c r="CH221" i="1"/>
  <c r="CN221" i="1" s="1"/>
  <c r="S221" i="1"/>
  <c r="T221" i="1" s="1"/>
  <c r="CD221" i="1"/>
  <c r="L220" i="1"/>
  <c r="CB220" i="1"/>
  <c r="CI218" i="1"/>
  <c r="CO218" i="1" s="1"/>
  <c r="AF217" i="1" a="1"/>
  <c r="AF217" i="1" s="1"/>
  <c r="CE217" i="1"/>
  <c r="AH216" i="1" a="1"/>
  <c r="AH216" i="1" s="1"/>
  <c r="I216" i="1"/>
  <c r="AG214" i="1" a="1"/>
  <c r="AG214" i="1" s="1"/>
  <c r="CF214" i="1"/>
  <c r="AK213" i="1"/>
  <c r="L213" i="1"/>
  <c r="AA213" i="1" a="1"/>
  <c r="AA213" i="1" s="1"/>
  <c r="J212" i="1"/>
  <c r="I211" i="1"/>
  <c r="BK210" i="1"/>
  <c r="AA210" i="1" a="1"/>
  <c r="AA210" i="1" s="1"/>
  <c r="AF209" i="1" a="1"/>
  <c r="AF209" i="1" s="1"/>
  <c r="J208" i="1"/>
  <c r="AD207" i="1" a="1"/>
  <c r="AD207" i="1" s="1"/>
  <c r="AR205" i="1"/>
  <c r="CC204" i="1"/>
  <c r="AG203" i="1" a="1"/>
  <c r="AG203" i="1" s="1"/>
  <c r="S200" i="1"/>
  <c r="T200" i="1" s="1"/>
  <c r="V200" i="1" a="1"/>
  <c r="V200" i="1" s="1"/>
  <c r="W200" i="1" s="1"/>
  <c r="K199" i="1"/>
  <c r="AG198" i="1" a="1"/>
  <c r="AG198" i="1" s="1"/>
  <c r="AP197" i="1"/>
  <c r="N196" i="1"/>
  <c r="CI194" i="1"/>
  <c r="CO194" i="1" s="1"/>
  <c r="BM194" i="1"/>
  <c r="J194" i="1"/>
  <c r="AK192" i="1"/>
  <c r="CB191" i="1"/>
  <c r="AN191" i="1"/>
  <c r="AK191" i="1"/>
  <c r="CE190" i="1"/>
  <c r="CD189" i="1"/>
  <c r="AE189" i="1" a="1"/>
  <c r="AE189" i="1" s="1"/>
  <c r="CB188" i="1"/>
  <c r="CK187" i="1"/>
  <c r="CQ187" i="1" s="1"/>
  <c r="AG187" i="1" a="1"/>
  <c r="AG187" i="1" s="1"/>
  <c r="CL186" i="1"/>
  <c r="CR186" i="1" s="1"/>
  <c r="AA186" i="1" a="1"/>
  <c r="AA186" i="1" s="1"/>
  <c r="CD186" i="1"/>
  <c r="CK185" i="1"/>
  <c r="CQ185" i="1" s="1"/>
  <c r="K185" i="1"/>
  <c r="CK183" i="1"/>
  <c r="CQ183" i="1" s="1"/>
  <c r="CH181" i="1"/>
  <c r="CN181" i="1" s="1"/>
  <c r="CH180" i="1"/>
  <c r="CN180" i="1" s="1"/>
  <c r="BM180" i="1"/>
  <c r="AC180" i="1" a="1"/>
  <c r="AC180" i="1" s="1"/>
  <c r="AQ180" i="1"/>
  <c r="CL179" i="1"/>
  <c r="CR179" i="1" s="1"/>
  <c r="AC179" i="1" a="1"/>
  <c r="AC179" i="1" s="1"/>
  <c r="BK179" i="1"/>
  <c r="CI178" i="1"/>
  <c r="CO178" i="1" s="1"/>
  <c r="J178" i="1"/>
  <c r="L177" i="1"/>
  <c r="AC176" i="1" a="1"/>
  <c r="AC176" i="1" s="1"/>
  <c r="CH175" i="1"/>
  <c r="AG175" i="1" a="1"/>
  <c r="AG175" i="1" s="1"/>
  <c r="CL174" i="1"/>
  <c r="CR174" i="1" s="1"/>
  <c r="Z173" i="1" a="1"/>
  <c r="Z173" i="1" s="1"/>
  <c r="CC172" i="1"/>
  <c r="J172" i="1"/>
  <c r="CE171" i="1"/>
  <c r="CI170" i="1"/>
  <c r="CO170" i="1" s="1"/>
  <c r="AK170" i="1"/>
  <c r="K170" i="1"/>
  <c r="CC169" i="1"/>
  <c r="AJ169" i="1"/>
  <c r="CD168" i="1"/>
  <c r="AF168" i="1" a="1"/>
  <c r="AF168" i="1" s="1"/>
  <c r="CD166" i="1"/>
  <c r="AE166" i="1" a="1"/>
  <c r="AE166" i="1" s="1"/>
  <c r="CF165" i="1"/>
  <c r="AF165" i="1" a="1"/>
  <c r="AF165" i="1" s="1"/>
  <c r="CI164" i="1"/>
  <c r="CO164" i="1" s="1"/>
  <c r="BN164" i="1"/>
  <c r="AF164" i="1" a="1"/>
  <c r="AF164" i="1" s="1"/>
  <c r="CK162" i="1"/>
  <c r="CQ162" i="1" s="1"/>
  <c r="AD162" i="1" a="1"/>
  <c r="AD162" i="1" s="1"/>
  <c r="Z162" i="1" a="1"/>
  <c r="Z162" i="1" s="1"/>
  <c r="CF160" i="1"/>
  <c r="AO160" i="1"/>
  <c r="AD159" i="1" a="1"/>
  <c r="AD159" i="1" s="1"/>
  <c r="CC159" i="1"/>
  <c r="CD158" i="1"/>
  <c r="CK157" i="1"/>
  <c r="CQ157" i="1" s="1"/>
  <c r="L157" i="1"/>
  <c r="N156" i="1"/>
  <c r="BO155" i="1"/>
  <c r="AJ155" i="1"/>
  <c r="CC153" i="1"/>
  <c r="AJ153" i="1"/>
  <c r="N153" i="1"/>
  <c r="AK153" i="1"/>
  <c r="CF151" i="1"/>
  <c r="AH151" i="1" a="1"/>
  <c r="AH151" i="1" s="1"/>
  <c r="J151" i="1"/>
  <c r="CF150" i="1"/>
  <c r="DO149" i="1" a="1"/>
  <c r="DO149" i="1" s="1"/>
  <c r="CJ149" i="1"/>
  <c r="AK149" i="1"/>
  <c r="AL149" i="1" s="1"/>
  <c r="Z149" i="1" a="1"/>
  <c r="Z149" i="1" s="1"/>
  <c r="AE147" i="1" a="1"/>
  <c r="AE147" i="1" s="1"/>
  <c r="CH147" i="1"/>
  <c r="CJ146" i="1"/>
  <c r="BK145" i="1"/>
  <c r="AD145" i="1" a="1"/>
  <c r="AD145" i="1" s="1"/>
  <c r="CD144" i="1"/>
  <c r="AK144" i="1"/>
  <c r="V144" i="1" a="1"/>
  <c r="V144" i="1" s="1"/>
  <c r="W144" i="1" s="1"/>
  <c r="CK143" i="1"/>
  <c r="DR143" i="1" s="1" a="1"/>
  <c r="DR143" i="1" s="1"/>
  <c r="BN143" i="1"/>
  <c r="AF143" i="1" a="1"/>
  <c r="AF143" i="1" s="1"/>
  <c r="S143" i="1"/>
  <c r="T143" i="1" s="1"/>
  <c r="CD141" i="1"/>
  <c r="AQ141" i="1"/>
  <c r="I141" i="1"/>
  <c r="DQ140" i="1" a="1"/>
  <c r="DQ140" i="1" s="1"/>
  <c r="CH140" i="1"/>
  <c r="I140" i="1"/>
  <c r="DQ139" i="1" a="1"/>
  <c r="DQ139" i="1" s="1"/>
  <c r="CH139" i="1"/>
  <c r="AD139" i="1" a="1"/>
  <c r="AD139" i="1" s="1"/>
  <c r="I139" i="1"/>
  <c r="DQ138" i="1" a="1"/>
  <c r="DQ138" i="1" s="1"/>
  <c r="CH138" i="1"/>
  <c r="AD138" i="1" a="1"/>
  <c r="AD138" i="1" s="1"/>
  <c r="I138" i="1"/>
  <c r="BN137" i="1"/>
  <c r="AE136" i="1" a="1"/>
  <c r="AE136" i="1" s="1"/>
  <c r="CN135" i="1"/>
  <c r="CD134" i="1"/>
  <c r="AK134" i="1"/>
  <c r="Y134" i="1" a="1"/>
  <c r="Y134" i="1" s="1"/>
  <c r="AN134" i="1"/>
  <c r="DO133" i="1" a="1"/>
  <c r="DO133" i="1" s="1"/>
  <c r="CF133" i="1"/>
  <c r="AQ133" i="1"/>
  <c r="Y133" i="1" a="1"/>
  <c r="Y133" i="1" s="1"/>
  <c r="AN133" i="1"/>
  <c r="CJ132" i="1"/>
  <c r="AE132" i="1" a="1"/>
  <c r="AE132" i="1" s="1"/>
  <c r="L132" i="1"/>
  <c r="CB132" i="1"/>
  <c r="AA131" i="1" a="1"/>
  <c r="AA131" i="1" s="1"/>
  <c r="CK127" i="1"/>
  <c r="BO127" i="1"/>
  <c r="AF127" i="1" a="1"/>
  <c r="AF127" i="1" s="1"/>
  <c r="AC126" i="1" a="1"/>
  <c r="AC126" i="1" s="1"/>
  <c r="AR126" i="1"/>
  <c r="CE125" i="1"/>
  <c r="CK124" i="1"/>
  <c r="BO124" i="1"/>
  <c r="CL123" i="1"/>
  <c r="CE122" i="1"/>
  <c r="CJ121" i="1"/>
  <c r="CP121" i="1" s="1"/>
  <c r="BM121" i="1"/>
  <c r="AC121" i="1" a="1"/>
  <c r="AC121" i="1" s="1"/>
  <c r="CE118" i="1"/>
  <c r="Z118" i="1" a="1"/>
  <c r="Z118" i="1" s="1"/>
  <c r="CD117" i="1"/>
  <c r="AN117" i="1"/>
  <c r="L117" i="1"/>
  <c r="CJ116" i="1"/>
  <c r="BK116" i="1"/>
  <c r="L116" i="1"/>
  <c r="DS115" i="1" a="1"/>
  <c r="DS115" i="1" s="1"/>
  <c r="CK115" i="1"/>
  <c r="AC115" i="1" a="1"/>
  <c r="AC115" i="1" s="1"/>
  <c r="AA115" i="1" a="1"/>
  <c r="AA115" i="1" s="1"/>
  <c r="DO113" i="1" a="1"/>
  <c r="DO113" i="1" s="1"/>
  <c r="CC113" i="1"/>
  <c r="AE113" i="1" a="1"/>
  <c r="AE113" i="1" s="1"/>
  <c r="AJ113" i="1"/>
  <c r="CB111" i="1"/>
  <c r="CP110" i="1"/>
  <c r="BN110" i="1"/>
  <c r="N110" i="1"/>
  <c r="CC109" i="1"/>
  <c r="AP109" i="1"/>
  <c r="L109" i="1"/>
  <c r="AA109" i="1" a="1"/>
  <c r="AA109" i="1" s="1"/>
  <c r="AA108" i="1" a="1"/>
  <c r="AA108" i="1" s="1"/>
  <c r="Y107" i="1" a="1"/>
  <c r="Y107" i="1" s="1"/>
  <c r="CK105" i="1"/>
  <c r="N105" i="1"/>
  <c r="S105" i="1"/>
  <c r="T105" i="1" s="1"/>
  <c r="CK104" i="1"/>
  <c r="K104" i="1"/>
  <c r="CL103" i="1"/>
  <c r="M102" i="1"/>
  <c r="AH100" i="1" a="1"/>
  <c r="AH100" i="1" s="1"/>
  <c r="I100" i="1"/>
  <c r="AE98" i="1" a="1"/>
  <c r="AE98" i="1" s="1"/>
  <c r="CI97" i="1"/>
  <c r="CC96" i="1"/>
  <c r="AH96" i="1" a="1"/>
  <c r="AH96" i="1" s="1"/>
  <c r="CE94" i="1"/>
  <c r="I94" i="1"/>
  <c r="J91" i="1"/>
  <c r="CL90" i="1"/>
  <c r="AJ301" i="1"/>
  <c r="K301" i="1"/>
  <c r="BL299" i="1"/>
  <c r="CK296" i="1"/>
  <c r="CQ296" i="1" s="1"/>
  <c r="AF296" i="1" a="1"/>
  <c r="AF296" i="1" s="1"/>
  <c r="J296" i="1"/>
  <c r="L294" i="1"/>
  <c r="Y292" i="1" a="1"/>
  <c r="Y292" i="1" s="1"/>
  <c r="CJ291" i="1"/>
  <c r="CP291" i="1" s="1"/>
  <c r="AO290" i="1"/>
  <c r="L290" i="1"/>
  <c r="CD289" i="1"/>
  <c r="BK285" i="1"/>
  <c r="AQ284" i="1"/>
  <c r="Z280" i="1" a="1"/>
  <c r="Z280" i="1" s="1"/>
  <c r="BL278" i="1"/>
  <c r="CK276" i="1"/>
  <c r="CQ276" i="1" s="1"/>
  <c r="J276" i="1"/>
  <c r="CJ273" i="1"/>
  <c r="CP273" i="1" s="1"/>
  <c r="AH272" i="1" a="1"/>
  <c r="AH272" i="1" s="1"/>
  <c r="S272" i="1"/>
  <c r="T272" i="1" s="1"/>
  <c r="N269" i="1"/>
  <c r="BN268" i="1"/>
  <c r="AD268" i="1" a="1"/>
  <c r="AD268" i="1" s="1"/>
  <c r="CL267" i="1"/>
  <c r="CR267" i="1" s="1"/>
  <c r="S267" i="1"/>
  <c r="T267" i="1" s="1"/>
  <c r="BK265" i="1"/>
  <c r="CI264" i="1"/>
  <c r="CO264" i="1" s="1"/>
  <c r="AO263" i="1"/>
  <c r="AG262" i="1" a="1"/>
  <c r="AG262" i="1" s="1"/>
  <c r="AP261" i="1"/>
  <c r="CD258" i="1"/>
  <c r="BL251" i="1"/>
  <c r="AP251" i="1"/>
  <c r="AH244" i="1" a="1"/>
  <c r="AH244" i="1" s="1"/>
  <c r="CE230" i="1"/>
  <c r="CC227" i="1"/>
  <c r="AQ226" i="1"/>
  <c r="CH225" i="1"/>
  <c r="K225" i="1"/>
  <c r="I223" i="1"/>
  <c r="AG222" i="1" a="1"/>
  <c r="AG222" i="1" s="1"/>
  <c r="CF221" i="1"/>
  <c r="K220" i="1"/>
  <c r="V215" i="1" a="1"/>
  <c r="V215" i="1" s="1"/>
  <c r="W215" i="1" s="1"/>
  <c r="K213" i="1"/>
  <c r="V209" i="1" a="1"/>
  <c r="V209" i="1" s="1"/>
  <c r="W209" i="1" s="1"/>
  <c r="BM207" i="1"/>
  <c r="BM200" i="1"/>
  <c r="AE196" i="1" a="1"/>
  <c r="AE196" i="1" s="1"/>
  <c r="J196" i="1"/>
  <c r="BL194" i="1"/>
  <c r="AN193" i="1"/>
  <c r="AK190" i="1"/>
  <c r="BO185" i="1"/>
  <c r="I185" i="1"/>
  <c r="V179" i="1" a="1"/>
  <c r="V179" i="1" s="1"/>
  <c r="W179" i="1" s="1"/>
  <c r="CE175" i="1"/>
  <c r="AF167" i="1" a="1"/>
  <c r="AF167" i="1" s="1"/>
  <c r="BL164" i="1"/>
  <c r="BN162" i="1"/>
  <c r="AJ160" i="1"/>
  <c r="P159" i="1" a="1"/>
  <c r="P159" i="1" s="1"/>
  <c r="Z154" i="1" a="1"/>
  <c r="Z154" i="1" s="1"/>
  <c r="AH150" i="1" a="1"/>
  <c r="AH150" i="1" s="1"/>
  <c r="CH145" i="1"/>
  <c r="I137" i="1"/>
  <c r="BN136" i="1"/>
  <c r="AD136" i="1" a="1"/>
  <c r="AD136" i="1" s="1"/>
  <c r="J136" i="1"/>
  <c r="CK135" i="1"/>
  <c r="P135" i="1" a="1"/>
  <c r="P135" i="1" s="1"/>
  <c r="Q135" i="1" s="1"/>
  <c r="AJ134" i="1"/>
  <c r="S134" i="1"/>
  <c r="T134" i="1" s="1"/>
  <c r="AK133" i="1"/>
  <c r="S133" i="1"/>
  <c r="T133" i="1" s="1"/>
  <c r="BN132" i="1"/>
  <c r="V132" i="1" a="1"/>
  <c r="V132" i="1" s="1"/>
  <c r="W132" i="1" s="1"/>
  <c r="DO129" i="1" a="1"/>
  <c r="DO129" i="1" s="1"/>
  <c r="I129" i="1"/>
  <c r="BL127" i="1"/>
  <c r="CE121" i="1"/>
  <c r="CK119" i="1"/>
  <c r="BK119" i="1"/>
  <c r="AR118" i="1"/>
  <c r="V118" i="1" a="1"/>
  <c r="V118" i="1" s="1"/>
  <c r="W118" i="1" s="1"/>
  <c r="AK117" i="1"/>
  <c r="J117" i="1"/>
  <c r="DR116" i="1" a="1"/>
  <c r="DR116" i="1" s="1"/>
  <c r="I116" i="1"/>
  <c r="CJ115" i="1"/>
  <c r="BO115" i="1"/>
  <c r="Z115" i="1" a="1"/>
  <c r="Z115" i="1" s="1"/>
  <c r="I114" i="1"/>
  <c r="AN109" i="1"/>
  <c r="BK108" i="1"/>
  <c r="BM107" i="1"/>
  <c r="BM106" i="1"/>
  <c r="BN105" i="1"/>
  <c r="BN102" i="1"/>
  <c r="I102" i="1"/>
  <c r="CJ93" i="1"/>
  <c r="CP93" i="1" s="1"/>
  <c r="I91" i="1"/>
  <c r="N302" i="1"/>
  <c r="CE301" i="1"/>
  <c r="CK299" i="1"/>
  <c r="CQ299" i="1" s="1"/>
  <c r="AA299" i="1" a="1"/>
  <c r="AA299" i="1" s="1"/>
  <c r="N298" i="1"/>
  <c r="V293" i="1" a="1"/>
  <c r="V293" i="1" s="1"/>
  <c r="W293" i="1" s="1"/>
  <c r="K289" i="1"/>
  <c r="CL287" i="1"/>
  <c r="CR287" i="1" s="1"/>
  <c r="CH286" i="1"/>
  <c r="AK284" i="1"/>
  <c r="CD283" i="1"/>
  <c r="CF281" i="1"/>
  <c r="AH281" i="1" a="1"/>
  <c r="AH281" i="1" s="1"/>
  <c r="AC280" i="1" a="1"/>
  <c r="AC280" i="1" s="1"/>
  <c r="BN279" i="1"/>
  <c r="CF274" i="1"/>
  <c r="V272" i="1" a="1"/>
  <c r="V272" i="1" s="1"/>
  <c r="W272" i="1" s="1"/>
  <c r="AP270" i="1"/>
  <c r="CH268" i="1"/>
  <c r="CN268" i="1" s="1"/>
  <c r="CJ265" i="1"/>
  <c r="CP265" i="1" s="1"/>
  <c r="N265" i="1"/>
  <c r="AJ264" i="1"/>
  <c r="L264" i="1"/>
  <c r="L261" i="1"/>
  <c r="L258" i="1"/>
  <c r="AE255" i="1" a="1"/>
  <c r="AE255" i="1" s="1"/>
  <c r="S255" i="1"/>
  <c r="T255" i="1" s="1"/>
  <c r="AN245" i="1"/>
  <c r="CH242" i="1"/>
  <c r="CN242" i="1" s="1"/>
  <c r="N241" i="1"/>
  <c r="BO231" i="1"/>
  <c r="AQ230" i="1"/>
  <c r="AO225" i="1"/>
  <c r="AK221" i="1"/>
  <c r="N221" i="1"/>
  <c r="BL215" i="1"/>
  <c r="CI213" i="1"/>
  <c r="CO213" i="1" s="1"/>
  <c r="AE209" i="1" a="1"/>
  <c r="AE209" i="1" s="1"/>
  <c r="K209" i="1"/>
  <c r="I208" i="1"/>
  <c r="AO207" i="1"/>
  <c r="I201" i="1"/>
  <c r="I194" i="1"/>
  <c r="CC190" i="1"/>
  <c r="Z190" i="1" a="1"/>
  <c r="Z190" i="1" s="1"/>
  <c r="Y184" i="1" a="1"/>
  <c r="Y184" i="1" s="1"/>
  <c r="CF181" i="1"/>
  <c r="AJ181" i="1"/>
  <c r="BL179" i="1"/>
  <c r="AK174" i="1"/>
  <c r="I172" i="1"/>
  <c r="I164" i="1"/>
  <c r="V160" i="1" a="1"/>
  <c r="V160" i="1" s="1"/>
  <c r="W160" i="1" s="1"/>
  <c r="AR157" i="1"/>
  <c r="I157" i="1"/>
  <c r="AN148" i="1"/>
  <c r="Z145" i="1" a="1"/>
  <c r="Z145" i="1" s="1"/>
  <c r="J145" i="1"/>
  <c r="BK143" i="1"/>
  <c r="CH137" i="1"/>
  <c r="CK303" i="1"/>
  <c r="CQ303" i="1" s="1"/>
  <c r="BL303" i="1"/>
  <c r="AA303" i="1" a="1"/>
  <c r="AA303" i="1" s="1"/>
  <c r="M302" i="1"/>
  <c r="CI299" i="1"/>
  <c r="M299" i="1"/>
  <c r="AP299" i="1"/>
  <c r="M298" i="1"/>
  <c r="BO296" i="1"/>
  <c r="AD296" i="1" a="1"/>
  <c r="AD296" i="1" s="1"/>
  <c r="AF295" i="1" a="1"/>
  <c r="AF295" i="1" s="1"/>
  <c r="CH294" i="1"/>
  <c r="CN294" i="1" s="1"/>
  <c r="BM294" i="1"/>
  <c r="AF294" i="1" a="1"/>
  <c r="AF294" i="1" s="1"/>
  <c r="CI292" i="1"/>
  <c r="CO292" i="1" s="1"/>
  <c r="BL292" i="1"/>
  <c r="AC292" i="1" a="1"/>
  <c r="AC292" i="1" s="1"/>
  <c r="CI291" i="1"/>
  <c r="CO291" i="1" s="1"/>
  <c r="BN291" i="1"/>
  <c r="K290" i="1"/>
  <c r="J289" i="1"/>
  <c r="CB288" i="1"/>
  <c r="AQ288" i="1"/>
  <c r="Y288" i="1" a="1"/>
  <c r="Y288" i="1" s="1"/>
  <c r="BL287" i="1"/>
  <c r="CF286" i="1"/>
  <c r="CK285" i="1"/>
  <c r="CQ285" i="1" s="1"/>
  <c r="L285" i="1"/>
  <c r="AJ284" i="1"/>
  <c r="Z284" i="1" a="1"/>
  <c r="Z284" i="1" s="1"/>
  <c r="CB283" i="1"/>
  <c r="AD283" i="1" a="1"/>
  <c r="AD283" i="1" s="1"/>
  <c r="CD281" i="1"/>
  <c r="CH280" i="1"/>
  <c r="CN280" i="1" s="1"/>
  <c r="Y280" i="1" a="1"/>
  <c r="Y280" i="1" s="1"/>
  <c r="CE279" i="1"/>
  <c r="CI278" i="1"/>
  <c r="CO278" i="1" s="1"/>
  <c r="CI276" i="1"/>
  <c r="CO276" i="1" s="1"/>
  <c r="BN276" i="1"/>
  <c r="S275" i="1"/>
  <c r="T275" i="1" s="1"/>
  <c r="CC274" i="1"/>
  <c r="AG274" i="1" a="1"/>
  <c r="AG274" i="1" s="1"/>
  <c r="AP272" i="1"/>
  <c r="CF270" i="1"/>
  <c r="CJ269" i="1"/>
  <c r="CP269" i="1" s="1"/>
  <c r="BK269" i="1"/>
  <c r="L269" i="1"/>
  <c r="CF268" i="1"/>
  <c r="AC268" i="1" a="1"/>
  <c r="AC268" i="1" s="1"/>
  <c r="CK267" i="1"/>
  <c r="CQ267" i="1" s="1"/>
  <c r="M267" i="1"/>
  <c r="AG266" i="1" a="1"/>
  <c r="AG266" i="1" s="1"/>
  <c r="CH265" i="1"/>
  <c r="L265" i="1"/>
  <c r="AP265" i="1"/>
  <c r="CH264" i="1"/>
  <c r="CN264" i="1" s="1"/>
  <c r="CC263" i="1"/>
  <c r="AR263" i="1"/>
  <c r="CL262" i="1"/>
  <c r="CR262" i="1" s="1"/>
  <c r="N262" i="1"/>
  <c r="AR262" i="1"/>
  <c r="AN261" i="1"/>
  <c r="K261" i="1"/>
  <c r="CC260" i="1"/>
  <c r="CJ259" i="1"/>
  <c r="CP259" i="1" s="1"/>
  <c r="Z252" i="1" a="1"/>
  <c r="Z252" i="1" s="1"/>
  <c r="CD251" i="1"/>
  <c r="CJ250" i="1"/>
  <c r="CP250" i="1" s="1"/>
  <c r="AF249" i="1" a="1"/>
  <c r="AF249" i="1" s="1"/>
  <c r="CC247" i="1"/>
  <c r="CF247" i="1"/>
  <c r="CF246" i="1"/>
  <c r="CI244" i="1"/>
  <c r="CO244" i="1" s="1"/>
  <c r="AF244" i="1" a="1"/>
  <c r="AF244" i="1" s="1"/>
  <c r="CJ243" i="1"/>
  <c r="CP243" i="1" s="1"/>
  <c r="CD242" i="1"/>
  <c r="CK241" i="1"/>
  <c r="CQ241" i="1" s="1"/>
  <c r="M241" i="1"/>
  <c r="CD240" i="1"/>
  <c r="CI237" i="1"/>
  <c r="CO237" i="1" s="1"/>
  <c r="BL237" i="1"/>
  <c r="CE237" i="1"/>
  <c r="CL236" i="1"/>
  <c r="CR236" i="1" s="1"/>
  <c r="CL235" i="1"/>
  <c r="CR235" i="1" s="1"/>
  <c r="BN234" i="1"/>
  <c r="CF233" i="1"/>
  <c r="CE233" i="1"/>
  <c r="CK232" i="1"/>
  <c r="CQ232" i="1" s="1"/>
  <c r="CD231" i="1"/>
  <c r="AD231" i="1" a="1"/>
  <c r="AD231" i="1" s="1"/>
  <c r="AG230" i="1" a="1"/>
  <c r="AG230" i="1" s="1"/>
  <c r="AP230" i="1"/>
  <c r="CB227" i="1"/>
  <c r="AK227" i="1"/>
  <c r="BO226" i="1"/>
  <c r="AN225" i="1"/>
  <c r="J225" i="1"/>
  <c r="BO224" i="1"/>
  <c r="S224" i="1"/>
  <c r="T224" i="1" s="1"/>
  <c r="CE223" i="1"/>
  <c r="CC222" i="1"/>
  <c r="M221" i="1"/>
  <c r="V218" i="1" a="1"/>
  <c r="V218" i="1" s="1"/>
  <c r="W218" i="1" s="1"/>
  <c r="N217" i="1"/>
  <c r="CC217" i="1"/>
  <c r="Y216" i="1" a="1"/>
  <c r="Y216" i="1" s="1"/>
  <c r="CI215" i="1"/>
  <c r="CO215" i="1" s="1"/>
  <c r="J213" i="1"/>
  <c r="CE211" i="1"/>
  <c r="CK210" i="1"/>
  <c r="CQ210" i="1" s="1"/>
  <c r="AN210" i="1"/>
  <c r="AA209" i="1" a="1"/>
  <c r="AA209" i="1" s="1"/>
  <c r="CJ207" i="1"/>
  <c r="CP207" i="1" s="1"/>
  <c r="BL207" i="1"/>
  <c r="CJ206" i="1"/>
  <c r="CP206" i="1" s="1"/>
  <c r="CJ205" i="1"/>
  <c r="CP205" i="1" s="1"/>
  <c r="L205" i="1"/>
  <c r="N203" i="1"/>
  <c r="Z203" i="1" a="1"/>
  <c r="Z203" i="1" s="1"/>
  <c r="K202" i="1"/>
  <c r="AE201" i="1" a="1"/>
  <c r="AE201" i="1" s="1"/>
  <c r="CL200" i="1"/>
  <c r="CR200" i="1" s="1"/>
  <c r="BK200" i="1"/>
  <c r="K200" i="1"/>
  <c r="CL198" i="1"/>
  <c r="CR198" i="1" s="1"/>
  <c r="CK197" i="1"/>
  <c r="CQ197" i="1" s="1"/>
  <c r="BK196" i="1"/>
  <c r="CC194" i="1"/>
  <c r="AH193" i="1" a="1"/>
  <c r="AH193" i="1" s="1"/>
  <c r="CK193" i="1"/>
  <c r="CQ193" i="1" s="1"/>
  <c r="AJ190" i="1"/>
  <c r="K190" i="1"/>
  <c r="CE187" i="1"/>
  <c r="BO187" i="1"/>
  <c r="CI186" i="1"/>
  <c r="CO186" i="1" s="1"/>
  <c r="N186" i="1"/>
  <c r="CL185" i="1"/>
  <c r="CR185" i="1" s="1"/>
  <c r="CE183" i="1"/>
  <c r="CJ182" i="1"/>
  <c r="CP182" i="1" s="1"/>
  <c r="AK182" i="1"/>
  <c r="M182" i="1"/>
  <c r="S182" i="1"/>
  <c r="T182" i="1" s="1"/>
  <c r="CE181" i="1"/>
  <c r="CC180" i="1"/>
  <c r="AP180" i="1"/>
  <c r="Z180" i="1" a="1"/>
  <c r="Z180" i="1" s="1"/>
  <c r="M179" i="1"/>
  <c r="AF178" i="1" a="1"/>
  <c r="AF178" i="1" s="1"/>
  <c r="I177" i="1"/>
  <c r="CB175" i="1"/>
  <c r="CI174" i="1"/>
  <c r="CO174" i="1" s="1"/>
  <c r="J174" i="1"/>
  <c r="AE172" i="1" a="1"/>
  <c r="AE172" i="1" s="1"/>
  <c r="M171" i="1"/>
  <c r="CC170" i="1"/>
  <c r="Z169" i="1" a="1"/>
  <c r="Z169" i="1" s="1"/>
  <c r="AA169" i="1" a="1"/>
  <c r="AA169" i="1" s="1"/>
  <c r="AD168" i="1" a="1"/>
  <c r="AD168" i="1" s="1"/>
  <c r="AD167" i="1" a="1"/>
  <c r="AD167" i="1" s="1"/>
  <c r="AD164" i="1" a="1"/>
  <c r="AD164" i="1" s="1"/>
  <c r="CI163" i="1"/>
  <c r="CO163" i="1" s="1"/>
  <c r="CF162" i="1"/>
  <c r="AR162" i="1"/>
  <c r="AA161" i="1" a="1"/>
  <c r="AA161" i="1" s="1"/>
  <c r="AH160" i="1" a="1"/>
  <c r="AH160" i="1" s="1"/>
  <c r="L160" i="1"/>
  <c r="BN159" i="1"/>
  <c r="CC157" i="1"/>
  <c r="AN157" i="1"/>
  <c r="K156" i="1"/>
  <c r="M154" i="1"/>
  <c r="AR154" i="1"/>
  <c r="J153" i="1"/>
  <c r="V152" i="1" a="1"/>
  <c r="V152" i="1" s="1"/>
  <c r="W152" i="1" s="1"/>
  <c r="BK151" i="1"/>
  <c r="CF149" i="1"/>
  <c r="AH149" i="1" a="1"/>
  <c r="AH149" i="1" s="1"/>
  <c r="K148" i="1"/>
  <c r="AE146" i="1" a="1"/>
  <c r="AE146" i="1" s="1"/>
  <c r="AR145" i="1"/>
  <c r="V145" i="1" a="1"/>
  <c r="V145" i="1" s="1"/>
  <c r="W145" i="1" s="1"/>
  <c r="K144" i="1"/>
  <c r="DQ143" i="1" a="1"/>
  <c r="DQ143" i="1" s="1"/>
  <c r="CH143" i="1"/>
  <c r="AK141" i="1"/>
  <c r="Y141" i="1" a="1"/>
  <c r="Y141" i="1" s="1"/>
  <c r="CD140" i="1"/>
  <c r="AK140" i="1"/>
  <c r="Y140" i="1" a="1"/>
  <c r="Y140" i="1" s="1"/>
  <c r="CD139" i="1"/>
  <c r="AK139" i="1"/>
  <c r="Y139" i="1" a="1"/>
  <c r="Y139" i="1" s="1"/>
  <c r="CD138" i="1"/>
  <c r="AK138" i="1"/>
  <c r="Y138" i="1" a="1"/>
  <c r="Y138" i="1" s="1"/>
  <c r="V138" i="1" a="1"/>
  <c r="V138" i="1" s="1"/>
  <c r="W138" i="1" s="1"/>
  <c r="AQ137" i="1"/>
  <c r="Z137" i="1" a="1"/>
  <c r="Z137" i="1" s="1"/>
  <c r="DQ136" i="1" a="1"/>
  <c r="DQ136" i="1" s="1"/>
  <c r="CH136" i="1"/>
  <c r="I136" i="1"/>
  <c r="CJ135" i="1"/>
  <c r="BN135" i="1"/>
  <c r="AE135" i="1" a="1"/>
  <c r="AE135" i="1" s="1"/>
  <c r="CB135" i="1"/>
  <c r="AH134" i="1" a="1"/>
  <c r="AH134" i="1" s="1"/>
  <c r="AJ133" i="1"/>
  <c r="CF132" i="1"/>
  <c r="J132" i="1"/>
  <c r="CB129" i="1"/>
  <c r="AJ129" i="1"/>
  <c r="CK128" i="1"/>
  <c r="DR128" i="1" s="1" a="1"/>
  <c r="DR128" i="1" s="1"/>
  <c r="M128" i="1"/>
  <c r="BK127" i="1"/>
  <c r="AC125" i="1" a="1"/>
  <c r="AC125" i="1" s="1"/>
  <c r="AC124" i="1" a="1"/>
  <c r="AC124" i="1" s="1"/>
  <c r="AE123" i="1" a="1"/>
  <c r="AE123" i="1" s="1"/>
  <c r="CD121" i="1"/>
  <c r="AN121" i="1"/>
  <c r="CJ119" i="1"/>
  <c r="AQ119" i="1"/>
  <c r="AN118" i="1"/>
  <c r="CE116" i="1"/>
  <c r="CH115" i="1"/>
  <c r="CN115" i="1" s="1"/>
  <c r="L115" i="1"/>
  <c r="CJ114" i="1"/>
  <c r="BO114" i="1"/>
  <c r="AC113" i="1" a="1"/>
  <c r="AC113" i="1" s="1"/>
  <c r="K110" i="1"/>
  <c r="AH109" i="1" a="1"/>
  <c r="AH109" i="1" s="1"/>
  <c r="J109" i="1"/>
  <c r="K108" i="1"/>
  <c r="CB107" i="1"/>
  <c r="CI106" i="1"/>
  <c r="J106" i="1"/>
  <c r="CI105" i="1"/>
  <c r="J105" i="1"/>
  <c r="CI104" i="1"/>
  <c r="AK104" i="1"/>
  <c r="CF104" i="1"/>
  <c r="CJ103" i="1"/>
  <c r="K103" i="1"/>
  <c r="CH101" i="1"/>
  <c r="DO101" i="1" s="1" a="1"/>
  <c r="DO101" i="1" s="1"/>
  <c r="AF100" i="1" a="1"/>
  <c r="AF100" i="1" s="1"/>
  <c r="CE100" i="1"/>
  <c r="CB97" i="1"/>
  <c r="AG96" i="1" a="1"/>
  <c r="AG96" i="1" s="1"/>
  <c r="AD94" i="1" a="1"/>
  <c r="AD94" i="1" s="1"/>
  <c r="CH93" i="1"/>
  <c r="AR93" i="1"/>
  <c r="L93" i="1"/>
  <c r="BO91" i="1"/>
  <c r="AD91" i="1" a="1"/>
  <c r="AD91" i="1" s="1"/>
  <c r="CF91" i="1"/>
  <c r="CI303" i="1"/>
  <c r="AP303" i="1"/>
  <c r="Z300" i="1" a="1"/>
  <c r="Z300" i="1" s="1"/>
  <c r="CH299" i="1"/>
  <c r="CL295" i="1"/>
  <c r="CR295" i="1" s="1"/>
  <c r="BL294" i="1"/>
  <c r="AE294" i="1" a="1"/>
  <c r="AE294" i="1" s="1"/>
  <c r="BN293" i="1"/>
  <c r="CH292" i="1"/>
  <c r="CN292" i="1" s="1"/>
  <c r="BM291" i="1"/>
  <c r="AK288" i="1"/>
  <c r="AJ285" i="1"/>
  <c r="K285" i="1"/>
  <c r="CB284" i="1"/>
  <c r="V284" i="1" a="1"/>
  <c r="V284" i="1" s="1"/>
  <c r="W284" i="1" s="1"/>
  <c r="CF280" i="1"/>
  <c r="Y279" i="1" a="1"/>
  <c r="Y279" i="1" s="1"/>
  <c r="CF278" i="1"/>
  <c r="CK277" i="1"/>
  <c r="CQ277" i="1" s="1"/>
  <c r="N277" i="1"/>
  <c r="AD276" i="1" a="1"/>
  <c r="AD276" i="1" s="1"/>
  <c r="AR274" i="1"/>
  <c r="AQ268" i="1"/>
  <c r="CI267" i="1"/>
  <c r="CO267" i="1" s="1"/>
  <c r="N266" i="1"/>
  <c r="AN265" i="1"/>
  <c r="BO264" i="1"/>
  <c r="CJ262" i="1"/>
  <c r="CP262" i="1" s="1"/>
  <c r="CD261" i="1"/>
  <c r="BK256" i="1"/>
  <c r="K255" i="1"/>
  <c r="AR252" i="1"/>
  <c r="CB251" i="1"/>
  <c r="P249" i="1" a="1"/>
  <c r="P249" i="1" s="1"/>
  <c r="BO243" i="1"/>
  <c r="AD243" i="1" a="1"/>
  <c r="AD243" i="1" s="1"/>
  <c r="CC242" i="1"/>
  <c r="CE239" i="1"/>
  <c r="AC237" i="1" a="1"/>
  <c r="AC237" i="1" s="1"/>
  <c r="AQ231" i="1"/>
  <c r="AA230" i="1" a="1"/>
  <c r="AA230" i="1" s="1"/>
  <c r="CL224" i="1"/>
  <c r="CR224" i="1" s="1"/>
  <c r="CB223" i="1"/>
  <c r="BK222" i="1"/>
  <c r="AG221" i="1" a="1"/>
  <c r="AG221" i="1" s="1"/>
  <c r="CC215" i="1"/>
  <c r="BL214" i="1"/>
  <c r="CB211" i="1"/>
  <c r="I209" i="1"/>
  <c r="K205" i="1"/>
  <c r="N204" i="1"/>
  <c r="M203" i="1"/>
  <c r="AA197" i="1" a="1"/>
  <c r="AA197" i="1" s="1"/>
  <c r="CH196" i="1"/>
  <c r="AD196" i="1" a="1"/>
  <c r="AD196" i="1" s="1"/>
  <c r="CK195" i="1"/>
  <c r="CQ195" i="1" s="1"/>
  <c r="I189" i="1"/>
  <c r="S188" i="1"/>
  <c r="T188" i="1" s="1"/>
  <c r="CF186" i="1"/>
  <c r="M186" i="1"/>
  <c r="AR185" i="1"/>
  <c r="BN184" i="1"/>
  <c r="J184" i="1"/>
  <c r="AF183" i="1" a="1"/>
  <c r="AF183" i="1" s="1"/>
  <c r="AA181" i="1" a="1"/>
  <c r="AA181" i="1" s="1"/>
  <c r="AH180" i="1" a="1"/>
  <c r="AH180" i="1" s="1"/>
  <c r="AJ177" i="1"/>
  <c r="I176" i="1"/>
  <c r="AQ162" i="1"/>
  <c r="L162" i="1"/>
  <c r="L154" i="1"/>
  <c r="CE149" i="1"/>
  <c r="P149" i="1" a="1"/>
  <c r="P149" i="1" s="1"/>
  <c r="Q149" i="1" s="1"/>
  <c r="CJ148" i="1"/>
  <c r="K147" i="1"/>
  <c r="CQ145" i="1"/>
  <c r="AQ145" i="1"/>
  <c r="CD143" i="1"/>
  <c r="AQ143" i="1"/>
  <c r="CJ142" i="1"/>
  <c r="AN142" i="1"/>
  <c r="K142" i="1"/>
  <c r="AJ141" i="1"/>
  <c r="S141" i="1"/>
  <c r="T141" i="1" s="1"/>
  <c r="AJ140" i="1"/>
  <c r="AL140" i="1" s="1"/>
  <c r="S140" i="1"/>
  <c r="T140" i="1" s="1"/>
  <c r="AJ139" i="1"/>
  <c r="S139" i="1"/>
  <c r="T139" i="1" s="1"/>
  <c r="AJ138" i="1"/>
  <c r="S138" i="1"/>
  <c r="T138" i="1" s="1"/>
  <c r="AK137" i="1"/>
  <c r="Y137" i="1" a="1"/>
  <c r="Y137" i="1" s="1"/>
  <c r="V137" i="1" a="1"/>
  <c r="V137" i="1" s="1"/>
  <c r="W137" i="1" s="1"/>
  <c r="AQ136" i="1"/>
  <c r="Z136" i="1" a="1"/>
  <c r="Z136" i="1" s="1"/>
  <c r="K135" i="1"/>
  <c r="AF134" i="1" a="1"/>
  <c r="AF134" i="1" s="1"/>
  <c r="L134" i="1"/>
  <c r="AH133" i="1" a="1"/>
  <c r="AH133" i="1" s="1"/>
  <c r="L133" i="1"/>
  <c r="AQ132" i="1"/>
  <c r="Z132" i="1" a="1"/>
  <c r="Z132" i="1" s="1"/>
  <c r="I132" i="1"/>
  <c r="AR131" i="1"/>
  <c r="Y129" i="1" a="1"/>
  <c r="Y129" i="1" s="1"/>
  <c r="CI128" i="1"/>
  <c r="BK128" i="1"/>
  <c r="CE127" i="1"/>
  <c r="Z127" i="1" a="1"/>
  <c r="Z127" i="1" s="1"/>
  <c r="AR127" i="1"/>
  <c r="I126" i="1"/>
  <c r="M125" i="1"/>
  <c r="CE124" i="1"/>
  <c r="AR124" i="1"/>
  <c r="Z124" i="1" a="1"/>
  <c r="Z124" i="1" s="1"/>
  <c r="CK123" i="1"/>
  <c r="BO123" i="1"/>
  <c r="AC123" i="1" a="1"/>
  <c r="AC123" i="1" s="1"/>
  <c r="AK121" i="1"/>
  <c r="CE119" i="1"/>
  <c r="AJ119" i="1"/>
  <c r="V119" i="1" a="1"/>
  <c r="V119" i="1" s="1"/>
  <c r="W119" i="1" s="1"/>
  <c r="CL118" i="1"/>
  <c r="CR118" i="1" s="1"/>
  <c r="AJ118" i="1"/>
  <c r="AE117" i="1" a="1"/>
  <c r="AE117" i="1" s="1"/>
  <c r="CD116" i="1"/>
  <c r="CE115" i="1"/>
  <c r="AR115" i="1"/>
  <c r="I115" i="1"/>
  <c r="CH114" i="1"/>
  <c r="Z113" i="1" a="1"/>
  <c r="Z113" i="1" s="1"/>
  <c r="CL111" i="1"/>
  <c r="Y111" i="1" a="1"/>
  <c r="Y111" i="1" s="1"/>
  <c r="CD110" i="1"/>
  <c r="AF109" i="1" a="1"/>
  <c r="AF109" i="1" s="1"/>
  <c r="CD108" i="1"/>
  <c r="AQ107" i="1"/>
  <c r="CD106" i="1"/>
  <c r="CD105" i="1"/>
  <c r="CD104" i="1"/>
  <c r="CI103" i="1"/>
  <c r="CI99" i="1"/>
  <c r="M99" i="1"/>
  <c r="M98" i="1"/>
  <c r="AG97" i="1" a="1"/>
  <c r="AG97" i="1" s="1"/>
  <c r="N96" i="1"/>
  <c r="I95" i="1"/>
  <c r="CD93" i="1"/>
  <c r="J93" i="1"/>
  <c r="BM91" i="1"/>
  <c r="M303" i="1"/>
  <c r="Y300" i="1" a="1"/>
  <c r="Y300" i="1" s="1"/>
  <c r="AO299" i="1"/>
  <c r="S293" i="1"/>
  <c r="T293" i="1" s="1"/>
  <c r="Z292" i="1" a="1"/>
  <c r="Z292" i="1" s="1"/>
  <c r="Y291" i="1" a="1"/>
  <c r="Y291" i="1" s="1"/>
  <c r="AC288" i="1" a="1"/>
  <c r="AC288" i="1" s="1"/>
  <c r="CB286" i="1"/>
  <c r="CJ285" i="1"/>
  <c r="CP285" i="1" s="1"/>
  <c r="Y284" i="1" a="1"/>
  <c r="Y284" i="1" s="1"/>
  <c r="V280" i="1" a="1"/>
  <c r="V280" i="1" s="1"/>
  <c r="W280" i="1" s="1"/>
  <c r="AR279" i="1"/>
  <c r="AJ277" i="1"/>
  <c r="CH276" i="1"/>
  <c r="CN276" i="1" s="1"/>
  <c r="M275" i="1"/>
  <c r="N274" i="1"/>
  <c r="S271" i="1"/>
  <c r="T271" i="1" s="1"/>
  <c r="Y268" i="1" a="1"/>
  <c r="Y268" i="1" s="1"/>
  <c r="BO267" i="1"/>
  <c r="AR266" i="1"/>
  <c r="CF265" i="1"/>
  <c r="CF264" i="1"/>
  <c r="I264" i="1"/>
  <c r="I261" i="1"/>
  <c r="AO251" i="1"/>
  <c r="AC251" i="1" a="1"/>
  <c r="AC251" i="1" s="1"/>
  <c r="CI243" i="1"/>
  <c r="CO243" i="1" s="1"/>
  <c r="CF241" i="1"/>
  <c r="L241" i="1"/>
  <c r="BK237" i="1"/>
  <c r="Z229" i="1" a="1"/>
  <c r="Z229" i="1" s="1"/>
  <c r="AJ227" i="1"/>
  <c r="CC225" i="1"/>
  <c r="AC222" i="1" a="1"/>
  <c r="AC222" i="1" s="1"/>
  <c r="AJ221" i="1"/>
  <c r="AO215" i="1"/>
  <c r="I215" i="1"/>
  <c r="V214" i="1" a="1"/>
  <c r="V214" i="1" s="1"/>
  <c r="W214" i="1" s="1"/>
  <c r="AR208" i="1"/>
  <c r="N207" i="1"/>
  <c r="AK204" i="1"/>
  <c r="AC198" i="1" a="1"/>
  <c r="AC198" i="1" s="1"/>
  <c r="Y195" i="1" a="1"/>
  <c r="Y195" i="1" s="1"/>
  <c r="CB194" i="1"/>
  <c r="AP194" i="1"/>
  <c r="S186" i="1"/>
  <c r="T186" i="1" s="1"/>
  <c r="CI184" i="1"/>
  <c r="CO184" i="1" s="1"/>
  <c r="BK183" i="1"/>
  <c r="CI182" i="1"/>
  <c r="CO182" i="1" s="1"/>
  <c r="Z181" i="1" a="1"/>
  <c r="Z181" i="1" s="1"/>
  <c r="AO179" i="1"/>
  <c r="BO177" i="1"/>
  <c r="CC174" i="1"/>
  <c r="I173" i="1"/>
  <c r="BM172" i="1"/>
  <c r="L171" i="1"/>
  <c r="CB164" i="1"/>
  <c r="AQ164" i="1"/>
  <c r="AC164" i="1" a="1"/>
  <c r="AC164" i="1" s="1"/>
  <c r="I160" i="1"/>
  <c r="CD156" i="1"/>
  <c r="CQ149" i="1"/>
  <c r="BK149" i="1"/>
  <c r="CH303" i="1"/>
  <c r="AO303" i="1"/>
  <c r="AE301" i="1" a="1"/>
  <c r="AE301" i="1" s="1"/>
  <c r="CK300" i="1"/>
  <c r="CQ300" i="1" s="1"/>
  <c r="P300" i="1" a="1"/>
  <c r="P300" i="1" s="1"/>
  <c r="CB299" i="1"/>
  <c r="AH299" i="1" a="1"/>
  <c r="AH299" i="1" s="1"/>
  <c r="I299" i="1"/>
  <c r="CH297" i="1"/>
  <c r="AQ296" i="1"/>
  <c r="CJ295" i="1"/>
  <c r="CP295" i="1" s="1"/>
  <c r="AP295" i="1"/>
  <c r="Z294" i="1" a="1"/>
  <c r="Z294" i="1" s="1"/>
  <c r="M292" i="1"/>
  <c r="AP292" i="1"/>
  <c r="CC291" i="1"/>
  <c r="CE289" i="1"/>
  <c r="S288" i="1"/>
  <c r="T288" i="1" s="1"/>
  <c r="BK286" i="1"/>
  <c r="AP284" i="1"/>
  <c r="V281" i="1" a="1"/>
  <c r="V281" i="1" s="1"/>
  <c r="W281" i="1" s="1"/>
  <c r="AP280" i="1"/>
  <c r="S279" i="1"/>
  <c r="T279" i="1" s="1"/>
  <c r="CC278" i="1"/>
  <c r="CJ277" i="1"/>
  <c r="CP277" i="1" s="1"/>
  <c r="BK277" i="1"/>
  <c r="AP277" i="1"/>
  <c r="AQ276" i="1"/>
  <c r="BO275" i="1"/>
  <c r="M274" i="1"/>
  <c r="CK272" i="1"/>
  <c r="CQ272" i="1" s="1"/>
  <c r="J272" i="1"/>
  <c r="M271" i="1"/>
  <c r="N270" i="1"/>
  <c r="AR270" i="1"/>
  <c r="CF269" i="1"/>
  <c r="AK268" i="1"/>
  <c r="S268" i="1"/>
  <c r="T268" i="1" s="1"/>
  <c r="V268" i="1" a="1"/>
  <c r="V268" i="1" s="1"/>
  <c r="W268" i="1" s="1"/>
  <c r="AO267" i="1"/>
  <c r="M266" i="1"/>
  <c r="CD265" i="1"/>
  <c r="I265" i="1"/>
  <c r="AE264" i="1" a="1"/>
  <c r="AE264" i="1" s="1"/>
  <c r="CL263" i="1"/>
  <c r="CR263" i="1" s="1"/>
  <c r="CI262" i="1"/>
  <c r="CO262" i="1" s="1"/>
  <c r="Y260" i="1" a="1"/>
  <c r="Y260" i="1" s="1"/>
  <c r="CD257" i="1"/>
  <c r="AR257" i="1"/>
  <c r="V256" i="1" a="1"/>
  <c r="V256" i="1" s="1"/>
  <c r="W256" i="1" s="1"/>
  <c r="BO254" i="1"/>
  <c r="Y254" i="1" a="1"/>
  <c r="Y254" i="1" s="1"/>
  <c r="P254" i="1" a="1"/>
  <c r="P254" i="1" s="1"/>
  <c r="CK252" i="1"/>
  <c r="CQ252" i="1" s="1"/>
  <c r="AQ252" i="1"/>
  <c r="AJ251" i="1"/>
  <c r="Y250" i="1" a="1"/>
  <c r="Y250" i="1" s="1"/>
  <c r="N249" i="1"/>
  <c r="M246" i="1"/>
  <c r="CE243" i="1"/>
  <c r="BM243" i="1"/>
  <c r="Y243" i="1" a="1"/>
  <c r="Y243" i="1" s="1"/>
  <c r="CB242" i="1"/>
  <c r="AD242" i="1" a="1"/>
  <c r="AD242" i="1" s="1"/>
  <c r="CC240" i="1"/>
  <c r="CC239" i="1"/>
  <c r="Y238" i="1" a="1"/>
  <c r="Y238" i="1" s="1"/>
  <c r="CF237" i="1"/>
  <c r="S237" i="1"/>
  <c r="T237" i="1" s="1"/>
  <c r="CI235" i="1"/>
  <c r="CO235" i="1" s="1"/>
  <c r="AJ234" i="1"/>
  <c r="CE232" i="1"/>
  <c r="L232" i="1"/>
  <c r="CB231" i="1"/>
  <c r="N231" i="1"/>
  <c r="AP229" i="1"/>
  <c r="M229" i="1"/>
  <c r="CF227" i="1"/>
  <c r="AP226" i="1"/>
  <c r="CE225" i="1"/>
  <c r="CK224" i="1"/>
  <c r="CQ224" i="1" s="1"/>
  <c r="AR224" i="1"/>
  <c r="Y224" i="1" a="1"/>
  <c r="Y224" i="1" s="1"/>
  <c r="CC224" i="1"/>
  <c r="AG223" i="1" a="1"/>
  <c r="AG223" i="1" s="1"/>
  <c r="J221" i="1"/>
  <c r="CI219" i="1"/>
  <c r="CO219" i="1" s="1"/>
  <c r="BM219" i="1"/>
  <c r="L217" i="1"/>
  <c r="Z216" i="1" a="1"/>
  <c r="Z216" i="1" s="1"/>
  <c r="CC216" i="1"/>
  <c r="N214" i="1"/>
  <c r="CE213" i="1"/>
  <c r="CD212" i="1"/>
  <c r="CF210" i="1"/>
  <c r="AK209" i="1"/>
  <c r="Z209" i="1" a="1"/>
  <c r="Z209" i="1" s="1"/>
  <c r="Y208" i="1" a="1"/>
  <c r="Y208" i="1" s="1"/>
  <c r="CB207" i="1"/>
  <c r="V207" i="1" a="1"/>
  <c r="V207" i="1" s="1"/>
  <c r="W207" i="1" s="1"/>
  <c r="L206" i="1"/>
  <c r="L204" i="1"/>
  <c r="CL201" i="1"/>
  <c r="CR201" i="1" s="1"/>
  <c r="BK201" i="1"/>
  <c r="AC201" i="1" a="1"/>
  <c r="AC201" i="1" s="1"/>
  <c r="CC200" i="1"/>
  <c r="CL199" i="1"/>
  <c r="CR199" i="1" s="1"/>
  <c r="CI198" i="1"/>
  <c r="CO198" i="1" s="1"/>
  <c r="AR196" i="1"/>
  <c r="CK196" i="1"/>
  <c r="CQ196" i="1" s="1"/>
  <c r="AR195" i="1"/>
  <c r="L195" i="1"/>
  <c r="AK194" i="1"/>
  <c r="AA194" i="1" a="1"/>
  <c r="AA194" i="1" s="1"/>
  <c r="CJ194" i="1"/>
  <c r="CP194" i="1" s="1"/>
  <c r="CK189" i="1"/>
  <c r="CQ189" i="1" s="1"/>
  <c r="CF189" i="1"/>
  <c r="CC186" i="1"/>
  <c r="AJ185" i="1"/>
  <c r="CH184" i="1"/>
  <c r="CN184" i="1" s="1"/>
  <c r="CC182" i="1"/>
  <c r="J182" i="1"/>
  <c r="L181" i="1"/>
  <c r="CB179" i="1"/>
  <c r="AN179" i="1"/>
  <c r="CH177" i="1"/>
  <c r="CN177" i="1" s="1"/>
  <c r="M175" i="1"/>
  <c r="CL173" i="1"/>
  <c r="CR173" i="1" s="1"/>
  <c r="BO173" i="1"/>
  <c r="CK172" i="1"/>
  <c r="CQ172" i="1" s="1"/>
  <c r="AA170" i="1" a="1"/>
  <c r="AA170" i="1" s="1"/>
  <c r="CD170" i="1"/>
  <c r="CJ169" i="1"/>
  <c r="CP169" i="1" s="1"/>
  <c r="P167" i="1" a="1"/>
  <c r="P167" i="1" s="1"/>
  <c r="AA167" i="1" a="1"/>
  <c r="AA167" i="1" s="1"/>
  <c r="M166" i="1"/>
  <c r="BN165" i="1"/>
  <c r="AO164" i="1"/>
  <c r="AA164" i="1" a="1"/>
  <c r="AA164" i="1" s="1"/>
  <c r="CB162" i="1"/>
  <c r="AJ162" i="1"/>
  <c r="K161" i="1"/>
  <c r="CI159" i="1"/>
  <c r="CO159" i="1" s="1"/>
  <c r="AQ159" i="1"/>
  <c r="AG157" i="1" a="1"/>
  <c r="AG157" i="1" s="1"/>
  <c r="CJ152" i="1"/>
  <c r="DQ152" i="1" s="1" a="1"/>
  <c r="DQ152" i="1" s="1"/>
  <c r="AR152" i="1"/>
  <c r="J152" i="1"/>
  <c r="V150" i="1" a="1"/>
  <c r="V150" i="1" s="1"/>
  <c r="W150" i="1" s="1"/>
  <c r="CD149" i="1"/>
  <c r="AE149" i="1" a="1"/>
  <c r="AE149" i="1" s="1"/>
  <c r="CH148" i="1"/>
  <c r="CN148" i="1" s="1"/>
  <c r="P146" i="1" a="1"/>
  <c r="P146" i="1" s="1"/>
  <c r="AK145" i="1"/>
  <c r="S145" i="1"/>
  <c r="T145" i="1" s="1"/>
  <c r="AN143" i="1"/>
  <c r="AA143" i="1" a="1"/>
  <c r="AA143" i="1" s="1"/>
  <c r="CH142" i="1"/>
  <c r="DO142" i="1" s="1" a="1"/>
  <c r="DO142" i="1" s="1"/>
  <c r="AH142" i="1" a="1"/>
  <c r="AH142" i="1" s="1"/>
  <c r="CK141" i="1"/>
  <c r="AH141" i="1" a="1"/>
  <c r="AH141" i="1" s="1"/>
  <c r="P141" i="1" a="1"/>
  <c r="P141" i="1" s="1"/>
  <c r="AH140" i="1" a="1"/>
  <c r="AH140" i="1" s="1"/>
  <c r="P140" i="1" a="1"/>
  <c r="P140" i="1" s="1"/>
  <c r="AH139" i="1" a="1"/>
  <c r="AH139" i="1" s="1"/>
  <c r="P139" i="1" a="1"/>
  <c r="P139" i="1" s="1"/>
  <c r="AH138" i="1" a="1"/>
  <c r="AH138" i="1" s="1"/>
  <c r="P138" i="1" a="1"/>
  <c r="P138" i="1" s="1"/>
  <c r="Q138" i="1" s="1"/>
  <c r="AJ137" i="1"/>
  <c r="S137" i="1"/>
  <c r="T137" i="1" s="1"/>
  <c r="AK136" i="1"/>
  <c r="Y136" i="1" a="1"/>
  <c r="Y136" i="1" s="1"/>
  <c r="V136" i="1" a="1"/>
  <c r="V136" i="1" s="1"/>
  <c r="W136" i="1" s="1"/>
  <c r="CF135" i="1"/>
  <c r="AQ135" i="1"/>
  <c r="CK134" i="1"/>
  <c r="V134" i="1" a="1"/>
  <c r="V134" i="1" s="1"/>
  <c r="W134" i="1" s="1"/>
  <c r="AF133" i="1" a="1"/>
  <c r="AF133" i="1" s="1"/>
  <c r="V133" i="1" a="1"/>
  <c r="V133" i="1" s="1"/>
  <c r="W133" i="1" s="1"/>
  <c r="AK132" i="1"/>
  <c r="Y132" i="1" a="1"/>
  <c r="Y132" i="1" s="1"/>
  <c r="AH131" i="1" a="1"/>
  <c r="AH131" i="1" s="1"/>
  <c r="CL129" i="1"/>
  <c r="AD129" i="1" a="1"/>
  <c r="AD129" i="1" s="1"/>
  <c r="CE128" i="1"/>
  <c r="K128" i="1"/>
  <c r="AO127" i="1"/>
  <c r="CF126" i="1"/>
  <c r="AN124" i="1"/>
  <c r="AA124" i="1" a="1"/>
  <c r="AA124" i="1" s="1"/>
  <c r="CH123" i="1"/>
  <c r="Z123" i="1" a="1"/>
  <c r="Z123" i="1" s="1"/>
  <c r="N120" i="1"/>
  <c r="CC119" i="1"/>
  <c r="CK118" i="1"/>
  <c r="AE118" i="1" a="1"/>
  <c r="AE118" i="1" s="1"/>
  <c r="DS117" i="1" a="1"/>
  <c r="DS117" i="1" s="1"/>
  <c r="CK117" i="1"/>
  <c r="AE116" i="1" a="1"/>
  <c r="AE116" i="1" s="1"/>
  <c r="CD115" i="1"/>
  <c r="BK115" i="1"/>
  <c r="CE114" i="1"/>
  <c r="AE114" i="1" a="1"/>
  <c r="AE114" i="1" s="1"/>
  <c r="CL113" i="1"/>
  <c r="P113" i="1" a="1"/>
  <c r="P113" i="1" s="1"/>
  <c r="AH112" i="1" a="1"/>
  <c r="AH112" i="1" s="1"/>
  <c r="CK111" i="1"/>
  <c r="N111" i="1"/>
  <c r="CK110" i="1"/>
  <c r="CC108" i="1"/>
  <c r="CF108" i="1"/>
  <c r="CC107" i="1"/>
  <c r="K107" i="1"/>
  <c r="CC106" i="1"/>
  <c r="AF106" i="1" a="1"/>
  <c r="AF106" i="1" s="1"/>
  <c r="CC105" i="1"/>
  <c r="AF105" i="1" a="1"/>
  <c r="AF105" i="1" s="1"/>
  <c r="CC104" i="1"/>
  <c r="CF103" i="1"/>
  <c r="CF102" i="1"/>
  <c r="CI98" i="1"/>
  <c r="CO98" i="1" s="1"/>
  <c r="K98" i="1"/>
  <c r="CL95" i="1"/>
  <c r="DS95" i="1" s="1" a="1"/>
  <c r="DS95" i="1" s="1"/>
  <c r="CR94" i="1"/>
  <c r="CE92" i="1"/>
  <c r="AC91" i="1" a="1"/>
  <c r="AC91" i="1" s="1"/>
  <c r="AE90" i="1" a="1"/>
  <c r="AE90" i="1" s="1"/>
  <c r="AH303" i="1" a="1"/>
  <c r="AH303" i="1" s="1"/>
  <c r="AG302" i="1" a="1"/>
  <c r="AG302" i="1" s="1"/>
  <c r="AA301" i="1" a="1"/>
  <c r="AA301" i="1" s="1"/>
  <c r="BN300" i="1"/>
  <c r="AG298" i="1" a="1"/>
  <c r="AG298" i="1" s="1"/>
  <c r="CB296" i="1"/>
  <c r="AO296" i="1"/>
  <c r="Z296" i="1" a="1"/>
  <c r="Z296" i="1" s="1"/>
  <c r="BM295" i="1"/>
  <c r="CC294" i="1"/>
  <c r="AR294" i="1"/>
  <c r="CF291" i="1"/>
  <c r="AP288" i="1"/>
  <c r="CD285" i="1"/>
  <c r="CE285" i="1"/>
  <c r="AO279" i="1"/>
  <c r="P279" i="1" a="1"/>
  <c r="P279" i="1" s="1"/>
  <c r="CB276" i="1"/>
  <c r="AK276" i="1"/>
  <c r="Y276" i="1" a="1"/>
  <c r="Y276" i="1" s="1"/>
  <c r="BN272" i="1"/>
  <c r="CD269" i="1"/>
  <c r="AJ268" i="1"/>
  <c r="AP268" i="1"/>
  <c r="CD267" i="1"/>
  <c r="AR267" i="1"/>
  <c r="CL266" i="1"/>
  <c r="CR266" i="1" s="1"/>
  <c r="CD264" i="1"/>
  <c r="AN264" i="1"/>
  <c r="BM262" i="1"/>
  <c r="CE261" i="1"/>
  <c r="CL260" i="1"/>
  <c r="CR260" i="1" s="1"/>
  <c r="AE258" i="1" a="1"/>
  <c r="AE258" i="1" s="1"/>
  <c r="N257" i="1"/>
  <c r="N256" i="1"/>
  <c r="AR248" i="1"/>
  <c r="Z245" i="1" a="1"/>
  <c r="Z245" i="1" s="1"/>
  <c r="BL243" i="1"/>
  <c r="CB237" i="1"/>
  <c r="AO237" i="1"/>
  <c r="V237" i="1" a="1"/>
  <c r="V237" i="1" s="1"/>
  <c r="W237" i="1" s="1"/>
  <c r="CC236" i="1"/>
  <c r="CE235" i="1"/>
  <c r="AJ235" i="1"/>
  <c r="P234" i="1" a="1"/>
  <c r="P234" i="1" s="1"/>
  <c r="Q234" i="1" s="1"/>
  <c r="CD232" i="1"/>
  <c r="CF230" i="1"/>
  <c r="AO229" i="1"/>
  <c r="K229" i="1"/>
  <c r="AH228" i="1" a="1"/>
  <c r="AH228" i="1" s="1"/>
  <c r="AP227" i="1"/>
  <c r="CL226" i="1"/>
  <c r="CR226" i="1" s="1"/>
  <c r="AA226" i="1" a="1"/>
  <c r="AA226" i="1" s="1"/>
  <c r="CB224" i="1"/>
  <c r="CC223" i="1"/>
  <c r="BL219" i="1"/>
  <c r="K218" i="1"/>
  <c r="AK217" i="1"/>
  <c r="CB216" i="1"/>
  <c r="AP215" i="1"/>
  <c r="CK214" i="1"/>
  <c r="CQ214" i="1" s="1"/>
  <c r="AO214" i="1"/>
  <c r="M214" i="1"/>
  <c r="BK214" i="1"/>
  <c r="CD213" i="1"/>
  <c r="CC212" i="1"/>
  <c r="CE210" i="1"/>
  <c r="CI209" i="1"/>
  <c r="CO209" i="1" s="1"/>
  <c r="AJ209" i="1"/>
  <c r="S209" i="1"/>
  <c r="T209" i="1" s="1"/>
  <c r="CE209" i="1"/>
  <c r="BN208" i="1"/>
  <c r="CC208" i="1"/>
  <c r="CE206" i="1"/>
  <c r="AE205" i="1" a="1"/>
  <c r="AE205" i="1" s="1"/>
  <c r="BK204" i="1"/>
  <c r="V201" i="1" a="1"/>
  <c r="V201" i="1" s="1"/>
  <c r="W201" i="1" s="1"/>
  <c r="CF198" i="1"/>
  <c r="AK198" i="1"/>
  <c r="AR198" i="1"/>
  <c r="CB196" i="1"/>
  <c r="AK196" i="1"/>
  <c r="AJ194" i="1"/>
  <c r="BO191" i="1"/>
  <c r="CJ190" i="1"/>
  <c r="CP190" i="1" s="1"/>
  <c r="CJ189" i="1"/>
  <c r="CP189" i="1" s="1"/>
  <c r="BO189" i="1"/>
  <c r="CC184" i="1"/>
  <c r="AF182" i="1" a="1"/>
  <c r="AF182" i="1" s="1"/>
  <c r="AE180" i="1" a="1"/>
  <c r="AE180" i="1" s="1"/>
  <c r="N178" i="1"/>
  <c r="AR177" i="1"/>
  <c r="CC176" i="1"/>
  <c r="AE176" i="1" a="1"/>
  <c r="AE176" i="1" s="1"/>
  <c r="AQ176" i="1"/>
  <c r="AA174" i="1" a="1"/>
  <c r="AA174" i="1" s="1"/>
  <c r="CD174" i="1"/>
  <c r="CJ173" i="1"/>
  <c r="CP173" i="1" s="1"/>
  <c r="BN172" i="1"/>
  <c r="AC172" i="1" a="1"/>
  <c r="AC172" i="1" s="1"/>
  <c r="CK171" i="1"/>
  <c r="CQ171" i="1" s="1"/>
  <c r="BL171" i="1"/>
  <c r="CH169" i="1"/>
  <c r="CN169" i="1" s="1"/>
  <c r="BO169" i="1"/>
  <c r="I169" i="1"/>
  <c r="AJ164" i="1"/>
  <c r="BN163" i="1"/>
  <c r="CK161" i="1"/>
  <c r="CQ161" i="1" s="1"/>
  <c r="AE160" i="1" a="1"/>
  <c r="AE160" i="1" s="1"/>
  <c r="CE160" i="1"/>
  <c r="CD159" i="1"/>
  <c r="CK158" i="1"/>
  <c r="CQ158" i="1" s="1"/>
  <c r="CJ156" i="1"/>
  <c r="CP156" i="1" s="1"/>
  <c r="CK155" i="1"/>
  <c r="CQ155" i="1" s="1"/>
  <c r="CJ154" i="1"/>
  <c r="CP154" i="1" s="1"/>
  <c r="AF154" i="1" a="1"/>
  <c r="AF154" i="1" s="1"/>
  <c r="CF154" i="1"/>
  <c r="BK153" i="1"/>
  <c r="CJ153" i="1"/>
  <c r="CP153" i="1" s="1"/>
  <c r="AR149" i="1"/>
  <c r="AR148" i="1"/>
  <c r="S147" i="1"/>
  <c r="T147" i="1" s="1"/>
  <c r="AJ145" i="1"/>
  <c r="BN144" i="1"/>
  <c r="CK144" i="1"/>
  <c r="DR144" i="1" s="1" a="1"/>
  <c r="DR144" i="1" s="1"/>
  <c r="AK143" i="1"/>
  <c r="Y143" i="1" a="1"/>
  <c r="Y143" i="1" s="1"/>
  <c r="J143" i="1"/>
  <c r="I142" i="1"/>
  <c r="CJ141" i="1"/>
  <c r="BN141" i="1"/>
  <c r="L141" i="1"/>
  <c r="CB141" i="1"/>
  <c r="L140" i="1"/>
  <c r="CB140" i="1"/>
  <c r="L139" i="1"/>
  <c r="L138" i="1"/>
  <c r="P137" i="1" a="1"/>
  <c r="P137" i="1" s="1"/>
  <c r="Q137" i="1" s="1"/>
  <c r="AJ136" i="1"/>
  <c r="S136" i="1"/>
  <c r="T136" i="1" s="1"/>
  <c r="CD135" i="1"/>
  <c r="AK135" i="1"/>
  <c r="Z135" i="1" a="1"/>
  <c r="Z135" i="1" s="1"/>
  <c r="I135" i="1"/>
  <c r="BN134" i="1"/>
  <c r="J134" i="1"/>
  <c r="CK133" i="1"/>
  <c r="J133" i="1"/>
  <c r="DS132" i="1" a="1"/>
  <c r="DS132" i="1" s="1"/>
  <c r="AJ132" i="1"/>
  <c r="S132" i="1"/>
  <c r="T132" i="1" s="1"/>
  <c r="BK132" i="1"/>
  <c r="CH131" i="1"/>
  <c r="CH130" i="1"/>
  <c r="DO130" i="1" s="1" a="1"/>
  <c r="DO130" i="1" s="1"/>
  <c r="CK129" i="1"/>
  <c r="AC129" i="1" a="1"/>
  <c r="AC129" i="1" s="1"/>
  <c r="I128" i="1"/>
  <c r="AJ127" i="1"/>
  <c r="CN125" i="1"/>
  <c r="AJ124" i="1"/>
  <c r="M124" i="1"/>
  <c r="AP124" i="1"/>
  <c r="CF123" i="1"/>
  <c r="AR123" i="1"/>
  <c r="M123" i="1"/>
  <c r="CK122" i="1"/>
  <c r="CJ118" i="1"/>
  <c r="BO117" i="1"/>
  <c r="BO113" i="1"/>
  <c r="CJ111" i="1"/>
  <c r="BM111" i="1"/>
  <c r="L111" i="1"/>
  <c r="BO109" i="1"/>
  <c r="AD109" i="1" a="1"/>
  <c r="AD109" i="1" s="1"/>
  <c r="CD103" i="1"/>
  <c r="AC102" i="1" a="1"/>
  <c r="AC102" i="1" s="1"/>
  <c r="AA100" i="1" a="1"/>
  <c r="AA100" i="1" s="1"/>
  <c r="CC99" i="1"/>
  <c r="CF98" i="1"/>
  <c r="BM97" i="1"/>
  <c r="CJ96" i="1"/>
  <c r="DQ96" i="1" s="1" a="1"/>
  <c r="DQ96" i="1" s="1"/>
  <c r="BM96" i="1"/>
  <c r="K96" i="1"/>
  <c r="N94" i="1"/>
  <c r="AQ91" i="1"/>
  <c r="Y91" i="1" a="1"/>
  <c r="Y91" i="1" s="1"/>
  <c r="CK90" i="1"/>
  <c r="BO301" i="1"/>
  <c r="Z301" i="1" a="1"/>
  <c r="Z301" i="1" s="1"/>
  <c r="CE299" i="1"/>
  <c r="AF298" i="1" a="1"/>
  <c r="AF298" i="1" s="1"/>
  <c r="S296" i="1"/>
  <c r="T296" i="1" s="1"/>
  <c r="V296" i="1" a="1"/>
  <c r="V296" i="1" s="1"/>
  <c r="W296" i="1" s="1"/>
  <c r="AP294" i="1"/>
  <c r="V294" i="1" a="1"/>
  <c r="V294" i="1" s="1"/>
  <c r="W294" i="1" s="1"/>
  <c r="BM290" i="1"/>
  <c r="AA290" i="1" a="1"/>
  <c r="AA290" i="1" s="1"/>
  <c r="BK289" i="1"/>
  <c r="Y283" i="1" a="1"/>
  <c r="Y283" i="1" s="1"/>
  <c r="AO282" i="1"/>
  <c r="CF277" i="1"/>
  <c r="S276" i="1"/>
  <c r="T276" i="1" s="1"/>
  <c r="V276" i="1" a="1"/>
  <c r="V276" i="1" s="1"/>
  <c r="W276" i="1" s="1"/>
  <c r="CE275" i="1"/>
  <c r="AR275" i="1"/>
  <c r="V273" i="1" a="1"/>
  <c r="V273" i="1" s="1"/>
  <c r="W273" i="1" s="1"/>
  <c r="CK271" i="1"/>
  <c r="CQ271" i="1" s="1"/>
  <c r="CE269" i="1"/>
  <c r="CE265" i="1"/>
  <c r="AR264" i="1"/>
  <c r="BN258" i="1"/>
  <c r="AD258" i="1" a="1"/>
  <c r="AD258" i="1" s="1"/>
  <c r="BN245" i="1"/>
  <c r="CH245" i="1"/>
  <c r="CE241" i="1"/>
  <c r="CF229" i="1"/>
  <c r="S227" i="1"/>
  <c r="T227" i="1" s="1"/>
  <c r="CF222" i="1"/>
  <c r="AA221" i="1" a="1"/>
  <c r="AA221" i="1" s="1"/>
  <c r="AE220" i="1" a="1"/>
  <c r="AE220" i="1" s="1"/>
  <c r="CC213" i="1"/>
  <c r="CB212" i="1"/>
  <c r="CD209" i="1"/>
  <c r="AJ201" i="1"/>
  <c r="Z201" i="1" a="1"/>
  <c r="Z201" i="1" s="1"/>
  <c r="AP200" i="1"/>
  <c r="AJ196" i="1"/>
  <c r="BL191" i="1"/>
  <c r="AA191" i="1" a="1"/>
  <c r="AA191" i="1" s="1"/>
  <c r="CI190" i="1"/>
  <c r="CO190" i="1" s="1"/>
  <c r="BO190" i="1"/>
  <c r="Z185" i="1" a="1"/>
  <c r="Z185" i="1" s="1"/>
  <c r="AA185" i="1" a="1"/>
  <c r="AA185" i="1" s="1"/>
  <c r="CB184" i="1"/>
  <c r="AA178" i="1" a="1"/>
  <c r="AA178" i="1" s="1"/>
  <c r="S174" i="1"/>
  <c r="T174" i="1" s="1"/>
  <c r="CH173" i="1"/>
  <c r="CN173" i="1" s="1"/>
  <c r="AJ173" i="1"/>
  <c r="CH172" i="1"/>
  <c r="CN172" i="1" s="1"/>
  <c r="Z172" i="1" a="1"/>
  <c r="Z172" i="1" s="1"/>
  <c r="CF169" i="1"/>
  <c r="AO167" i="1"/>
  <c r="CK165" i="1"/>
  <c r="CQ165" i="1" s="1"/>
  <c r="CE162" i="1"/>
  <c r="CI161" i="1"/>
  <c r="CO161" i="1" s="1"/>
  <c r="AQ161" i="1"/>
  <c r="BL160" i="1"/>
  <c r="AF159" i="1" a="1"/>
  <c r="AF159" i="1" s="1"/>
  <c r="CK159" i="1"/>
  <c r="CQ159" i="1" s="1"/>
  <c r="P157" i="1" a="1"/>
  <c r="P157" i="1" s="1"/>
  <c r="CH153" i="1"/>
  <c r="CP151" i="1"/>
  <c r="BK150" i="1"/>
  <c r="CL149" i="1"/>
  <c r="AJ143" i="1"/>
  <c r="BK141" i="1"/>
  <c r="CK140" i="1"/>
  <c r="CQ140" i="1" s="1"/>
  <c r="CK139" i="1"/>
  <c r="CQ139" i="1" s="1"/>
  <c r="CK138" i="1"/>
  <c r="CQ138" i="1" s="1"/>
  <c r="CB137" i="1"/>
  <c r="AH136" i="1" a="1"/>
  <c r="AH136" i="1" s="1"/>
  <c r="P136" i="1" a="1"/>
  <c r="P136" i="1" s="1"/>
  <c r="Q136" i="1" s="1"/>
  <c r="Y135" i="1" a="1"/>
  <c r="Y135" i="1" s="1"/>
  <c r="CH134" i="1"/>
  <c r="AD134" i="1" a="1"/>
  <c r="AD134" i="1" s="1"/>
  <c r="BN133" i="1"/>
  <c r="AD133" i="1" a="1"/>
  <c r="AD133" i="1" s="1"/>
  <c r="DR132" i="1" a="1"/>
  <c r="DR132" i="1" s="1"/>
  <c r="V129" i="1" a="1"/>
  <c r="V129" i="1" s="1"/>
  <c r="W129" i="1" s="1"/>
  <c r="CK125" i="1"/>
  <c r="CJ122" i="1"/>
  <c r="AE121" i="1" a="1"/>
  <c r="AE121" i="1" s="1"/>
  <c r="CL121" i="1"/>
  <c r="AE119" i="1" a="1"/>
  <c r="AE119" i="1" s="1"/>
  <c r="BO118" i="1"/>
  <c r="AK118" i="1"/>
  <c r="AL118" i="1" s="1"/>
  <c r="BK117" i="1"/>
  <c r="AN116" i="1"/>
  <c r="AE115" i="1" a="1"/>
  <c r="AE115" i="1" s="1"/>
  <c r="CD111" i="1"/>
  <c r="BN109" i="1"/>
  <c r="CF107" i="1"/>
  <c r="CP105" i="1"/>
  <c r="CP104" i="1"/>
  <c r="CC103" i="1"/>
  <c r="CI96" i="1"/>
  <c r="BL96" i="1"/>
  <c r="CI95" i="1"/>
  <c r="Z95" i="1" a="1"/>
  <c r="Z95" i="1" s="1"/>
  <c r="S93" i="1"/>
  <c r="T93" i="1" s="1"/>
  <c r="CD92" i="1"/>
  <c r="AP91" i="1"/>
  <c r="CE90" i="1"/>
  <c r="Q300" i="1"/>
  <c r="CN297" i="1"/>
  <c r="Q288" i="1"/>
  <c r="CO294" i="1"/>
  <c r="Q301" i="1"/>
  <c r="CO303" i="1"/>
  <c r="AK303" i="1"/>
  <c r="S303" i="1"/>
  <c r="T303" i="1" s="1"/>
  <c r="J303" i="1"/>
  <c r="CL302" i="1"/>
  <c r="CR302" i="1" s="1"/>
  <c r="CE302" i="1"/>
  <c r="BO302" i="1"/>
  <c r="AR302" i="1"/>
  <c r="CJ301" i="1"/>
  <c r="CP301" i="1" s="1"/>
  <c r="CC301" i="1"/>
  <c r="BM301" i="1"/>
  <c r="AP301" i="1"/>
  <c r="N301" i="1"/>
  <c r="CH300" i="1"/>
  <c r="BK300" i="1"/>
  <c r="AN300" i="1"/>
  <c r="V300" i="1" a="1"/>
  <c r="V300" i="1" s="1"/>
  <c r="W300" i="1" s="1"/>
  <c r="L300" i="1"/>
  <c r="CO299" i="1"/>
  <c r="AK299" i="1"/>
  <c r="S299" i="1"/>
  <c r="T299" i="1" s="1"/>
  <c r="J299" i="1"/>
  <c r="CL298" i="1"/>
  <c r="CR298" i="1" s="1"/>
  <c r="CE298" i="1"/>
  <c r="BO298" i="1"/>
  <c r="AR298" i="1"/>
  <c r="S297" i="1"/>
  <c r="T297" i="1" s="1"/>
  <c r="CD296" i="1"/>
  <c r="BL296" i="1"/>
  <c r="AK296" i="1"/>
  <c r="AE296" i="1" a="1"/>
  <c r="AE296" i="1" s="1"/>
  <c r="Y296" i="1" a="1"/>
  <c r="Y296" i="1" s="1"/>
  <c r="AR295" i="1"/>
  <c r="AA295" i="1" a="1"/>
  <c r="AA295" i="1" s="1"/>
  <c r="CJ294" i="1"/>
  <c r="CP294" i="1" s="1"/>
  <c r="AC294" i="1" a="1"/>
  <c r="AC294" i="1" s="1"/>
  <c r="CD294" i="1"/>
  <c r="CK294" i="1"/>
  <c r="CQ294" i="1" s="1"/>
  <c r="CF293" i="1"/>
  <c r="CF292" i="1"/>
  <c r="BO292" i="1"/>
  <c r="AK292" i="1"/>
  <c r="CK291" i="1"/>
  <c r="CQ291" i="1" s="1"/>
  <c r="AG291" i="1" a="1"/>
  <c r="AG291" i="1" s="1"/>
  <c r="AF291" i="1" a="1"/>
  <c r="AF291" i="1" s="1"/>
  <c r="L291" i="1"/>
  <c r="V290" i="1" a="1"/>
  <c r="V290" i="1" s="1"/>
  <c r="W290" i="1" s="1"/>
  <c r="CE290" i="1"/>
  <c r="CD290" i="1"/>
  <c r="CK290" i="1"/>
  <c r="CQ290" i="1" s="1"/>
  <c r="CL288" i="1"/>
  <c r="CR288" i="1" s="1"/>
  <c r="CI287" i="1"/>
  <c r="CO287" i="1" s="1"/>
  <c r="AP287" i="1"/>
  <c r="N287" i="1"/>
  <c r="S287" i="1"/>
  <c r="T287" i="1" s="1"/>
  <c r="CI286" i="1"/>
  <c r="AO286" i="1"/>
  <c r="AR286" i="1"/>
  <c r="BO286" i="1"/>
  <c r="I286" i="1"/>
  <c r="Z286" i="1" a="1"/>
  <c r="Z286" i="1" s="1"/>
  <c r="AJ286" i="1"/>
  <c r="S286" i="1"/>
  <c r="T286" i="1" s="1"/>
  <c r="AK286" i="1"/>
  <c r="P286" i="1" a="1"/>
  <c r="P286" i="1" s="1"/>
  <c r="Y286" i="1" a="1"/>
  <c r="Y286" i="1" s="1"/>
  <c r="AQ286" i="1"/>
  <c r="BN286" i="1"/>
  <c r="BN284" i="1"/>
  <c r="S284" i="1"/>
  <c r="T284" i="1" s="1"/>
  <c r="CK283" i="1"/>
  <c r="CQ283" i="1" s="1"/>
  <c r="K283" i="1"/>
  <c r="AA283" i="1" a="1"/>
  <c r="AA283" i="1" s="1"/>
  <c r="AP283" i="1"/>
  <c r="BM283" i="1"/>
  <c r="CC283" i="1"/>
  <c r="CJ283" i="1"/>
  <c r="CP283" i="1" s="1"/>
  <c r="AE283" i="1" a="1"/>
  <c r="AE283" i="1" s="1"/>
  <c r="BM282" i="1"/>
  <c r="AR282" i="1"/>
  <c r="BO282" i="1"/>
  <c r="I282" i="1"/>
  <c r="Z282" i="1" a="1"/>
  <c r="Z282" i="1" s="1"/>
  <c r="AJ282" i="1"/>
  <c r="S282" i="1"/>
  <c r="T282" i="1" s="1"/>
  <c r="AK282" i="1"/>
  <c r="V282" i="1" a="1"/>
  <c r="V282" i="1" s="1"/>
  <c r="W282" i="1" s="1"/>
  <c r="AN282" i="1"/>
  <c r="BK282" i="1"/>
  <c r="CH282" i="1"/>
  <c r="P282" i="1" a="1"/>
  <c r="P282" i="1" s="1"/>
  <c r="Y282" i="1" a="1"/>
  <c r="Y282" i="1" s="1"/>
  <c r="AQ282" i="1"/>
  <c r="BN282" i="1"/>
  <c r="AN281" i="1"/>
  <c r="AA281" i="1" a="1"/>
  <c r="AA281" i="1" s="1"/>
  <c r="I281" i="1"/>
  <c r="AK280" i="1"/>
  <c r="AP278" i="1"/>
  <c r="AO275" i="1"/>
  <c r="BL275" i="1"/>
  <c r="N275" i="1"/>
  <c r="AH275" i="1" a="1"/>
  <c r="AH275" i="1" s="1"/>
  <c r="CF275" i="1"/>
  <c r="Q254" i="1"/>
  <c r="CN303" i="1"/>
  <c r="CF303" i="1"/>
  <c r="AJ303" i="1"/>
  <c r="AE303" i="1" a="1"/>
  <c r="AE303" i="1" s="1"/>
  <c r="Z303" i="1" a="1"/>
  <c r="Z303" i="1" s="1"/>
  <c r="CK302" i="1"/>
  <c r="CQ302" i="1" s="1"/>
  <c r="CD302" i="1"/>
  <c r="BN302" i="1"/>
  <c r="AQ302" i="1"/>
  <c r="Y302" i="1" a="1"/>
  <c r="Y302" i="1" s="1"/>
  <c r="P302" i="1" a="1"/>
  <c r="P302" i="1" s="1"/>
  <c r="CI301" i="1"/>
  <c r="CO301" i="1" s="1"/>
  <c r="CB301" i="1"/>
  <c r="BL301" i="1"/>
  <c r="AO301" i="1"/>
  <c r="AC301" i="1" a="1"/>
  <c r="AC301" i="1" s="1"/>
  <c r="AF300" i="1" a="1"/>
  <c r="AF300" i="1" s="1"/>
  <c r="AA300" i="1" a="1"/>
  <c r="AA300" i="1" s="1"/>
  <c r="CN299" i="1"/>
  <c r="CF299" i="1"/>
  <c r="AJ299" i="1"/>
  <c r="AE299" i="1" a="1"/>
  <c r="AE299" i="1" s="1"/>
  <c r="Z299" i="1" a="1"/>
  <c r="Z299" i="1" s="1"/>
  <c r="CK298" i="1"/>
  <c r="CQ298" i="1" s="1"/>
  <c r="CD298" i="1"/>
  <c r="BN298" i="1"/>
  <c r="AQ298" i="1"/>
  <c r="Y298" i="1" a="1"/>
  <c r="Y298" i="1" s="1"/>
  <c r="P298" i="1" a="1"/>
  <c r="P298" i="1" s="1"/>
  <c r="AA297" i="1" a="1"/>
  <c r="AA297" i="1" s="1"/>
  <c r="CE297" i="1"/>
  <c r="CL297" i="1"/>
  <c r="CR297" i="1" s="1"/>
  <c r="M297" i="1"/>
  <c r="AG297" i="1" a="1"/>
  <c r="AG297" i="1" s="1"/>
  <c r="CL296" i="1"/>
  <c r="CR296" i="1" s="1"/>
  <c r="BK296" i="1"/>
  <c r="AJ296" i="1"/>
  <c r="BO295" i="1"/>
  <c r="AQ295" i="1"/>
  <c r="P295" i="1" a="1"/>
  <c r="P295" i="1" s="1"/>
  <c r="CC293" i="1"/>
  <c r="CB293" i="1"/>
  <c r="CI293" i="1"/>
  <c r="CE292" i="1"/>
  <c r="BN292" i="1"/>
  <c r="AJ292" i="1"/>
  <c r="S292" i="1"/>
  <c r="T292" i="1" s="1"/>
  <c r="AR291" i="1"/>
  <c r="K291" i="1"/>
  <c r="AA291" i="1" a="1"/>
  <c r="AA291" i="1" s="1"/>
  <c r="AE291" i="1" a="1"/>
  <c r="AE291" i="1" s="1"/>
  <c r="AK289" i="1"/>
  <c r="AL289" i="1" s="1"/>
  <c r="CC289" i="1"/>
  <c r="AD289" i="1" a="1"/>
  <c r="AD289" i="1" s="1"/>
  <c r="CB289" i="1"/>
  <c r="CI289" i="1"/>
  <c r="CK288" i="1"/>
  <c r="CQ288" i="1" s="1"/>
  <c r="AR288" i="1"/>
  <c r="CE287" i="1"/>
  <c r="BO287" i="1"/>
  <c r="AO287" i="1"/>
  <c r="CN286" i="1"/>
  <c r="AN286" i="1"/>
  <c r="CC285" i="1"/>
  <c r="AD285" i="1" a="1"/>
  <c r="AD285" i="1" s="1"/>
  <c r="J285" i="1"/>
  <c r="CB285" i="1"/>
  <c r="CI285" i="1"/>
  <c r="CO285" i="1" s="1"/>
  <c r="BO283" i="1"/>
  <c r="BL282" i="1"/>
  <c r="Z281" i="1" a="1"/>
  <c r="Z281" i="1" s="1"/>
  <c r="CK280" i="1"/>
  <c r="CQ280" i="1" s="1"/>
  <c r="AJ280" i="1"/>
  <c r="N279" i="1"/>
  <c r="CF279" i="1"/>
  <c r="CC277" i="1"/>
  <c r="AD277" i="1" a="1"/>
  <c r="AD277" i="1" s="1"/>
  <c r="J277" i="1"/>
  <c r="AA277" i="1" a="1"/>
  <c r="AA277" i="1" s="1"/>
  <c r="CB277" i="1"/>
  <c r="CI277" i="1"/>
  <c r="CO277" i="1" s="1"/>
  <c r="CE274" i="1"/>
  <c r="AA274" i="1" a="1"/>
  <c r="AA274" i="1" s="1"/>
  <c r="AF274" i="1" a="1"/>
  <c r="AF274" i="1" s="1"/>
  <c r="L274" i="1"/>
  <c r="CD274" i="1"/>
  <c r="CK274" i="1"/>
  <c r="CQ274" i="1" s="1"/>
  <c r="AO271" i="1"/>
  <c r="BL271" i="1"/>
  <c r="N271" i="1"/>
  <c r="AH271" i="1" a="1"/>
  <c r="AH271" i="1" s="1"/>
  <c r="CF271" i="1"/>
  <c r="CL303" i="1"/>
  <c r="CR303" i="1" s="1"/>
  <c r="BO303" i="1"/>
  <c r="AR303" i="1"/>
  <c r="CJ302" i="1"/>
  <c r="CP302" i="1" s="1"/>
  <c r="CC302" i="1"/>
  <c r="BM302" i="1"/>
  <c r="AP302" i="1"/>
  <c r="CH301" i="1"/>
  <c r="BK301" i="1"/>
  <c r="AN301" i="1"/>
  <c r="V301" i="1" a="1"/>
  <c r="V301" i="1" s="1"/>
  <c r="W301" i="1" s="1"/>
  <c r="AK300" i="1"/>
  <c r="S300" i="1"/>
  <c r="T300" i="1" s="1"/>
  <c r="CL299" i="1"/>
  <c r="CR299" i="1" s="1"/>
  <c r="BO299" i="1"/>
  <c r="AR299" i="1"/>
  <c r="CJ298" i="1"/>
  <c r="CP298" i="1" s="1"/>
  <c r="CC298" i="1"/>
  <c r="BM298" i="1"/>
  <c r="AP298" i="1"/>
  <c r="AQ297" i="1"/>
  <c r="P297" i="1" a="1"/>
  <c r="P297" i="1" s="1"/>
  <c r="BN295" i="1"/>
  <c r="N295" i="1"/>
  <c r="J294" i="1"/>
  <c r="AD294" i="1" a="1"/>
  <c r="AD294" i="1" s="1"/>
  <c r="Y293" i="1" a="1"/>
  <c r="Y293" i="1" s="1"/>
  <c r="AP293" i="1"/>
  <c r="BM293" i="1"/>
  <c r="AR293" i="1"/>
  <c r="BO293" i="1"/>
  <c r="AC293" i="1" a="1"/>
  <c r="AC293" i="1" s="1"/>
  <c r="AO293" i="1"/>
  <c r="BL293" i="1"/>
  <c r="AQ291" i="1"/>
  <c r="P291" i="1" a="1"/>
  <c r="P291" i="1" s="1"/>
  <c r="J290" i="1"/>
  <c r="AD290" i="1" a="1"/>
  <c r="AD290" i="1" s="1"/>
  <c r="AP289" i="1"/>
  <c r="BM289" i="1"/>
  <c r="P289" i="1" a="1"/>
  <c r="P289" i="1" s="1"/>
  <c r="Y289" i="1" a="1"/>
  <c r="Y289" i="1" s="1"/>
  <c r="AQ289" i="1"/>
  <c r="BN289" i="1"/>
  <c r="AR289" i="1"/>
  <c r="BO289" i="1"/>
  <c r="AC289" i="1" a="1"/>
  <c r="AC289" i="1" s="1"/>
  <c r="AO289" i="1"/>
  <c r="BL289" i="1"/>
  <c r="M288" i="1"/>
  <c r="AG288" i="1" a="1"/>
  <c r="AG288" i="1" s="1"/>
  <c r="AO288" i="1"/>
  <c r="BL288" i="1"/>
  <c r="BN287" i="1"/>
  <c r="BM286" i="1"/>
  <c r="AA286" i="1" a="1"/>
  <c r="AA286" i="1" s="1"/>
  <c r="K286" i="1"/>
  <c r="AP285" i="1"/>
  <c r="BM285" i="1"/>
  <c r="P285" i="1" a="1"/>
  <c r="P285" i="1" s="1"/>
  <c r="Y285" i="1" a="1"/>
  <c r="Y285" i="1" s="1"/>
  <c r="AQ285" i="1"/>
  <c r="BN285" i="1"/>
  <c r="AR285" i="1"/>
  <c r="BO285" i="1"/>
  <c r="S285" i="1"/>
  <c r="T285" i="1" s="1"/>
  <c r="AK285" i="1"/>
  <c r="AL285" i="1" s="1"/>
  <c r="AC285" i="1" a="1"/>
  <c r="AC285" i="1" s="1"/>
  <c r="AO285" i="1"/>
  <c r="BL285" i="1"/>
  <c r="CE283" i="1"/>
  <c r="BN283" i="1"/>
  <c r="AG283" i="1" a="1"/>
  <c r="AG283" i="1" s="1"/>
  <c r="P283" i="1" a="1"/>
  <c r="P283" i="1" s="1"/>
  <c r="S283" i="1"/>
  <c r="T283" i="1" s="1"/>
  <c r="CC282" i="1"/>
  <c r="K282" i="1"/>
  <c r="AJ281" i="1"/>
  <c r="AR278" i="1"/>
  <c r="BO278" i="1"/>
  <c r="I278" i="1"/>
  <c r="Z278" i="1" a="1"/>
  <c r="Z278" i="1" s="1"/>
  <c r="AJ278" i="1"/>
  <c r="S278" i="1"/>
  <c r="T278" i="1" s="1"/>
  <c r="AK278" i="1"/>
  <c r="V278" i="1" a="1"/>
  <c r="V278" i="1" s="1"/>
  <c r="W278" i="1" s="1"/>
  <c r="AN278" i="1"/>
  <c r="BK278" i="1"/>
  <c r="CH278" i="1"/>
  <c r="AC278" i="1" a="1"/>
  <c r="AC278" i="1" s="1"/>
  <c r="P278" i="1" a="1"/>
  <c r="P278" i="1" s="1"/>
  <c r="Y278" i="1" a="1"/>
  <c r="Y278" i="1" s="1"/>
  <c r="AQ278" i="1"/>
  <c r="BN278" i="1"/>
  <c r="CE270" i="1"/>
  <c r="AA270" i="1" a="1"/>
  <c r="AA270" i="1" s="1"/>
  <c r="AF270" i="1" a="1"/>
  <c r="AF270" i="1" s="1"/>
  <c r="L270" i="1"/>
  <c r="CD270" i="1"/>
  <c r="CK270" i="1"/>
  <c r="CQ270" i="1" s="1"/>
  <c r="CD303" i="1"/>
  <c r="BN303" i="1"/>
  <c r="AQ303" i="1"/>
  <c r="Y303" i="1" a="1"/>
  <c r="Y303" i="1" s="1"/>
  <c r="P303" i="1" a="1"/>
  <c r="P303" i="1" s="1"/>
  <c r="CB302" i="1"/>
  <c r="BL302" i="1"/>
  <c r="AO302" i="1"/>
  <c r="AC302" i="1" a="1"/>
  <c r="AC302" i="1" s="1"/>
  <c r="CF300" i="1"/>
  <c r="AJ300" i="1"/>
  <c r="CD299" i="1"/>
  <c r="BN299" i="1"/>
  <c r="AQ299" i="1"/>
  <c r="Y299" i="1" a="1"/>
  <c r="Y299" i="1" s="1"/>
  <c r="P299" i="1" a="1"/>
  <c r="P299" i="1" s="1"/>
  <c r="CB298" i="1"/>
  <c r="BL298" i="1"/>
  <c r="AO298" i="1"/>
  <c r="AC298" i="1" a="1"/>
  <c r="AC298" i="1" s="1"/>
  <c r="BN297" i="1"/>
  <c r="AP297" i="1"/>
  <c r="Z297" i="1" a="1"/>
  <c r="Z297" i="1" s="1"/>
  <c r="Y295" i="1" a="1"/>
  <c r="Y295" i="1" s="1"/>
  <c r="V295" i="1" a="1"/>
  <c r="V295" i="1" s="1"/>
  <c r="W295" i="1" s="1"/>
  <c r="AN295" i="1"/>
  <c r="BK295" i="1"/>
  <c r="CH295" i="1"/>
  <c r="I295" i="1"/>
  <c r="Z295" i="1" a="1"/>
  <c r="Z295" i="1" s="1"/>
  <c r="AJ295" i="1"/>
  <c r="AL295" i="1" s="1"/>
  <c r="S294" i="1"/>
  <c r="T294" i="1" s="1"/>
  <c r="AK294" i="1"/>
  <c r="P294" i="1" a="1"/>
  <c r="P294" i="1" s="1"/>
  <c r="Y294" i="1" a="1"/>
  <c r="Y294" i="1" s="1"/>
  <c r="AQ294" i="1"/>
  <c r="BN294" i="1"/>
  <c r="CK293" i="1"/>
  <c r="CQ293" i="1" s="1"/>
  <c r="AQ293" i="1"/>
  <c r="AP291" i="1"/>
  <c r="N291" i="1"/>
  <c r="S291" i="1"/>
  <c r="T291" i="1" s="1"/>
  <c r="AR290" i="1"/>
  <c r="BO290" i="1"/>
  <c r="I290" i="1"/>
  <c r="Z290" i="1" a="1"/>
  <c r="Z290" i="1" s="1"/>
  <c r="AJ290" i="1"/>
  <c r="S290" i="1"/>
  <c r="T290" i="1" s="1"/>
  <c r="AK290" i="1"/>
  <c r="P290" i="1" a="1"/>
  <c r="P290" i="1" s="1"/>
  <c r="Y290" i="1" a="1"/>
  <c r="Y290" i="1" s="1"/>
  <c r="AQ290" i="1"/>
  <c r="BN290" i="1"/>
  <c r="Z289" i="1" a="1"/>
  <c r="Z289" i="1" s="1"/>
  <c r="CC287" i="1"/>
  <c r="BM287" i="1"/>
  <c r="Y287" i="1" a="1"/>
  <c r="Y287" i="1" s="1"/>
  <c r="BL286" i="1"/>
  <c r="BL283" i="1"/>
  <c r="M283" i="1"/>
  <c r="M280" i="1"/>
  <c r="AG280" i="1" a="1"/>
  <c r="AG280" i="1" s="1"/>
  <c r="AO280" i="1"/>
  <c r="BL280" i="1"/>
  <c r="AR280" i="1"/>
  <c r="BO280" i="1"/>
  <c r="CE280" i="1"/>
  <c r="CL280" i="1"/>
  <c r="CR280" i="1" s="1"/>
  <c r="CJ303" i="1"/>
  <c r="CP303" i="1" s="1"/>
  <c r="CC303" i="1"/>
  <c r="BM303" i="1"/>
  <c r="CH302" i="1"/>
  <c r="BK302" i="1"/>
  <c r="AN302" i="1"/>
  <c r="V302" i="1" a="1"/>
  <c r="V302" i="1" s="1"/>
  <c r="W302" i="1" s="1"/>
  <c r="AK301" i="1"/>
  <c r="AL301" i="1" s="1"/>
  <c r="S301" i="1"/>
  <c r="T301" i="1" s="1"/>
  <c r="J301" i="1"/>
  <c r="CL300" i="1"/>
  <c r="CR300" i="1" s="1"/>
  <c r="CE300" i="1"/>
  <c r="BO300" i="1"/>
  <c r="AR300" i="1"/>
  <c r="CJ299" i="1"/>
  <c r="CP299" i="1" s="1"/>
  <c r="CC299" i="1"/>
  <c r="BM299" i="1"/>
  <c r="CH298" i="1"/>
  <c r="BK298" i="1"/>
  <c r="AN298" i="1"/>
  <c r="V298" i="1" a="1"/>
  <c r="V298" i="1" s="1"/>
  <c r="W298" i="1" s="1"/>
  <c r="CD297" i="1"/>
  <c r="BM297" i="1"/>
  <c r="AN297" i="1"/>
  <c r="CH296" i="1"/>
  <c r="CB295" i="1"/>
  <c r="BL295" i="1"/>
  <c r="K295" i="1"/>
  <c r="BO294" i="1"/>
  <c r="AO294" i="1"/>
  <c r="AN293" i="1"/>
  <c r="I293" i="1"/>
  <c r="CK292" i="1"/>
  <c r="CQ292" i="1" s="1"/>
  <c r="AG292" i="1" a="1"/>
  <c r="AG292" i="1" s="1"/>
  <c r="P292" i="1" a="1"/>
  <c r="P292" i="1" s="1"/>
  <c r="V292" i="1" a="1"/>
  <c r="V292" i="1" s="1"/>
  <c r="W292" i="1" s="1"/>
  <c r="AN292" i="1"/>
  <c r="BK292" i="1"/>
  <c r="CC292" i="1"/>
  <c r="CJ292" i="1"/>
  <c r="K292" i="1"/>
  <c r="CE291" i="1"/>
  <c r="BO291" i="1"/>
  <c r="AO291" i="1"/>
  <c r="CH290" i="1"/>
  <c r="AN290" i="1"/>
  <c r="V289" i="1" a="1"/>
  <c r="V289" i="1" s="1"/>
  <c r="W289" i="1" s="1"/>
  <c r="I289" i="1"/>
  <c r="AJ288" i="1"/>
  <c r="V288" i="1" a="1"/>
  <c r="V288" i="1" s="1"/>
  <c r="W288" i="1" s="1"/>
  <c r="CC286" i="1"/>
  <c r="AN285" i="1"/>
  <c r="AA285" i="1" a="1"/>
  <c r="AA285" i="1" s="1"/>
  <c r="I285" i="1"/>
  <c r="AP282" i="1"/>
  <c r="AA282" i="1" a="1"/>
  <c r="AA282" i="1" s="1"/>
  <c r="BN280" i="1"/>
  <c r="S280" i="1"/>
  <c r="T280" i="1" s="1"/>
  <c r="CK279" i="1"/>
  <c r="CQ279" i="1" s="1"/>
  <c r="K279" i="1"/>
  <c r="AA279" i="1" a="1"/>
  <c r="AA279" i="1" s="1"/>
  <c r="AP279" i="1"/>
  <c r="BM279" i="1"/>
  <c r="CC279" i="1"/>
  <c r="CJ279" i="1"/>
  <c r="CP279" i="1" s="1"/>
  <c r="AE279" i="1" a="1"/>
  <c r="AE279" i="1" s="1"/>
  <c r="BM278" i="1"/>
  <c r="Q276" i="1"/>
  <c r="BK273" i="1"/>
  <c r="CL271" i="1"/>
  <c r="CR271" i="1" s="1"/>
  <c r="AR297" i="1"/>
  <c r="BO297" i="1"/>
  <c r="AC297" i="1" a="1"/>
  <c r="AC297" i="1" s="1"/>
  <c r="AO297" i="1"/>
  <c r="AF287" i="1" a="1"/>
  <c r="AF287" i="1" s="1"/>
  <c r="L287" i="1"/>
  <c r="CE286" i="1"/>
  <c r="CD286" i="1"/>
  <c r="CK286" i="1"/>
  <c r="CQ286" i="1" s="1"/>
  <c r="N283" i="1"/>
  <c r="CF283" i="1"/>
  <c r="CE282" i="1"/>
  <c r="L282" i="1"/>
  <c r="CD282" i="1"/>
  <c r="CK282" i="1"/>
  <c r="CQ282" i="1" s="1"/>
  <c r="CC281" i="1"/>
  <c r="AD281" i="1" a="1"/>
  <c r="AD281" i="1" s="1"/>
  <c r="J281" i="1"/>
  <c r="CB281" i="1"/>
  <c r="CI281" i="1"/>
  <c r="Q279" i="1"/>
  <c r="CN273" i="1"/>
  <c r="CC273" i="1"/>
  <c r="AD273" i="1" a="1"/>
  <c r="AD273" i="1" s="1"/>
  <c r="Z273" i="1" a="1"/>
  <c r="Z273" i="1" s="1"/>
  <c r="AJ273" i="1"/>
  <c r="J273" i="1"/>
  <c r="AA273" i="1" a="1"/>
  <c r="AA273" i="1" s="1"/>
  <c r="CB273" i="1"/>
  <c r="CI273" i="1"/>
  <c r="CO273" i="1" s="1"/>
  <c r="Q272" i="1"/>
  <c r="BK303" i="1"/>
  <c r="AN303" i="1"/>
  <c r="V303" i="1" a="1"/>
  <c r="V303" i="1" s="1"/>
  <c r="W303" i="1" s="1"/>
  <c r="AK302" i="1"/>
  <c r="S302" i="1"/>
  <c r="T302" i="1" s="1"/>
  <c r="BM300" i="1"/>
  <c r="AP300" i="1"/>
  <c r="BK299" i="1"/>
  <c r="AN299" i="1"/>
  <c r="V299" i="1" a="1"/>
  <c r="V299" i="1" s="1"/>
  <c r="W299" i="1" s="1"/>
  <c r="AK298" i="1"/>
  <c r="S298" i="1"/>
  <c r="T298" i="1" s="1"/>
  <c r="CB297" i="1"/>
  <c r="BK297" i="1"/>
  <c r="AK297" i="1"/>
  <c r="V297" i="1" a="1"/>
  <c r="V297" i="1" s="1"/>
  <c r="W297" i="1" s="1"/>
  <c r="P296" i="1" a="1"/>
  <c r="P296" i="1" s="1"/>
  <c r="CC296" i="1"/>
  <c r="CJ296" i="1"/>
  <c r="CP296" i="1" s="1"/>
  <c r="K296" i="1"/>
  <c r="CE293" i="1"/>
  <c r="CL293" i="1"/>
  <c r="CR293" i="1" s="1"/>
  <c r="M293" i="1"/>
  <c r="AG293" i="1" a="1"/>
  <c r="AG293" i="1" s="1"/>
  <c r="CK287" i="1"/>
  <c r="CQ287" i="1" s="1"/>
  <c r="AR287" i="1"/>
  <c r="K287" i="1"/>
  <c r="AA287" i="1" a="1"/>
  <c r="AA287" i="1" s="1"/>
  <c r="AE287" i="1" a="1"/>
  <c r="AE287" i="1" s="1"/>
  <c r="AF286" i="1" a="1"/>
  <c r="AF286" i="1" s="1"/>
  <c r="AQ283" i="1"/>
  <c r="CJ282" i="1"/>
  <c r="CP282" i="1" s="1"/>
  <c r="AP281" i="1"/>
  <c r="BM281" i="1"/>
  <c r="P281" i="1" a="1"/>
  <c r="P281" i="1" s="1"/>
  <c r="Y281" i="1" a="1"/>
  <c r="Y281" i="1" s="1"/>
  <c r="AQ281" i="1"/>
  <c r="BN281" i="1"/>
  <c r="AR281" i="1"/>
  <c r="BO281" i="1"/>
  <c r="S281" i="1"/>
  <c r="T281" i="1" s="1"/>
  <c r="AK281" i="1"/>
  <c r="AC281" i="1" a="1"/>
  <c r="AC281" i="1" s="1"/>
  <c r="AO281" i="1"/>
  <c r="BL281" i="1"/>
  <c r="AN273" i="1"/>
  <c r="AP273" i="1"/>
  <c r="CN269" i="1"/>
  <c r="CC269" i="1"/>
  <c r="AD269" i="1" a="1"/>
  <c r="AD269" i="1" s="1"/>
  <c r="Z269" i="1" a="1"/>
  <c r="Z269" i="1" s="1"/>
  <c r="AJ269" i="1"/>
  <c r="J269" i="1"/>
  <c r="AA269" i="1" a="1"/>
  <c r="AA269" i="1" s="1"/>
  <c r="CB269" i="1"/>
  <c r="CI269" i="1"/>
  <c r="CO269" i="1" s="1"/>
  <c r="Q268" i="1"/>
  <c r="AJ302" i="1"/>
  <c r="Z302" i="1" a="1"/>
  <c r="Z302" i="1" s="1"/>
  <c r="BN301" i="1"/>
  <c r="AQ301" i="1"/>
  <c r="Y301" i="1" a="1"/>
  <c r="Y301" i="1" s="1"/>
  <c r="CB300" i="1"/>
  <c r="BL300" i="1"/>
  <c r="AO300" i="1"/>
  <c r="AG300" i="1" a="1"/>
  <c r="AG300" i="1" s="1"/>
  <c r="AJ298" i="1"/>
  <c r="Z298" i="1" a="1"/>
  <c r="Z298" i="1" s="1"/>
  <c r="AJ297" i="1"/>
  <c r="I297" i="1"/>
  <c r="BN296" i="1"/>
  <c r="AN296" i="1"/>
  <c r="AP296" i="1"/>
  <c r="BM296" i="1"/>
  <c r="AA296" i="1" a="1"/>
  <c r="AA296" i="1" s="1"/>
  <c r="AH295" i="1" a="1"/>
  <c r="AH295" i="1" s="1"/>
  <c r="AC295" i="1" a="1"/>
  <c r="AC295" i="1" s="1"/>
  <c r="S295" i="1"/>
  <c r="T295" i="1" s="1"/>
  <c r="CB294" i="1"/>
  <c r="BK294" i="1"/>
  <c r="AJ294" i="1"/>
  <c r="BK293" i="1"/>
  <c r="AJ293" i="1"/>
  <c r="AL293" i="1" s="1"/>
  <c r="AA293" i="1" a="1"/>
  <c r="AA293" i="1" s="1"/>
  <c r="P293" i="1" a="1"/>
  <c r="P293" i="1" s="1"/>
  <c r="AO292" i="1"/>
  <c r="CL291" i="1"/>
  <c r="CR291" i="1" s="1"/>
  <c r="BL291" i="1"/>
  <c r="CC290" i="1"/>
  <c r="BK290" i="1"/>
  <c r="CN289" i="1"/>
  <c r="AN289" i="1"/>
  <c r="Z288" i="1" a="1"/>
  <c r="Z288" i="1" s="1"/>
  <c r="CJ287" i="1"/>
  <c r="CP287" i="1" s="1"/>
  <c r="AQ287" i="1"/>
  <c r="P287" i="1" a="1"/>
  <c r="P287" i="1" s="1"/>
  <c r="CJ286" i="1"/>
  <c r="CP286" i="1" s="1"/>
  <c r="AP286" i="1"/>
  <c r="J286" i="1"/>
  <c r="AD286" i="1" a="1"/>
  <c r="AD286" i="1" s="1"/>
  <c r="CH285" i="1"/>
  <c r="M284" i="1"/>
  <c r="AG284" i="1" a="1"/>
  <c r="AG284" i="1" s="1"/>
  <c r="AO284" i="1"/>
  <c r="BL284" i="1"/>
  <c r="AR284" i="1"/>
  <c r="BO284" i="1"/>
  <c r="CE284" i="1"/>
  <c r="CL284" i="1"/>
  <c r="CR284" i="1" s="1"/>
  <c r="CL283" i="1"/>
  <c r="CR283" i="1" s="1"/>
  <c r="AO283" i="1"/>
  <c r="CI282" i="1"/>
  <c r="CO282" i="1" s="1"/>
  <c r="AQ280" i="1"/>
  <c r="CD279" i="1"/>
  <c r="BL279" i="1"/>
  <c r="CB278" i="1"/>
  <c r="AA278" i="1" a="1"/>
  <c r="AA278" i="1" s="1"/>
  <c r="CE278" i="1"/>
  <c r="L278" i="1"/>
  <c r="CD278" i="1"/>
  <c r="CK278" i="1"/>
  <c r="CQ278" i="1" s="1"/>
  <c r="AN277" i="1"/>
  <c r="V277" i="1" a="1"/>
  <c r="V277" i="1" s="1"/>
  <c r="W277" i="1" s="1"/>
  <c r="AP274" i="1"/>
  <c r="AR271" i="1"/>
  <c r="AN269" i="1"/>
  <c r="AP269" i="1"/>
  <c r="AA292" i="1" a="1"/>
  <c r="AA292" i="1" s="1"/>
  <c r="AJ291" i="1"/>
  <c r="Z291" i="1" a="1"/>
  <c r="Z291" i="1" s="1"/>
  <c r="I291" i="1"/>
  <c r="AG289" i="1" a="1"/>
  <c r="AG289" i="1" s="1"/>
  <c r="M289" i="1"/>
  <c r="AA288" i="1" a="1"/>
  <c r="AA288" i="1" s="1"/>
  <c r="K288" i="1"/>
  <c r="AJ287" i="1"/>
  <c r="Z287" i="1" a="1"/>
  <c r="Z287" i="1" s="1"/>
  <c r="I287" i="1"/>
  <c r="AG285" i="1" a="1"/>
  <c r="AG285" i="1" s="1"/>
  <c r="M285" i="1"/>
  <c r="AA284" i="1" a="1"/>
  <c r="AA284" i="1" s="1"/>
  <c r="K284" i="1"/>
  <c r="AJ283" i="1"/>
  <c r="Z283" i="1" a="1"/>
  <c r="Z283" i="1" s="1"/>
  <c r="I283" i="1"/>
  <c r="AD282" i="1" a="1"/>
  <c r="AD282" i="1" s="1"/>
  <c r="AG281" i="1" a="1"/>
  <c r="AG281" i="1" s="1"/>
  <c r="M281" i="1"/>
  <c r="AA280" i="1" a="1"/>
  <c r="AA280" i="1" s="1"/>
  <c r="K280" i="1"/>
  <c r="AJ279" i="1"/>
  <c r="Z279" i="1" a="1"/>
  <c r="Z279" i="1" s="1"/>
  <c r="I279" i="1"/>
  <c r="AD278" i="1" a="1"/>
  <c r="AD278" i="1" s="1"/>
  <c r="BL277" i="1"/>
  <c r="AO277" i="1"/>
  <c r="AG277" i="1" a="1"/>
  <c r="AG277" i="1" s="1"/>
  <c r="AC277" i="1" a="1"/>
  <c r="AC277" i="1" s="1"/>
  <c r="M277" i="1"/>
  <c r="AA276" i="1" a="1"/>
  <c r="AA276" i="1" s="1"/>
  <c r="K276" i="1"/>
  <c r="AJ275" i="1"/>
  <c r="AE275" i="1" a="1"/>
  <c r="AE275" i="1" s="1"/>
  <c r="Z275" i="1" a="1"/>
  <c r="Z275" i="1" s="1"/>
  <c r="I275" i="1"/>
  <c r="BN274" i="1"/>
  <c r="AQ274" i="1"/>
  <c r="AD274" i="1" a="1"/>
  <c r="AD274" i="1" s="1"/>
  <c r="Y274" i="1" a="1"/>
  <c r="Y274" i="1" s="1"/>
  <c r="P274" i="1" a="1"/>
  <c r="P274" i="1" s="1"/>
  <c r="BL273" i="1"/>
  <c r="AO273" i="1"/>
  <c r="AG273" i="1" a="1"/>
  <c r="AG273" i="1" s="1"/>
  <c r="AC273" i="1" a="1"/>
  <c r="AC273" i="1" s="1"/>
  <c r="M273" i="1"/>
  <c r="AA272" i="1" a="1"/>
  <c r="AA272" i="1" s="1"/>
  <c r="K272" i="1"/>
  <c r="AJ271" i="1"/>
  <c r="AE271" i="1" a="1"/>
  <c r="AE271" i="1" s="1"/>
  <c r="Z271" i="1" a="1"/>
  <c r="Z271" i="1" s="1"/>
  <c r="I271" i="1"/>
  <c r="BN270" i="1"/>
  <c r="AQ270" i="1"/>
  <c r="AD270" i="1" a="1"/>
  <c r="AD270" i="1" s="1"/>
  <c r="Y270" i="1" a="1"/>
  <c r="Y270" i="1" s="1"/>
  <c r="P270" i="1" a="1"/>
  <c r="P270" i="1" s="1"/>
  <c r="BL269" i="1"/>
  <c r="AO269" i="1"/>
  <c r="AG269" i="1" a="1"/>
  <c r="AG269" i="1" s="1"/>
  <c r="AC269" i="1" a="1"/>
  <c r="AC269" i="1" s="1"/>
  <c r="M269" i="1"/>
  <c r="AA268" i="1" a="1"/>
  <c r="AA268" i="1" s="1"/>
  <c r="K268" i="1"/>
  <c r="CF267" i="1"/>
  <c r="AJ267" i="1"/>
  <c r="AE267" i="1" a="1"/>
  <c r="AE267" i="1" s="1"/>
  <c r="Z267" i="1" a="1"/>
  <c r="Z267" i="1" s="1"/>
  <c r="I267" i="1"/>
  <c r="CK266" i="1"/>
  <c r="CQ266" i="1" s="1"/>
  <c r="CD266" i="1"/>
  <c r="BN266" i="1"/>
  <c r="AQ266" i="1"/>
  <c r="AD266" i="1" a="1"/>
  <c r="AD266" i="1" s="1"/>
  <c r="Y266" i="1" a="1"/>
  <c r="Y266" i="1" s="1"/>
  <c r="P266" i="1" a="1"/>
  <c r="P266" i="1" s="1"/>
  <c r="CI265" i="1"/>
  <c r="CB265" i="1"/>
  <c r="BL265" i="1"/>
  <c r="AO265" i="1"/>
  <c r="AG265" i="1" a="1"/>
  <c r="AG265" i="1" s="1"/>
  <c r="AC265" i="1" a="1"/>
  <c r="AC265" i="1" s="1"/>
  <c r="M265" i="1"/>
  <c r="AA264" i="1" a="1"/>
  <c r="AA264" i="1" s="1"/>
  <c r="K264" i="1"/>
  <c r="CF263" i="1"/>
  <c r="AJ263" i="1"/>
  <c r="AE263" i="1" a="1"/>
  <c r="AE263" i="1" s="1"/>
  <c r="Z263" i="1" a="1"/>
  <c r="Z263" i="1" s="1"/>
  <c r="I263" i="1"/>
  <c r="CK262" i="1"/>
  <c r="CD262" i="1"/>
  <c r="BN262" i="1"/>
  <c r="AQ262" i="1"/>
  <c r="AD262" i="1" a="1"/>
  <c r="AD262" i="1" s="1"/>
  <c r="Y262" i="1" a="1"/>
  <c r="Y262" i="1" s="1"/>
  <c r="P262" i="1" a="1"/>
  <c r="P262" i="1" s="1"/>
  <c r="CI261" i="1"/>
  <c r="CB261" i="1"/>
  <c r="BL261" i="1"/>
  <c r="AO261" i="1"/>
  <c r="AG261" i="1" a="1"/>
  <c r="AG261" i="1" s="1"/>
  <c r="AC261" i="1" a="1"/>
  <c r="AC261" i="1" s="1"/>
  <c r="M261" i="1"/>
  <c r="AJ260" i="1"/>
  <c r="BN259" i="1"/>
  <c r="AN259" i="1"/>
  <c r="L259" i="1"/>
  <c r="CB259" i="1"/>
  <c r="CI259" i="1"/>
  <c r="CO259" i="1" s="1"/>
  <c r="BO258" i="1"/>
  <c r="AK258" i="1"/>
  <c r="AL258" i="1" s="1"/>
  <c r="V258" i="1" a="1"/>
  <c r="V258" i="1" s="1"/>
  <c r="W258" i="1" s="1"/>
  <c r="CF257" i="1"/>
  <c r="BM256" i="1"/>
  <c r="AH256" i="1" a="1"/>
  <c r="AH256" i="1" s="1"/>
  <c r="CF256" i="1"/>
  <c r="V255" i="1" a="1"/>
  <c r="V255" i="1" s="1"/>
  <c r="W255" i="1" s="1"/>
  <c r="AK254" i="1"/>
  <c r="AL254" i="1" s="1"/>
  <c r="AN253" i="1"/>
  <c r="S248" i="1"/>
  <c r="T248" i="1" s="1"/>
  <c r="CK248" i="1"/>
  <c r="CQ248" i="1" s="1"/>
  <c r="CL248" i="1"/>
  <c r="CR248" i="1" s="1"/>
  <c r="CE248" i="1"/>
  <c r="M248" i="1"/>
  <c r="AO248" i="1"/>
  <c r="BO248" i="1"/>
  <c r="CF248" i="1"/>
  <c r="P248" i="1" a="1"/>
  <c r="P248" i="1" s="1"/>
  <c r="Z248" i="1" a="1"/>
  <c r="Z248" i="1" s="1"/>
  <c r="AQ248" i="1"/>
  <c r="P260" i="1" a="1"/>
  <c r="P260" i="1" s="1"/>
  <c r="S260" i="1"/>
  <c r="T260" i="1" s="1"/>
  <c r="AK260" i="1"/>
  <c r="AC259" i="1" a="1"/>
  <c r="AC259" i="1" s="1"/>
  <c r="AO259" i="1"/>
  <c r="BL259" i="1"/>
  <c r="AR259" i="1"/>
  <c r="BO259" i="1"/>
  <c r="M258" i="1"/>
  <c r="AG258" i="1" a="1"/>
  <c r="AG258" i="1" s="1"/>
  <c r="CD255" i="1"/>
  <c r="CK255" i="1"/>
  <c r="CQ255" i="1" s="1"/>
  <c r="CC253" i="1"/>
  <c r="CJ253" i="1"/>
  <c r="CP253" i="1" s="1"/>
  <c r="CI253" i="1"/>
  <c r="CO253" i="1" s="1"/>
  <c r="K253" i="1"/>
  <c r="CD253" i="1"/>
  <c r="CF276" i="1"/>
  <c r="AJ276" i="1"/>
  <c r="Z276" i="1" a="1"/>
  <c r="Z276" i="1" s="1"/>
  <c r="CD275" i="1"/>
  <c r="BN275" i="1"/>
  <c r="AQ275" i="1"/>
  <c r="Y275" i="1" a="1"/>
  <c r="Y275" i="1" s="1"/>
  <c r="P275" i="1" a="1"/>
  <c r="P275" i="1" s="1"/>
  <c r="CB274" i="1"/>
  <c r="BL274" i="1"/>
  <c r="AO274" i="1"/>
  <c r="AC274" i="1" a="1"/>
  <c r="AC274" i="1" s="1"/>
  <c r="CF272" i="1"/>
  <c r="AJ272" i="1"/>
  <c r="Z272" i="1" a="1"/>
  <c r="Z272" i="1" s="1"/>
  <c r="CD271" i="1"/>
  <c r="BN271" i="1"/>
  <c r="AQ271" i="1"/>
  <c r="Y271" i="1" a="1"/>
  <c r="Y271" i="1" s="1"/>
  <c r="P271" i="1" a="1"/>
  <c r="P271" i="1" s="1"/>
  <c r="CB270" i="1"/>
  <c r="BL270" i="1"/>
  <c r="AO270" i="1"/>
  <c r="AC270" i="1" a="1"/>
  <c r="AC270" i="1" s="1"/>
  <c r="Z268" i="1" a="1"/>
  <c r="Z268" i="1" s="1"/>
  <c r="BN267" i="1"/>
  <c r="AQ267" i="1"/>
  <c r="AH267" i="1" a="1"/>
  <c r="AH267" i="1" s="1"/>
  <c r="Y267" i="1" a="1"/>
  <c r="Y267" i="1" s="1"/>
  <c r="P267" i="1" a="1"/>
  <c r="P267" i="1" s="1"/>
  <c r="CB266" i="1"/>
  <c r="BL266" i="1"/>
  <c r="AO266" i="1"/>
  <c r="AC266" i="1" a="1"/>
  <c r="AC266" i="1" s="1"/>
  <c r="AA265" i="1" a="1"/>
  <c r="AA265" i="1" s="1"/>
  <c r="Z264" i="1" a="1"/>
  <c r="Z264" i="1" s="1"/>
  <c r="BN263" i="1"/>
  <c r="AQ263" i="1"/>
  <c r="AH263" i="1" a="1"/>
  <c r="AH263" i="1" s="1"/>
  <c r="Y263" i="1" a="1"/>
  <c r="Y263" i="1" s="1"/>
  <c r="P263" i="1" a="1"/>
  <c r="P263" i="1" s="1"/>
  <c r="BL262" i="1"/>
  <c r="AO262" i="1"/>
  <c r="AC262" i="1" a="1"/>
  <c r="AC262" i="1" s="1"/>
  <c r="AA261" i="1" a="1"/>
  <c r="AA261" i="1" s="1"/>
  <c r="CF260" i="1"/>
  <c r="AR260" i="1"/>
  <c r="AH260" i="1" a="1"/>
  <c r="AH260" i="1" s="1"/>
  <c r="BK259" i="1"/>
  <c r="AK259" i="1"/>
  <c r="V259" i="1" a="1"/>
  <c r="V259" i="1" s="1"/>
  <c r="W259" i="1" s="1"/>
  <c r="CE258" i="1"/>
  <c r="AQ257" i="1"/>
  <c r="AF257" i="1" a="1"/>
  <c r="AF257" i="1" s="1"/>
  <c r="L257" i="1"/>
  <c r="CD256" i="1"/>
  <c r="CK256" i="1"/>
  <c r="CQ256" i="1" s="1"/>
  <c r="AF256" i="1" a="1"/>
  <c r="AF256" i="1" s="1"/>
  <c r="CJ255" i="1"/>
  <c r="CP255" i="1" s="1"/>
  <c r="AN255" i="1"/>
  <c r="AF254" i="1" a="1"/>
  <c r="AF254" i="1" s="1"/>
  <c r="CJ254" i="1"/>
  <c r="CP254" i="1" s="1"/>
  <c r="CD254" i="1"/>
  <c r="CK254" i="1"/>
  <c r="CQ254" i="1" s="1"/>
  <c r="P253" i="1" a="1"/>
  <c r="P253" i="1" s="1"/>
  <c r="J253" i="1"/>
  <c r="CB253" i="1"/>
  <c r="V253" i="1" a="1"/>
  <c r="V253" i="1" s="1"/>
  <c r="W253" i="1" s="1"/>
  <c r="AD253" i="1" a="1"/>
  <c r="AD253" i="1" s="1"/>
  <c r="AK253" i="1"/>
  <c r="BK253" i="1"/>
  <c r="CI246" i="1"/>
  <c r="CO246" i="1" s="1"/>
  <c r="CJ246" i="1"/>
  <c r="CP246" i="1" s="1"/>
  <c r="K246" i="1"/>
  <c r="CC246" i="1"/>
  <c r="AE246" i="1" a="1"/>
  <c r="AE246" i="1" s="1"/>
  <c r="CD246" i="1"/>
  <c r="Y246" i="1" a="1"/>
  <c r="Y246" i="1" s="1"/>
  <c r="AO246" i="1"/>
  <c r="BN246" i="1"/>
  <c r="CN245" i="1"/>
  <c r="CE242" i="1"/>
  <c r="CL242" i="1"/>
  <c r="CR242" i="1" s="1"/>
  <c r="AG242" i="1" a="1"/>
  <c r="AG242" i="1" s="1"/>
  <c r="M242" i="1"/>
  <c r="CK242" i="1"/>
  <c r="CQ242" i="1" s="1"/>
  <c r="AN242" i="1"/>
  <c r="BM242" i="1"/>
  <c r="AK277" i="1"/>
  <c r="S277" i="1"/>
  <c r="T277" i="1" s="1"/>
  <c r="CL276" i="1"/>
  <c r="CR276" i="1" s="1"/>
  <c r="CE276" i="1"/>
  <c r="BO276" i="1"/>
  <c r="AR276" i="1"/>
  <c r="CJ275" i="1"/>
  <c r="CP275" i="1" s="1"/>
  <c r="CC275" i="1"/>
  <c r="BM275" i="1"/>
  <c r="AP275" i="1"/>
  <c r="CH274" i="1"/>
  <c r="BK274" i="1"/>
  <c r="AN274" i="1"/>
  <c r="V274" i="1" a="1"/>
  <c r="V274" i="1" s="1"/>
  <c r="W274" i="1" s="1"/>
  <c r="AK273" i="1"/>
  <c r="AL273" i="1" s="1"/>
  <c r="S273" i="1"/>
  <c r="T273" i="1" s="1"/>
  <c r="CL272" i="1"/>
  <c r="CR272" i="1" s="1"/>
  <c r="CE272" i="1"/>
  <c r="BO272" i="1"/>
  <c r="AR272" i="1"/>
  <c r="CJ271" i="1"/>
  <c r="CP271" i="1" s="1"/>
  <c r="CC271" i="1"/>
  <c r="BM271" i="1"/>
  <c r="AP271" i="1"/>
  <c r="CH270" i="1"/>
  <c r="BK270" i="1"/>
  <c r="AN270" i="1"/>
  <c r="V270" i="1" a="1"/>
  <c r="V270" i="1" s="1"/>
  <c r="W270" i="1" s="1"/>
  <c r="AK269" i="1"/>
  <c r="S269" i="1"/>
  <c r="T269" i="1" s="1"/>
  <c r="CL268" i="1"/>
  <c r="CR268" i="1" s="1"/>
  <c r="CE268" i="1"/>
  <c r="BO268" i="1"/>
  <c r="AR268" i="1"/>
  <c r="CJ267" i="1"/>
  <c r="CP267" i="1" s="1"/>
  <c r="CC267" i="1"/>
  <c r="BM267" i="1"/>
  <c r="AP267" i="1"/>
  <c r="N267" i="1"/>
  <c r="CH266" i="1"/>
  <c r="BK266" i="1"/>
  <c r="AN266" i="1"/>
  <c r="V266" i="1" a="1"/>
  <c r="V266" i="1" s="1"/>
  <c r="W266" i="1" s="1"/>
  <c r="L266" i="1"/>
  <c r="AK265" i="1"/>
  <c r="S265" i="1"/>
  <c r="T265" i="1" s="1"/>
  <c r="J265" i="1"/>
  <c r="BM263" i="1"/>
  <c r="AP263" i="1"/>
  <c r="N263" i="1"/>
  <c r="BK262" i="1"/>
  <c r="AN262" i="1"/>
  <c r="V262" i="1" a="1"/>
  <c r="V262" i="1" s="1"/>
  <c r="W262" i="1" s="1"/>
  <c r="L262" i="1"/>
  <c r="AK261" i="1"/>
  <c r="S261" i="1"/>
  <c r="T261" i="1" s="1"/>
  <c r="J261" i="1"/>
  <c r="BO260" i="1"/>
  <c r="AQ260" i="1"/>
  <c r="AC260" i="1" a="1"/>
  <c r="AC260" i="1" s="1"/>
  <c r="V260" i="1" a="1"/>
  <c r="V260" i="1" s="1"/>
  <c r="W260" i="1" s="1"/>
  <c r="I260" i="1"/>
  <c r="AJ259" i="1"/>
  <c r="I259" i="1"/>
  <c r="CE257" i="1"/>
  <c r="BO257" i="1"/>
  <c r="AP257" i="1"/>
  <c r="S257" i="1"/>
  <c r="T257" i="1" s="1"/>
  <c r="AE256" i="1" a="1"/>
  <c r="AE256" i="1" s="1"/>
  <c r="K256" i="1"/>
  <c r="CN255" i="1"/>
  <c r="CB255" i="1"/>
  <c r="CI255" i="1"/>
  <c r="AD255" i="1" a="1"/>
  <c r="AD255" i="1" s="1"/>
  <c r="J250" i="1"/>
  <c r="CH250" i="1"/>
  <c r="CI250" i="1"/>
  <c r="CO250" i="1" s="1"/>
  <c r="CB250" i="1"/>
  <c r="AD250" i="1" a="1"/>
  <c r="AD250" i="1" s="1"/>
  <c r="CC250" i="1"/>
  <c r="AN250" i="1"/>
  <c r="BM250" i="1"/>
  <c r="V247" i="1" a="1"/>
  <c r="V247" i="1" s="1"/>
  <c r="W247" i="1" s="1"/>
  <c r="AN247" i="1"/>
  <c r="BK247" i="1"/>
  <c r="CH247" i="1"/>
  <c r="S247" i="1"/>
  <c r="T247" i="1" s="1"/>
  <c r="AK247" i="1"/>
  <c r="Y247" i="1" a="1"/>
  <c r="Y247" i="1" s="1"/>
  <c r="AO247" i="1"/>
  <c r="BN247" i="1"/>
  <c r="AP247" i="1"/>
  <c r="BO247" i="1"/>
  <c r="P247" i="1" a="1"/>
  <c r="P247" i="1" s="1"/>
  <c r="Z247" i="1" a="1"/>
  <c r="Z247" i="1" s="1"/>
  <c r="AQ247" i="1"/>
  <c r="AA247" i="1" a="1"/>
  <c r="AA247" i="1" s="1"/>
  <c r="AR247" i="1"/>
  <c r="AC247" i="1" a="1"/>
  <c r="AC247" i="1" s="1"/>
  <c r="I247" i="1"/>
  <c r="AJ247" i="1"/>
  <c r="BL247" i="1"/>
  <c r="CB247" i="1"/>
  <c r="Z246" i="1" a="1"/>
  <c r="Z246" i="1" s="1"/>
  <c r="AD241" i="1" a="1"/>
  <c r="AD241" i="1" s="1"/>
  <c r="AA241" i="1" a="1"/>
  <c r="AA241" i="1" s="1"/>
  <c r="AK241" i="1"/>
  <c r="AL241" i="1" s="1"/>
  <c r="BL241" i="1"/>
  <c r="CH241" i="1"/>
  <c r="S241" i="1"/>
  <c r="T241" i="1" s="1"/>
  <c r="AN241" i="1"/>
  <c r="CI241" i="1"/>
  <c r="CO241" i="1" s="1"/>
  <c r="V241" i="1" a="1"/>
  <c r="V241" i="1" s="1"/>
  <c r="W241" i="1" s="1"/>
  <c r="AO241" i="1"/>
  <c r="J241" i="1"/>
  <c r="Z241" i="1" a="1"/>
  <c r="Z241" i="1" s="1"/>
  <c r="CB241" i="1"/>
  <c r="S236" i="1"/>
  <c r="T236" i="1" s="1"/>
  <c r="BL267" i="1"/>
  <c r="AF266" i="1" a="1"/>
  <c r="AF266" i="1" s="1"/>
  <c r="AA266" i="1" a="1"/>
  <c r="AA266" i="1" s="1"/>
  <c r="CN265" i="1"/>
  <c r="AJ265" i="1"/>
  <c r="Z265" i="1" a="1"/>
  <c r="Z265" i="1" s="1"/>
  <c r="P264" i="1" a="1"/>
  <c r="P264" i="1" s="1"/>
  <c r="BL263" i="1"/>
  <c r="AF262" i="1" a="1"/>
  <c r="AF262" i="1" s="1"/>
  <c r="AA262" i="1" a="1"/>
  <c r="AA262" i="1" s="1"/>
  <c r="CN261" i="1"/>
  <c r="AJ261" i="1"/>
  <c r="Z261" i="1" a="1"/>
  <c r="Z261" i="1" s="1"/>
  <c r="BN260" i="1"/>
  <c r="AP260" i="1"/>
  <c r="S259" i="1"/>
  <c r="T259" i="1" s="1"/>
  <c r="P258" i="1" a="1"/>
  <c r="P258" i="1" s="1"/>
  <c r="AA258" i="1" a="1"/>
  <c r="AA258" i="1" s="1"/>
  <c r="AO258" i="1"/>
  <c r="BL258" i="1"/>
  <c r="CB258" i="1"/>
  <c r="CI258" i="1"/>
  <c r="CO258" i="1" s="1"/>
  <c r="AP258" i="1"/>
  <c r="BM258" i="1"/>
  <c r="BN257" i="1"/>
  <c r="AO257" i="1"/>
  <c r="AD256" i="1" a="1"/>
  <c r="AD256" i="1" s="1"/>
  <c r="J256" i="1"/>
  <c r="AA256" i="1" a="1"/>
  <c r="AA256" i="1" s="1"/>
  <c r="BM255" i="1"/>
  <c r="AK255" i="1"/>
  <c r="L255" i="1"/>
  <c r="AC255" i="1" a="1"/>
  <c r="AC255" i="1" s="1"/>
  <c r="AO255" i="1"/>
  <c r="BL255" i="1"/>
  <c r="P255" i="1" a="1"/>
  <c r="P255" i="1" s="1"/>
  <c r="Y255" i="1" a="1"/>
  <c r="Y255" i="1" s="1"/>
  <c r="AQ255" i="1"/>
  <c r="BN255" i="1"/>
  <c r="AR255" i="1"/>
  <c r="BO255" i="1"/>
  <c r="I255" i="1"/>
  <c r="Z255" i="1" a="1"/>
  <c r="Z255" i="1" s="1"/>
  <c r="AJ255" i="1"/>
  <c r="J254" i="1"/>
  <c r="CB254" i="1"/>
  <c r="CI254" i="1"/>
  <c r="CC254" i="1"/>
  <c r="AD254" i="1" a="1"/>
  <c r="AD254" i="1" s="1"/>
  <c r="BN253" i="1"/>
  <c r="BM292" i="1"/>
  <c r="CH291" i="1"/>
  <c r="BK291" i="1"/>
  <c r="AN291" i="1"/>
  <c r="V291" i="1" a="1"/>
  <c r="V291" i="1" s="1"/>
  <c r="W291" i="1" s="1"/>
  <c r="CL289" i="1"/>
  <c r="CR289" i="1" s="1"/>
  <c r="CJ288" i="1"/>
  <c r="CT288" i="1" s="1" a="1"/>
  <c r="CT288" i="1" s="1"/>
  <c r="CU288" i="1" s="1"/>
  <c r="CC288" i="1"/>
  <c r="BM288" i="1"/>
  <c r="CH287" i="1"/>
  <c r="BK287" i="1"/>
  <c r="AN287" i="1"/>
  <c r="V287" i="1" a="1"/>
  <c r="V287" i="1" s="1"/>
  <c r="W287" i="1" s="1"/>
  <c r="CL285" i="1"/>
  <c r="CR285" i="1" s="1"/>
  <c r="CJ284" i="1"/>
  <c r="DA284" i="1" s="1" a="1"/>
  <c r="DA284" i="1" s="1"/>
  <c r="CC284" i="1"/>
  <c r="BM284" i="1"/>
  <c r="CH283" i="1"/>
  <c r="BK283" i="1"/>
  <c r="AN283" i="1"/>
  <c r="V283" i="1" a="1"/>
  <c r="V283" i="1" s="1"/>
  <c r="W283" i="1" s="1"/>
  <c r="L283" i="1"/>
  <c r="CL281" i="1"/>
  <c r="CR281" i="1" s="1"/>
  <c r="CJ280" i="1"/>
  <c r="CZ280" i="1" s="1" a="1"/>
  <c r="CZ280" i="1" s="1"/>
  <c r="CC280" i="1"/>
  <c r="BM280" i="1"/>
  <c r="CH279" i="1"/>
  <c r="BK279" i="1"/>
  <c r="AN279" i="1"/>
  <c r="V279" i="1" a="1"/>
  <c r="V279" i="1" s="1"/>
  <c r="W279" i="1" s="1"/>
  <c r="L279" i="1"/>
  <c r="CL277" i="1"/>
  <c r="CR277" i="1" s="1"/>
  <c r="BO277" i="1"/>
  <c r="AR277" i="1"/>
  <c r="CJ276" i="1"/>
  <c r="CC276" i="1"/>
  <c r="BM276" i="1"/>
  <c r="CH275" i="1"/>
  <c r="BK275" i="1"/>
  <c r="AN275" i="1"/>
  <c r="V275" i="1" a="1"/>
  <c r="V275" i="1" s="1"/>
  <c r="W275" i="1" s="1"/>
  <c r="L275" i="1"/>
  <c r="AK274" i="1"/>
  <c r="S274" i="1"/>
  <c r="T274" i="1" s="1"/>
  <c r="CL273" i="1"/>
  <c r="CR273" i="1" s="1"/>
  <c r="BO273" i="1"/>
  <c r="AR273" i="1"/>
  <c r="CJ272" i="1"/>
  <c r="CC272" i="1"/>
  <c r="BM272" i="1"/>
  <c r="CH271" i="1"/>
  <c r="BK271" i="1"/>
  <c r="AN271" i="1"/>
  <c r="V271" i="1" a="1"/>
  <c r="V271" i="1" s="1"/>
  <c r="W271" i="1" s="1"/>
  <c r="L271" i="1"/>
  <c r="AK270" i="1"/>
  <c r="S270" i="1"/>
  <c r="T270" i="1" s="1"/>
  <c r="CL269" i="1"/>
  <c r="CR269" i="1" s="1"/>
  <c r="BO269" i="1"/>
  <c r="AR269" i="1"/>
  <c r="CJ268" i="1"/>
  <c r="CC268" i="1"/>
  <c r="BM268" i="1"/>
  <c r="CH267" i="1"/>
  <c r="BK267" i="1"/>
  <c r="AN267" i="1"/>
  <c r="V267" i="1" a="1"/>
  <c r="V267" i="1" s="1"/>
  <c r="W267" i="1" s="1"/>
  <c r="L267" i="1"/>
  <c r="AK266" i="1"/>
  <c r="S266" i="1"/>
  <c r="T266" i="1" s="1"/>
  <c r="CL265" i="1"/>
  <c r="CR265" i="1" s="1"/>
  <c r="BO265" i="1"/>
  <c r="AR265" i="1"/>
  <c r="CJ264" i="1"/>
  <c r="CC264" i="1"/>
  <c r="BM264" i="1"/>
  <c r="CH263" i="1"/>
  <c r="BK263" i="1"/>
  <c r="AN263" i="1"/>
  <c r="V263" i="1" a="1"/>
  <c r="V263" i="1" s="1"/>
  <c r="W263" i="1" s="1"/>
  <c r="L263" i="1"/>
  <c r="AK262" i="1"/>
  <c r="S262" i="1"/>
  <c r="T262" i="1" s="1"/>
  <c r="CL261" i="1"/>
  <c r="CR261" i="1" s="1"/>
  <c r="BO261" i="1"/>
  <c r="AR261" i="1"/>
  <c r="BM260" i="1"/>
  <c r="AO260" i="1"/>
  <c r="AA260" i="1" a="1"/>
  <c r="AA260" i="1" s="1"/>
  <c r="AA259" i="1" a="1"/>
  <c r="AA259" i="1" s="1"/>
  <c r="M259" i="1"/>
  <c r="AG259" i="1" a="1"/>
  <c r="AG259" i="1" s="1"/>
  <c r="CE259" i="1"/>
  <c r="CL259" i="1"/>
  <c r="CR259" i="1" s="1"/>
  <c r="CL258" i="1"/>
  <c r="CR258" i="1" s="1"/>
  <c r="AR258" i="1"/>
  <c r="Z258" i="1" a="1"/>
  <c r="Z258" i="1" s="1"/>
  <c r="BM257" i="1"/>
  <c r="AK257" i="1"/>
  <c r="P257" i="1" a="1"/>
  <c r="P257" i="1" s="1"/>
  <c r="CJ256" i="1"/>
  <c r="CP256" i="1" s="1"/>
  <c r="AP256" i="1"/>
  <c r="P256" i="1" a="1"/>
  <c r="P256" i="1" s="1"/>
  <c r="BK255" i="1"/>
  <c r="AA255" i="1" a="1"/>
  <c r="AA255" i="1" s="1"/>
  <c r="S254" i="1"/>
  <c r="T254" i="1" s="1"/>
  <c r="Z254" i="1" a="1"/>
  <c r="Z254" i="1" s="1"/>
  <c r="AO254" i="1"/>
  <c r="BL254" i="1"/>
  <c r="AC254" i="1" a="1"/>
  <c r="AC254" i="1" s="1"/>
  <c r="AP254" i="1"/>
  <c r="BM254" i="1"/>
  <c r="I254" i="1"/>
  <c r="V254" i="1" a="1"/>
  <c r="V254" i="1" s="1"/>
  <c r="W254" i="1" s="1"/>
  <c r="AQ254" i="1"/>
  <c r="BN254" i="1"/>
  <c r="AR254" i="1"/>
  <c r="CH253" i="1"/>
  <c r="BL253" i="1"/>
  <c r="CC252" i="1"/>
  <c r="CJ252" i="1"/>
  <c r="CP252" i="1" s="1"/>
  <c r="CI252" i="1"/>
  <c r="CO252" i="1" s="1"/>
  <c r="S252" i="1"/>
  <c r="T252" i="1" s="1"/>
  <c r="CD252" i="1"/>
  <c r="K252" i="1"/>
  <c r="Y252" i="1" a="1"/>
  <c r="Y252" i="1" s="1"/>
  <c r="AE252" i="1" a="1"/>
  <c r="AE252" i="1" s="1"/>
  <c r="BN252" i="1"/>
  <c r="AO252" i="1"/>
  <c r="BO252" i="1"/>
  <c r="AO250" i="1"/>
  <c r="CC249" i="1"/>
  <c r="CJ249" i="1"/>
  <c r="CP249" i="1" s="1"/>
  <c r="CI249" i="1"/>
  <c r="CO249" i="1" s="1"/>
  <c r="K249" i="1"/>
  <c r="CD249" i="1"/>
  <c r="AE249" i="1" a="1"/>
  <c r="AE249" i="1" s="1"/>
  <c r="BL249" i="1"/>
  <c r="P233" i="1" a="1"/>
  <c r="P233" i="1" s="1"/>
  <c r="Y233" i="1" a="1"/>
  <c r="Y233" i="1" s="1"/>
  <c r="AD233" i="1" a="1"/>
  <c r="AD233" i="1" s="1"/>
  <c r="AQ233" i="1"/>
  <c r="BN233" i="1"/>
  <c r="Z233" i="1" a="1"/>
  <c r="Z233" i="1" s="1"/>
  <c r="AJ233" i="1"/>
  <c r="J233" i="1"/>
  <c r="S233" i="1"/>
  <c r="T233" i="1" s="1"/>
  <c r="AK233" i="1"/>
  <c r="AA233" i="1" a="1"/>
  <c r="AA233" i="1" s="1"/>
  <c r="V233" i="1" a="1"/>
  <c r="V233" i="1" s="1"/>
  <c r="W233" i="1" s="1"/>
  <c r="AN233" i="1"/>
  <c r="AO233" i="1"/>
  <c r="CB233" i="1"/>
  <c r="BK233" i="1"/>
  <c r="CH233" i="1"/>
  <c r="BL233" i="1"/>
  <c r="CI233" i="1"/>
  <c r="CO233" i="1" s="1"/>
  <c r="BN277" i="1"/>
  <c r="AQ277" i="1"/>
  <c r="Y277" i="1" a="1"/>
  <c r="Y277" i="1" s="1"/>
  <c r="P277" i="1" a="1"/>
  <c r="P277" i="1" s="1"/>
  <c r="BL276" i="1"/>
  <c r="AO276" i="1"/>
  <c r="AG276" i="1" a="1"/>
  <c r="AG276" i="1" s="1"/>
  <c r="AA275" i="1" a="1"/>
  <c r="AA275" i="1" s="1"/>
  <c r="AJ274" i="1"/>
  <c r="Z274" i="1" a="1"/>
  <c r="Z274" i="1" s="1"/>
  <c r="I274" i="1"/>
  <c r="BN273" i="1"/>
  <c r="AQ273" i="1"/>
  <c r="Y273" i="1" a="1"/>
  <c r="Y273" i="1" s="1"/>
  <c r="P273" i="1" a="1"/>
  <c r="P273" i="1" s="1"/>
  <c r="BL272" i="1"/>
  <c r="AO272" i="1"/>
  <c r="AG272" i="1" a="1"/>
  <c r="AG272" i="1" s="1"/>
  <c r="AA271" i="1" a="1"/>
  <c r="AA271" i="1" s="1"/>
  <c r="AJ270" i="1"/>
  <c r="Z270" i="1" a="1"/>
  <c r="Z270" i="1" s="1"/>
  <c r="I270" i="1"/>
  <c r="BN269" i="1"/>
  <c r="AQ269" i="1"/>
  <c r="Y269" i="1" a="1"/>
  <c r="Y269" i="1" s="1"/>
  <c r="P269" i="1" a="1"/>
  <c r="P269" i="1" s="1"/>
  <c r="BL268" i="1"/>
  <c r="AO268" i="1"/>
  <c r="AG268" i="1" a="1"/>
  <c r="AG268" i="1" s="1"/>
  <c r="AA267" i="1" a="1"/>
  <c r="AA267" i="1" s="1"/>
  <c r="AJ266" i="1"/>
  <c r="Z266" i="1" a="1"/>
  <c r="Z266" i="1" s="1"/>
  <c r="I266" i="1"/>
  <c r="BN265" i="1"/>
  <c r="AQ265" i="1"/>
  <c r="AD265" i="1" a="1"/>
  <c r="AD265" i="1" s="1"/>
  <c r="Y265" i="1" a="1"/>
  <c r="Y265" i="1" s="1"/>
  <c r="P265" i="1" a="1"/>
  <c r="P265" i="1" s="1"/>
  <c r="BL264" i="1"/>
  <c r="AO264" i="1"/>
  <c r="AG264" i="1" a="1"/>
  <c r="AG264" i="1" s="1"/>
  <c r="M264" i="1"/>
  <c r="AA263" i="1" a="1"/>
  <c r="AA263" i="1" s="1"/>
  <c r="CN262" i="1"/>
  <c r="AJ262" i="1"/>
  <c r="Z262" i="1" a="1"/>
  <c r="Z262" i="1" s="1"/>
  <c r="I262" i="1"/>
  <c r="BN261" i="1"/>
  <c r="AQ261" i="1"/>
  <c r="AD261" i="1" a="1"/>
  <c r="AD261" i="1" s="1"/>
  <c r="Y261" i="1" a="1"/>
  <c r="Y261" i="1" s="1"/>
  <c r="P261" i="1" a="1"/>
  <c r="P261" i="1" s="1"/>
  <c r="CB260" i="1"/>
  <c r="BL260" i="1"/>
  <c r="AN260" i="1"/>
  <c r="Z260" i="1" a="1"/>
  <c r="Z260" i="1" s="1"/>
  <c r="CH259" i="1"/>
  <c r="AQ259" i="1"/>
  <c r="P259" i="1" a="1"/>
  <c r="P259" i="1" s="1"/>
  <c r="CK258" i="1"/>
  <c r="CQ258" i="1" s="1"/>
  <c r="AQ258" i="1"/>
  <c r="J258" i="1"/>
  <c r="CL257" i="1"/>
  <c r="CR257" i="1" s="1"/>
  <c r="BL257" i="1"/>
  <c r="CI256" i="1"/>
  <c r="CO256" i="1" s="1"/>
  <c r="AO256" i="1"/>
  <c r="J255" i="1"/>
  <c r="CE254" i="1"/>
  <c r="L254" i="1"/>
  <c r="AE253" i="1" a="1"/>
  <c r="AE253" i="1" s="1"/>
  <c r="Q252" i="1"/>
  <c r="Q249" i="1"/>
  <c r="CK244" i="1"/>
  <c r="CQ244" i="1" s="1"/>
  <c r="AJ244" i="1"/>
  <c r="CL244" i="1"/>
  <c r="CR244" i="1" s="1"/>
  <c r="CE244" i="1"/>
  <c r="M244" i="1"/>
  <c r="CF244" i="1"/>
  <c r="P244" i="1" a="1"/>
  <c r="P244" i="1" s="1"/>
  <c r="Z244" i="1" a="1"/>
  <c r="Z244" i="1" s="1"/>
  <c r="AQ244" i="1"/>
  <c r="AG244" i="1" a="1"/>
  <c r="AG244" i="1" s="1"/>
  <c r="AR244" i="1"/>
  <c r="V242" i="1" a="1"/>
  <c r="V242" i="1" s="1"/>
  <c r="W242" i="1" s="1"/>
  <c r="N236" i="1"/>
  <c r="AH236" i="1" a="1"/>
  <c r="AH236" i="1" s="1"/>
  <c r="CF236" i="1"/>
  <c r="BO236" i="1"/>
  <c r="AK236" i="1"/>
  <c r="AK291" i="1"/>
  <c r="AL291" i="1" s="1"/>
  <c r="BK288" i="1"/>
  <c r="AN288" i="1"/>
  <c r="AK287" i="1"/>
  <c r="AL287" i="1" s="1"/>
  <c r="BK284" i="1"/>
  <c r="AN284" i="1"/>
  <c r="AK283" i="1"/>
  <c r="AL283" i="1" s="1"/>
  <c r="BK280" i="1"/>
  <c r="AN280" i="1"/>
  <c r="AK279" i="1"/>
  <c r="AL279" i="1" s="1"/>
  <c r="BM277" i="1"/>
  <c r="BK276" i="1"/>
  <c r="AN276" i="1"/>
  <c r="AK275" i="1"/>
  <c r="AL275" i="1" s="1"/>
  <c r="BO274" i="1"/>
  <c r="BM273" i="1"/>
  <c r="BK272" i="1"/>
  <c r="AN272" i="1"/>
  <c r="AK271" i="1"/>
  <c r="AL271" i="1" s="1"/>
  <c r="BO270" i="1"/>
  <c r="BM269" i="1"/>
  <c r="BK268" i="1"/>
  <c r="AN268" i="1"/>
  <c r="AK267" i="1"/>
  <c r="AL267" i="1" s="1"/>
  <c r="BO266" i="1"/>
  <c r="BM265" i="1"/>
  <c r="BK264" i="1"/>
  <c r="AK263" i="1"/>
  <c r="BO262" i="1"/>
  <c r="BM261" i="1"/>
  <c r="CH260" i="1"/>
  <c r="BK260" i="1"/>
  <c r="AP259" i="1"/>
  <c r="Z259" i="1" a="1"/>
  <c r="Z259" i="1" s="1"/>
  <c r="CH258" i="1"/>
  <c r="AN258" i="1"/>
  <c r="Y258" i="1" a="1"/>
  <c r="Y258" i="1" s="1"/>
  <c r="CK257" i="1"/>
  <c r="CQ257" i="1" s="1"/>
  <c r="CH256" i="1"/>
  <c r="BO256" i="1"/>
  <c r="AN256" i="1"/>
  <c r="L256" i="1"/>
  <c r="CC255" i="1"/>
  <c r="AN254" i="1"/>
  <c r="AQ253" i="1"/>
  <c r="CE253" i="1"/>
  <c r="CL253" i="1"/>
  <c r="CR253" i="1" s="1"/>
  <c r="AG253" i="1" a="1"/>
  <c r="AG253" i="1" s="1"/>
  <c r="CK253" i="1"/>
  <c r="CQ253" i="1" s="1"/>
  <c r="AP246" i="1"/>
  <c r="CF242" i="1"/>
  <c r="BN242" i="1"/>
  <c r="S250" i="1"/>
  <c r="T250" i="1" s="1"/>
  <c r="AK250" i="1"/>
  <c r="AR250" i="1"/>
  <c r="BO250" i="1"/>
  <c r="CC245" i="1"/>
  <c r="CJ245" i="1"/>
  <c r="CP245" i="1" s="1"/>
  <c r="P241" i="1" a="1"/>
  <c r="P241" i="1" s="1"/>
  <c r="CF238" i="1"/>
  <c r="M238" i="1"/>
  <c r="AG238" i="1" a="1"/>
  <c r="AG238" i="1" s="1"/>
  <c r="CE238" i="1"/>
  <c r="CL238" i="1"/>
  <c r="CR238" i="1" s="1"/>
  <c r="AR233" i="1"/>
  <c r="M228" i="1"/>
  <c r="AG228" i="1" a="1"/>
  <c r="AG228" i="1" s="1"/>
  <c r="CE228" i="1"/>
  <c r="CF228" i="1"/>
  <c r="AN228" i="1"/>
  <c r="BO228" i="1"/>
  <c r="CL228" i="1"/>
  <c r="CR228" i="1" s="1"/>
  <c r="CN225" i="1"/>
  <c r="N220" i="1"/>
  <c r="CL220" i="1"/>
  <c r="CR220" i="1" s="1"/>
  <c r="AH220" i="1" a="1"/>
  <c r="AH220" i="1" s="1"/>
  <c r="CF220" i="1"/>
  <c r="AH206" i="1" a="1"/>
  <c r="AH206" i="1" s="1"/>
  <c r="AQ206" i="1"/>
  <c r="BN206" i="1"/>
  <c r="N206" i="1"/>
  <c r="CL206" i="1"/>
  <c r="CR206" i="1" s="1"/>
  <c r="CF206" i="1"/>
  <c r="AO206" i="1"/>
  <c r="BL206" i="1"/>
  <c r="BK206" i="1"/>
  <c r="S206" i="1"/>
  <c r="T206" i="1" s="1"/>
  <c r="AA206" i="1" a="1"/>
  <c r="AA206" i="1" s="1"/>
  <c r="AR253" i="1"/>
  <c r="BO253" i="1"/>
  <c r="AP253" i="1"/>
  <c r="BM253" i="1"/>
  <c r="CF252" i="1"/>
  <c r="BL250" i="1"/>
  <c r="BK249" i="1"/>
  <c r="AK249" i="1"/>
  <c r="AD249" i="1" a="1"/>
  <c r="AD249" i="1" s="1"/>
  <c r="V249" i="1" a="1"/>
  <c r="V249" i="1" s="1"/>
  <c r="W249" i="1" s="1"/>
  <c r="AR249" i="1"/>
  <c r="BO249" i="1"/>
  <c r="AP249" i="1"/>
  <c r="BM249" i="1"/>
  <c r="CC248" i="1"/>
  <c r="CJ248" i="1"/>
  <c r="CP248" i="1" s="1"/>
  <c r="CJ247" i="1"/>
  <c r="CP247" i="1" s="1"/>
  <c r="BM246" i="1"/>
  <c r="AN246" i="1"/>
  <c r="S246" i="1"/>
  <c r="T246" i="1" s="1"/>
  <c r="AK246" i="1"/>
  <c r="AR246" i="1"/>
  <c r="BO246" i="1"/>
  <c r="BL245" i="1"/>
  <c r="AE245" i="1" a="1"/>
  <c r="AE245" i="1" s="1"/>
  <c r="CC244" i="1"/>
  <c r="CJ244" i="1"/>
  <c r="CP244" i="1" s="1"/>
  <c r="BL242" i="1"/>
  <c r="P242" i="1" a="1"/>
  <c r="P242" i="1" s="1"/>
  <c r="CF239" i="1"/>
  <c r="BO239" i="1"/>
  <c r="CK238" i="1"/>
  <c r="CQ238" i="1" s="1"/>
  <c r="CN237" i="1"/>
  <c r="P226" i="1" a="1"/>
  <c r="P226" i="1" s="1"/>
  <c r="BM222" i="1"/>
  <c r="Y220" i="1" a="1"/>
  <c r="Y220" i="1" s="1"/>
  <c r="CE218" i="1"/>
  <c r="CL218" i="1"/>
  <c r="CR218" i="1" s="1"/>
  <c r="M218" i="1"/>
  <c r="AN218" i="1"/>
  <c r="CK218" i="1"/>
  <c r="CQ218" i="1" s="1"/>
  <c r="AG218" i="1" a="1"/>
  <c r="AG218" i="1" s="1"/>
  <c r="V217" i="1" a="1"/>
  <c r="V217" i="1" s="1"/>
  <c r="W217" i="1" s="1"/>
  <c r="AN217" i="1"/>
  <c r="BK217" i="1"/>
  <c r="CH217" i="1"/>
  <c r="AC217" i="1" a="1"/>
  <c r="AC217" i="1" s="1"/>
  <c r="AP217" i="1"/>
  <c r="BM217" i="1"/>
  <c r="P217" i="1" a="1"/>
  <c r="P217" i="1" s="1"/>
  <c r="Y217" i="1" a="1"/>
  <c r="Y217" i="1" s="1"/>
  <c r="AQ217" i="1"/>
  <c r="BN217" i="1"/>
  <c r="AR217" i="1"/>
  <c r="BO217" i="1"/>
  <c r="AO217" i="1"/>
  <c r="CB217" i="1"/>
  <c r="S217" i="1"/>
  <c r="T217" i="1" s="1"/>
  <c r="I217" i="1"/>
  <c r="BL217" i="1"/>
  <c r="Z217" i="1" a="1"/>
  <c r="Z217" i="1" s="1"/>
  <c r="AJ217" i="1"/>
  <c r="AL217" i="1" s="1"/>
  <c r="AA217" i="1" a="1"/>
  <c r="AA217" i="1" s="1"/>
  <c r="AR211" i="1"/>
  <c r="BO211" i="1"/>
  <c r="Z211" i="1" a="1"/>
  <c r="Z211" i="1" s="1"/>
  <c r="AE211" i="1" a="1"/>
  <c r="AE211" i="1" s="1"/>
  <c r="AJ211" i="1"/>
  <c r="S211" i="1"/>
  <c r="T211" i="1" s="1"/>
  <c r="AK211" i="1"/>
  <c r="K211" i="1"/>
  <c r="AA211" i="1" a="1"/>
  <c r="AA211" i="1" s="1"/>
  <c r="P211" i="1" a="1"/>
  <c r="P211" i="1" s="1"/>
  <c r="Y211" i="1" a="1"/>
  <c r="Y211" i="1" s="1"/>
  <c r="AQ211" i="1"/>
  <c r="BL211" i="1"/>
  <c r="CC211" i="1"/>
  <c r="BM211" i="1"/>
  <c r="CD211" i="1"/>
  <c r="BN211" i="1"/>
  <c r="CI211" i="1"/>
  <c r="CO211" i="1" s="1"/>
  <c r="CJ211" i="1"/>
  <c r="CP211" i="1" s="1"/>
  <c r="AP211" i="1"/>
  <c r="CN202" i="1"/>
  <c r="AJ253" i="1"/>
  <c r="AC253" i="1" a="1"/>
  <c r="AC253" i="1" s="1"/>
  <c r="AP252" i="1"/>
  <c r="BM252" i="1"/>
  <c r="V252" i="1" a="1"/>
  <c r="V252" i="1" s="1"/>
  <c r="W252" i="1" s="1"/>
  <c r="AN252" i="1"/>
  <c r="BK252" i="1"/>
  <c r="CH252" i="1"/>
  <c r="AR251" i="1"/>
  <c r="AA251" i="1" a="1"/>
  <c r="AA251" i="1" s="1"/>
  <c r="CK250" i="1"/>
  <c r="CQ250" i="1" s="1"/>
  <c r="BK250" i="1"/>
  <c r="AJ250" i="1"/>
  <c r="V250" i="1" a="1"/>
  <c r="V250" i="1" s="1"/>
  <c r="W250" i="1" s="1"/>
  <c r="I250" i="1"/>
  <c r="CB249" i="1"/>
  <c r="AJ249" i="1"/>
  <c r="AC249" i="1" a="1"/>
  <c r="AC249" i="1" s="1"/>
  <c r="J249" i="1"/>
  <c r="BN248" i="1"/>
  <c r="AE248" i="1" a="1"/>
  <c r="AE248" i="1" s="1"/>
  <c r="Y248" i="1" a="1"/>
  <c r="Y248" i="1" s="1"/>
  <c r="CI247" i="1"/>
  <c r="CO247" i="1" s="1"/>
  <c r="BL246" i="1"/>
  <c r="AD246" i="1" a="1"/>
  <c r="AD246" i="1" s="1"/>
  <c r="CD245" i="1"/>
  <c r="BK245" i="1"/>
  <c r="AK245" i="1"/>
  <c r="AD245" i="1" a="1"/>
  <c r="AD245" i="1" s="1"/>
  <c r="V245" i="1" a="1"/>
  <c r="V245" i="1" s="1"/>
  <c r="W245" i="1" s="1"/>
  <c r="K245" i="1"/>
  <c r="AR245" i="1"/>
  <c r="BO245" i="1"/>
  <c r="AP245" i="1"/>
  <c r="BM245" i="1"/>
  <c r="BO244" i="1"/>
  <c r="AO244" i="1"/>
  <c r="AH243" i="1" a="1"/>
  <c r="AH243" i="1" s="1"/>
  <c r="BK242" i="1"/>
  <c r="AC240" i="1" a="1"/>
  <c r="AC240" i="1" s="1"/>
  <c r="AO240" i="1"/>
  <c r="BL240" i="1"/>
  <c r="CB240" i="1"/>
  <c r="AP240" i="1"/>
  <c r="BM240" i="1"/>
  <c r="P240" i="1" a="1"/>
  <c r="P240" i="1" s="1"/>
  <c r="Y240" i="1" a="1"/>
  <c r="Y240" i="1" s="1"/>
  <c r="AQ240" i="1"/>
  <c r="BN240" i="1"/>
  <c r="I240" i="1"/>
  <c r="Z240" i="1" a="1"/>
  <c r="Z240" i="1" s="1"/>
  <c r="AJ240" i="1"/>
  <c r="V240" i="1" a="1"/>
  <c r="V240" i="1" s="1"/>
  <c r="W240" i="1" s="1"/>
  <c r="AN240" i="1"/>
  <c r="BK240" i="1"/>
  <c r="CH240" i="1"/>
  <c r="BM239" i="1"/>
  <c r="AF239" i="1" a="1"/>
  <c r="AF239" i="1" s="1"/>
  <c r="L239" i="1"/>
  <c r="AO239" i="1"/>
  <c r="BL239" i="1"/>
  <c r="BN239" i="1"/>
  <c r="CD239" i="1"/>
  <c r="CK239" i="1"/>
  <c r="CQ239" i="1" s="1"/>
  <c r="BN238" i="1"/>
  <c r="V238" i="1" a="1"/>
  <c r="V238" i="1" s="1"/>
  <c r="W238" i="1" s="1"/>
  <c r="CF235" i="1"/>
  <c r="BO235" i="1"/>
  <c r="V235" i="1" a="1"/>
  <c r="V235" i="1" s="1"/>
  <c r="W235" i="1" s="1"/>
  <c r="AP232" i="1"/>
  <c r="CJ230" i="1"/>
  <c r="CP230" i="1" s="1"/>
  <c r="L230" i="1"/>
  <c r="CK230" i="1"/>
  <c r="CQ230" i="1" s="1"/>
  <c r="AF230" i="1" a="1"/>
  <c r="AF230" i="1" s="1"/>
  <c r="CD230" i="1"/>
  <c r="CD229" i="1"/>
  <c r="CK229" i="1"/>
  <c r="CQ229" i="1" s="1"/>
  <c r="CJ229" i="1"/>
  <c r="L229" i="1"/>
  <c r="BL229" i="1"/>
  <c r="AF229" i="1" a="1"/>
  <c r="AF229" i="1" s="1"/>
  <c r="CK228" i="1"/>
  <c r="CQ228" i="1" s="1"/>
  <c r="AR228" i="1"/>
  <c r="AR226" i="1"/>
  <c r="AP225" i="1"/>
  <c r="P225" i="1" a="1"/>
  <c r="P225" i="1" s="1"/>
  <c r="Y225" i="1" a="1"/>
  <c r="Y225" i="1" s="1"/>
  <c r="AQ225" i="1"/>
  <c r="BN225" i="1"/>
  <c r="AR225" i="1"/>
  <c r="BO225" i="1"/>
  <c r="AA225" i="1" a="1"/>
  <c r="AA225" i="1" s="1"/>
  <c r="AJ225" i="1"/>
  <c r="BK225" i="1"/>
  <c r="S225" i="1"/>
  <c r="T225" i="1" s="1"/>
  <c r="AC225" i="1" a="1"/>
  <c r="AC225" i="1" s="1"/>
  <c r="AK225" i="1"/>
  <c r="BL225" i="1"/>
  <c r="I225" i="1"/>
  <c r="BM225" i="1"/>
  <c r="V225" i="1" a="1"/>
  <c r="V225" i="1" s="1"/>
  <c r="W225" i="1" s="1"/>
  <c r="Z225" i="1" a="1"/>
  <c r="Z225" i="1" s="1"/>
  <c r="CJ258" i="1"/>
  <c r="CP258" i="1" s="1"/>
  <c r="CC258" i="1"/>
  <c r="CH257" i="1"/>
  <c r="BK257" i="1"/>
  <c r="AN257" i="1"/>
  <c r="V257" i="1" a="1"/>
  <c r="V257" i="1" s="1"/>
  <c r="W257" i="1" s="1"/>
  <c r="AK256" i="1"/>
  <c r="S256" i="1"/>
  <c r="T256" i="1" s="1"/>
  <c r="CL255" i="1"/>
  <c r="CR255" i="1" s="1"/>
  <c r="CE255" i="1"/>
  <c r="S253" i="1"/>
  <c r="T253" i="1" s="1"/>
  <c r="I253" i="1"/>
  <c r="BL252" i="1"/>
  <c r="AK252" i="1"/>
  <c r="CF251" i="1"/>
  <c r="AQ251" i="1"/>
  <c r="AG251" i="1" a="1"/>
  <c r="AG251" i="1" s="1"/>
  <c r="Z251" i="1" a="1"/>
  <c r="Z251" i="1" s="1"/>
  <c r="P251" i="1" a="1"/>
  <c r="P251" i="1" s="1"/>
  <c r="AC250" i="1" a="1"/>
  <c r="AC250" i="1" s="1"/>
  <c r="CK249" i="1"/>
  <c r="CQ249" i="1" s="1"/>
  <c r="S249" i="1"/>
  <c r="T249" i="1" s="1"/>
  <c r="I249" i="1"/>
  <c r="CD248" i="1"/>
  <c r="BL248" i="1"/>
  <c r="AK248" i="1"/>
  <c r="K248" i="1"/>
  <c r="AP248" i="1"/>
  <c r="BM248" i="1"/>
  <c r="V248" i="1" a="1"/>
  <c r="V248" i="1" s="1"/>
  <c r="W248" i="1" s="1"/>
  <c r="AN248" i="1"/>
  <c r="BK248" i="1"/>
  <c r="CH248" i="1"/>
  <c r="CB246" i="1"/>
  <c r="BK246" i="1"/>
  <c r="AJ246" i="1"/>
  <c r="V246" i="1" a="1"/>
  <c r="V246" i="1" s="1"/>
  <c r="W246" i="1" s="1"/>
  <c r="I246" i="1"/>
  <c r="CB245" i="1"/>
  <c r="AJ245" i="1"/>
  <c r="AC245" i="1" a="1"/>
  <c r="AC245" i="1" s="1"/>
  <c r="J245" i="1"/>
  <c r="BN244" i="1"/>
  <c r="AE244" i="1" a="1"/>
  <c r="AE244" i="1" s="1"/>
  <c r="Y244" i="1" a="1"/>
  <c r="Y244" i="1" s="1"/>
  <c r="K244" i="1"/>
  <c r="AP244" i="1"/>
  <c r="BM244" i="1"/>
  <c r="V244" i="1" a="1"/>
  <c r="V244" i="1" s="1"/>
  <c r="W244" i="1" s="1"/>
  <c r="AN244" i="1"/>
  <c r="BK244" i="1"/>
  <c r="CH244" i="1"/>
  <c r="AR243" i="1"/>
  <c r="AA243" i="1" a="1"/>
  <c r="AA243" i="1" s="1"/>
  <c r="CJ242" i="1"/>
  <c r="CP242" i="1" s="1"/>
  <c r="AA242" i="1" a="1"/>
  <c r="AA242" i="1" s="1"/>
  <c r="I242" i="1"/>
  <c r="Z242" i="1" a="1"/>
  <c r="Z242" i="1" s="1"/>
  <c r="AJ242" i="1"/>
  <c r="S242" i="1"/>
  <c r="T242" i="1" s="1"/>
  <c r="AK242" i="1"/>
  <c r="AR242" i="1"/>
  <c r="BO242" i="1"/>
  <c r="CN238" i="1"/>
  <c r="BM238" i="1"/>
  <c r="P238" i="1" a="1"/>
  <c r="P238" i="1" s="1"/>
  <c r="J238" i="1"/>
  <c r="AA238" i="1" a="1"/>
  <c r="AA238" i="1" s="1"/>
  <c r="CB238" i="1"/>
  <c r="CI238" i="1"/>
  <c r="DB238" i="1" s="1" a="1"/>
  <c r="DB238" i="1" s="1"/>
  <c r="CD237" i="1"/>
  <c r="AE237" i="1" a="1"/>
  <c r="AE237" i="1" s="1"/>
  <c r="K237" i="1"/>
  <c r="CC237" i="1"/>
  <c r="CJ237" i="1"/>
  <c r="CP237" i="1" s="1"/>
  <c r="AE230" i="1" a="1"/>
  <c r="AE230" i="1" s="1"/>
  <c r="CI230" i="1"/>
  <c r="CO230" i="1" s="1"/>
  <c r="K230" i="1"/>
  <c r="Y230" i="1" a="1"/>
  <c r="Y230" i="1" s="1"/>
  <c r="AO230" i="1"/>
  <c r="BM230" i="1"/>
  <c r="CC230" i="1"/>
  <c r="CN229" i="1"/>
  <c r="CN228" i="1"/>
  <c r="CE226" i="1"/>
  <c r="CD222" i="1"/>
  <c r="AA257" i="1" a="1"/>
  <c r="AA257" i="1" s="1"/>
  <c r="K257" i="1"/>
  <c r="AJ256" i="1"/>
  <c r="Z256" i="1" a="1"/>
  <c r="Z256" i="1" s="1"/>
  <c r="I256" i="1"/>
  <c r="AA253" i="1" a="1"/>
  <c r="AA253" i="1" s="1"/>
  <c r="CL252" i="1"/>
  <c r="CR252" i="1" s="1"/>
  <c r="CB252" i="1"/>
  <c r="AJ252" i="1"/>
  <c r="I252" i="1"/>
  <c r="CE251" i="1"/>
  <c r="BO251" i="1"/>
  <c r="N251" i="1"/>
  <c r="CE250" i="1"/>
  <c r="CL250" i="1"/>
  <c r="CR250" i="1" s="1"/>
  <c r="AA249" i="1" a="1"/>
  <c r="AA249" i="1" s="1"/>
  <c r="AJ248" i="1"/>
  <c r="AC246" i="1" a="1"/>
  <c r="AC246" i="1" s="1"/>
  <c r="S245" i="1"/>
  <c r="T245" i="1" s="1"/>
  <c r="I245" i="1"/>
  <c r="CD244" i="1"/>
  <c r="BL244" i="1"/>
  <c r="AK244" i="1"/>
  <c r="AQ243" i="1"/>
  <c r="AG243" i="1" a="1"/>
  <c r="AG243" i="1" s="1"/>
  <c r="Z243" i="1" a="1"/>
  <c r="Z243" i="1" s="1"/>
  <c r="P243" i="1" a="1"/>
  <c r="P243" i="1" s="1"/>
  <c r="CI242" i="1"/>
  <c r="Y242" i="1" a="1"/>
  <c r="Y242" i="1" s="1"/>
  <c r="L242" i="1"/>
  <c r="AR240" i="1"/>
  <c r="AR239" i="1"/>
  <c r="N239" i="1"/>
  <c r="CD238" i="1"/>
  <c r="BK238" i="1"/>
  <c r="P237" i="1" a="1"/>
  <c r="P237" i="1" s="1"/>
  <c r="Y237" i="1" a="1"/>
  <c r="Y237" i="1" s="1"/>
  <c r="AD237" i="1" a="1"/>
  <c r="AD237" i="1" s="1"/>
  <c r="AQ237" i="1"/>
  <c r="BN237" i="1"/>
  <c r="Z237" i="1" a="1"/>
  <c r="Z237" i="1" s="1"/>
  <c r="AJ237" i="1"/>
  <c r="AL237" i="1" s="1"/>
  <c r="AA237" i="1" a="1"/>
  <c r="AA237" i="1" s="1"/>
  <c r="AC236" i="1" a="1"/>
  <c r="AC236" i="1" s="1"/>
  <c r="AO236" i="1"/>
  <c r="BL236" i="1"/>
  <c r="CB236" i="1"/>
  <c r="AP236" i="1"/>
  <c r="BM236" i="1"/>
  <c r="P236" i="1" a="1"/>
  <c r="P236" i="1" s="1"/>
  <c r="Y236" i="1" a="1"/>
  <c r="Y236" i="1" s="1"/>
  <c r="AQ236" i="1"/>
  <c r="BN236" i="1"/>
  <c r="I236" i="1"/>
  <c r="Z236" i="1" a="1"/>
  <c r="Z236" i="1" s="1"/>
  <c r="AJ236" i="1"/>
  <c r="V236" i="1" a="1"/>
  <c r="V236" i="1" s="1"/>
  <c r="W236" i="1" s="1"/>
  <c r="AN236" i="1"/>
  <c r="BK236" i="1"/>
  <c r="CH236" i="1"/>
  <c r="CJ234" i="1"/>
  <c r="CP234" i="1" s="1"/>
  <c r="CF234" i="1"/>
  <c r="M234" i="1"/>
  <c r="AG234" i="1" a="1"/>
  <c r="AG234" i="1" s="1"/>
  <c r="CE234" i="1"/>
  <c r="CL234" i="1"/>
  <c r="CR234" i="1" s="1"/>
  <c r="P228" i="1" a="1"/>
  <c r="P228" i="1" s="1"/>
  <c r="AO211" i="1"/>
  <c r="Q208" i="1"/>
  <c r="K203" i="1"/>
  <c r="CI203" i="1"/>
  <c r="CO203" i="1" s="1"/>
  <c r="CJ203" i="1"/>
  <c r="CP203" i="1" s="1"/>
  <c r="CC203" i="1"/>
  <c r="AE203" i="1" a="1"/>
  <c r="AE203" i="1" s="1"/>
  <c r="AQ250" i="1"/>
  <c r="AA250" i="1" a="1"/>
  <c r="AA250" i="1" s="1"/>
  <c r="P250" i="1" a="1"/>
  <c r="P250" i="1" s="1"/>
  <c r="CH249" i="1"/>
  <c r="AQ249" i="1"/>
  <c r="CE249" i="1"/>
  <c r="CL249" i="1"/>
  <c r="CR249" i="1" s="1"/>
  <c r="CE246" i="1"/>
  <c r="CL246" i="1"/>
  <c r="CR246" i="1" s="1"/>
  <c r="AA245" i="1" a="1"/>
  <c r="AA245" i="1" s="1"/>
  <c r="AQ242" i="1"/>
  <c r="N240" i="1"/>
  <c r="AH240" i="1" a="1"/>
  <c r="AH240" i="1" s="1"/>
  <c r="CF240" i="1"/>
  <c r="AP239" i="1"/>
  <c r="V239" i="1" a="1"/>
  <c r="V239" i="1" s="1"/>
  <c r="W239" i="1" s="1"/>
  <c r="N235" i="1"/>
  <c r="AP235" i="1"/>
  <c r="BM235" i="1"/>
  <c r="AH235" i="1" a="1"/>
  <c r="AH235" i="1" s="1"/>
  <c r="AF234" i="1" a="1"/>
  <c r="AF234" i="1" s="1"/>
  <c r="L234" i="1"/>
  <c r="V234" i="1" a="1"/>
  <c r="V234" i="1" s="1"/>
  <c r="W234" i="1" s="1"/>
  <c r="AN234" i="1"/>
  <c r="BK234" i="1"/>
  <c r="N232" i="1"/>
  <c r="AO232" i="1"/>
  <c r="BL232" i="1"/>
  <c r="Y232" i="1" a="1"/>
  <c r="Y232" i="1" s="1"/>
  <c r="AH232" i="1" a="1"/>
  <c r="AH232" i="1" s="1"/>
  <c r="AQ232" i="1"/>
  <c r="BN232" i="1"/>
  <c r="P232" i="1" a="1"/>
  <c r="P232" i="1" s="1"/>
  <c r="AR232" i="1"/>
  <c r="BO232" i="1"/>
  <c r="CL232" i="1"/>
  <c r="CR232" i="1" s="1"/>
  <c r="CF232" i="1"/>
  <c r="CJ226" i="1"/>
  <c r="CP226" i="1" s="1"/>
  <c r="L226" i="1"/>
  <c r="CK226" i="1"/>
  <c r="CQ226" i="1" s="1"/>
  <c r="AF226" i="1" a="1"/>
  <c r="AF226" i="1" s="1"/>
  <c r="CD226" i="1"/>
  <c r="S223" i="1"/>
  <c r="T223" i="1" s="1"/>
  <c r="AK223" i="1"/>
  <c r="K223" i="1"/>
  <c r="AA223" i="1" a="1"/>
  <c r="AA223" i="1" s="1"/>
  <c r="AO223" i="1"/>
  <c r="BO223" i="1"/>
  <c r="AP223" i="1"/>
  <c r="AE223" i="1" a="1"/>
  <c r="AE223" i="1" s="1"/>
  <c r="AQ223" i="1"/>
  <c r="CI223" i="1"/>
  <c r="CO223" i="1" s="1"/>
  <c r="Y223" i="1" a="1"/>
  <c r="Y223" i="1" s="1"/>
  <c r="AR223" i="1"/>
  <c r="CJ223" i="1"/>
  <c r="CP223" i="1" s="1"/>
  <c r="Z223" i="1" a="1"/>
  <c r="Z223" i="1" s="1"/>
  <c r="BL223" i="1"/>
  <c r="AJ223" i="1"/>
  <c r="BN223" i="1"/>
  <c r="CD223" i="1"/>
  <c r="AF222" i="1" a="1"/>
  <c r="AF222" i="1" s="1"/>
  <c r="L222" i="1"/>
  <c r="CJ222" i="1"/>
  <c r="CP222" i="1" s="1"/>
  <c r="CK222" i="1"/>
  <c r="CQ222" i="1" s="1"/>
  <c r="P222" i="1" a="1"/>
  <c r="P222" i="1" s="1"/>
  <c r="BL222" i="1"/>
  <c r="AJ257" i="1"/>
  <c r="Z257" i="1" a="1"/>
  <c r="Z257" i="1" s="1"/>
  <c r="BN256" i="1"/>
  <c r="AQ256" i="1"/>
  <c r="Y256" i="1" a="1"/>
  <c r="Y256" i="1" s="1"/>
  <c r="AG255" i="1" a="1"/>
  <c r="AG255" i="1" s="1"/>
  <c r="AO253" i="1"/>
  <c r="Z253" i="1" a="1"/>
  <c r="Z253" i="1" s="1"/>
  <c r="AH252" i="1" a="1"/>
  <c r="AH252" i="1" s="1"/>
  <c r="AA252" i="1" a="1"/>
  <c r="AA252" i="1" s="1"/>
  <c r="CC251" i="1"/>
  <c r="BM251" i="1"/>
  <c r="V251" i="1" a="1"/>
  <c r="V251" i="1" s="1"/>
  <c r="W251" i="1" s="1"/>
  <c r="AN251" i="1"/>
  <c r="BK251" i="1"/>
  <c r="CH251" i="1"/>
  <c r="S251" i="1"/>
  <c r="T251" i="1" s="1"/>
  <c r="AK251" i="1"/>
  <c r="AP250" i="1"/>
  <c r="Z250" i="1" a="1"/>
  <c r="Z250" i="1" s="1"/>
  <c r="AO249" i="1"/>
  <c r="Z249" i="1" a="1"/>
  <c r="Z249" i="1" s="1"/>
  <c r="CI248" i="1"/>
  <c r="CO248" i="1" s="1"/>
  <c r="AA248" i="1" a="1"/>
  <c r="AA248" i="1" s="1"/>
  <c r="CD247" i="1"/>
  <c r="CH246" i="1"/>
  <c r="AQ246" i="1"/>
  <c r="AG246" i="1" a="1"/>
  <c r="AG246" i="1" s="1"/>
  <c r="AA246" i="1" a="1"/>
  <c r="AA246" i="1" s="1"/>
  <c r="P246" i="1" a="1"/>
  <c r="P246" i="1" s="1"/>
  <c r="AQ245" i="1"/>
  <c r="P245" i="1" a="1"/>
  <c r="P245" i="1" s="1"/>
  <c r="CE245" i="1"/>
  <c r="CL245" i="1"/>
  <c r="CR245" i="1" s="1"/>
  <c r="AC244" i="1" a="1"/>
  <c r="AC244" i="1" s="1"/>
  <c r="S244" i="1"/>
  <c r="T244" i="1" s="1"/>
  <c r="CD243" i="1"/>
  <c r="BN243" i="1"/>
  <c r="AO243" i="1"/>
  <c r="AE243" i="1" a="1"/>
  <c r="AE243" i="1" s="1"/>
  <c r="V243" i="1" a="1"/>
  <c r="V243" i="1" s="1"/>
  <c r="W243" i="1" s="1"/>
  <c r="AN243" i="1"/>
  <c r="BK243" i="1"/>
  <c r="CH243" i="1"/>
  <c r="S243" i="1"/>
  <c r="T243" i="1" s="1"/>
  <c r="AK243" i="1"/>
  <c r="AL243" i="1" s="1"/>
  <c r="AP242" i="1"/>
  <c r="CD241" i="1"/>
  <c r="K241" i="1"/>
  <c r="CC241" i="1"/>
  <c r="CJ241" i="1"/>
  <c r="CP241" i="1" s="1"/>
  <c r="AK240" i="1"/>
  <c r="CL239" i="1"/>
  <c r="CR239" i="1" s="1"/>
  <c r="AJ239" i="1"/>
  <c r="AQ238" i="1"/>
  <c r="AN237" i="1"/>
  <c r="J237" i="1"/>
  <c r="AR236" i="1"/>
  <c r="AA236" i="1" a="1"/>
  <c r="AA236" i="1" s="1"/>
  <c r="Z235" i="1" a="1"/>
  <c r="Z235" i="1" s="1"/>
  <c r="CD234" i="1"/>
  <c r="Y234" i="1" a="1"/>
  <c r="Y234" i="1" s="1"/>
  <c r="CD233" i="1"/>
  <c r="AE233" i="1" a="1"/>
  <c r="AE233" i="1" s="1"/>
  <c r="K233" i="1"/>
  <c r="CC233" i="1"/>
  <c r="CJ233" i="1"/>
  <c r="CP233" i="1" s="1"/>
  <c r="AK232" i="1"/>
  <c r="P230" i="1" a="1"/>
  <c r="P230" i="1" s="1"/>
  <c r="AL227" i="1"/>
  <c r="AE226" i="1" a="1"/>
  <c r="AE226" i="1" s="1"/>
  <c r="CI226" i="1"/>
  <c r="CO226" i="1" s="1"/>
  <c r="K226" i="1"/>
  <c r="Y226" i="1" a="1"/>
  <c r="Y226" i="1" s="1"/>
  <c r="AO226" i="1"/>
  <c r="BM226" i="1"/>
  <c r="CC226" i="1"/>
  <c r="P223" i="1" a="1"/>
  <c r="P223" i="1" s="1"/>
  <c r="AA212" i="1" a="1"/>
  <c r="AA212" i="1" s="1"/>
  <c r="M212" i="1"/>
  <c r="AG212" i="1" a="1"/>
  <c r="AG212" i="1" s="1"/>
  <c r="AJ212" i="1"/>
  <c r="Z212" i="1" a="1"/>
  <c r="Z212" i="1" s="1"/>
  <c r="AQ212" i="1"/>
  <c r="AR212" i="1"/>
  <c r="CE212" i="1"/>
  <c r="P212" i="1" a="1"/>
  <c r="P212" i="1" s="1"/>
  <c r="BN212" i="1"/>
  <c r="CF212" i="1"/>
  <c r="BO212" i="1"/>
  <c r="CK212" i="1"/>
  <c r="CQ212" i="1" s="1"/>
  <c r="Y212" i="1" a="1"/>
  <c r="Y212" i="1" s="1"/>
  <c r="BM241" i="1"/>
  <c r="AP241" i="1"/>
  <c r="AK239" i="1"/>
  <c r="S239" i="1"/>
  <c r="T239" i="1" s="1"/>
  <c r="BO238" i="1"/>
  <c r="AR238" i="1"/>
  <c r="BM237" i="1"/>
  <c r="AP237" i="1"/>
  <c r="AK235" i="1"/>
  <c r="AL235" i="1" s="1"/>
  <c r="S235" i="1"/>
  <c r="T235" i="1" s="1"/>
  <c r="BO234" i="1"/>
  <c r="AR234" i="1"/>
  <c r="BM233" i="1"/>
  <c r="AP233" i="1"/>
  <c r="CH232" i="1"/>
  <c r="BK232" i="1"/>
  <c r="AN232" i="1"/>
  <c r="AK231" i="1"/>
  <c r="AL231" i="1" s="1"/>
  <c r="Y231" i="1" a="1"/>
  <c r="Y231" i="1" s="1"/>
  <c r="M231" i="1"/>
  <c r="V231" i="1" a="1"/>
  <c r="V231" i="1" s="1"/>
  <c r="W231" i="1" s="1"/>
  <c r="CH230" i="1"/>
  <c r="AH230" i="1" a="1"/>
  <c r="AH230" i="1" s="1"/>
  <c r="AC230" i="1" a="1"/>
  <c r="AC230" i="1" s="1"/>
  <c r="S229" i="1"/>
  <c r="T229" i="1" s="1"/>
  <c r="S228" i="1"/>
  <c r="T228" i="1" s="1"/>
  <c r="CD227" i="1"/>
  <c r="BN227" i="1"/>
  <c r="AO227" i="1"/>
  <c r="Y227" i="1" a="1"/>
  <c r="Y227" i="1" s="1"/>
  <c r="M227" i="1"/>
  <c r="V227" i="1" a="1"/>
  <c r="V227" i="1" s="1"/>
  <c r="W227" i="1" s="1"/>
  <c r="CH226" i="1"/>
  <c r="AH226" i="1" a="1"/>
  <c r="AH226" i="1" s="1"/>
  <c r="AC226" i="1" a="1"/>
  <c r="AC226" i="1" s="1"/>
  <c r="CI225" i="1"/>
  <c r="CO225" i="1" s="1"/>
  <c r="V224" i="1" a="1"/>
  <c r="V224" i="1" s="1"/>
  <c r="W224" i="1" s="1"/>
  <c r="AN224" i="1"/>
  <c r="BK224" i="1"/>
  <c r="CH224" i="1"/>
  <c r="AC224" i="1" a="1"/>
  <c r="AC224" i="1" s="1"/>
  <c r="AO224" i="1"/>
  <c r="BL224" i="1"/>
  <c r="AP224" i="1"/>
  <c r="BM224" i="1"/>
  <c r="AF223" i="1" a="1"/>
  <c r="AF223" i="1" s="1"/>
  <c r="L223" i="1"/>
  <c r="BN222" i="1"/>
  <c r="AO222" i="1"/>
  <c r="AD222" i="1" a="1"/>
  <c r="AD222" i="1" s="1"/>
  <c r="V222" i="1" a="1"/>
  <c r="V222" i="1" s="1"/>
  <c r="W222" i="1" s="1"/>
  <c r="CE222" i="1"/>
  <c r="CL222" i="1"/>
  <c r="CR222" i="1" s="1"/>
  <c r="BN220" i="1"/>
  <c r="BN219" i="1"/>
  <c r="Y219" i="1" a="1"/>
  <c r="Y219" i="1" s="1"/>
  <c r="BK218" i="1"/>
  <c r="CF218" i="1"/>
  <c r="CE216" i="1"/>
  <c r="CD215" i="1"/>
  <c r="BM215" i="1"/>
  <c r="AG215" i="1" a="1"/>
  <c r="AG215" i="1" s="1"/>
  <c r="CB214" i="1"/>
  <c r="AC214" i="1" a="1"/>
  <c r="AC214" i="1" s="1"/>
  <c r="S213" i="1"/>
  <c r="T213" i="1" s="1"/>
  <c r="AF211" i="1" a="1"/>
  <c r="AF211" i="1" s="1"/>
  <c r="L211" i="1"/>
  <c r="AP210" i="1"/>
  <c r="BM210" i="1"/>
  <c r="P210" i="1" a="1"/>
  <c r="P210" i="1" s="1"/>
  <c r="Y210" i="1" a="1"/>
  <c r="Y210" i="1" s="1"/>
  <c r="AQ210" i="1"/>
  <c r="BN210" i="1"/>
  <c r="AR210" i="1"/>
  <c r="BO210" i="1"/>
  <c r="I210" i="1"/>
  <c r="Z210" i="1" a="1"/>
  <c r="Z210" i="1" s="1"/>
  <c r="AJ210" i="1"/>
  <c r="S210" i="1"/>
  <c r="T210" i="1" s="1"/>
  <c r="AK210" i="1"/>
  <c r="AC210" i="1" a="1"/>
  <c r="AC210" i="1" s="1"/>
  <c r="AO210" i="1"/>
  <c r="BL210" i="1"/>
  <c r="AR207" i="1"/>
  <c r="BO207" i="1"/>
  <c r="Z207" i="1" a="1"/>
  <c r="Z207" i="1" s="1"/>
  <c r="AE207" i="1" a="1"/>
  <c r="AE207" i="1" s="1"/>
  <c r="AJ207" i="1"/>
  <c r="S207" i="1"/>
  <c r="T207" i="1" s="1"/>
  <c r="AK207" i="1"/>
  <c r="K207" i="1"/>
  <c r="AA207" i="1" a="1"/>
  <c r="AA207" i="1" s="1"/>
  <c r="P207" i="1" a="1"/>
  <c r="P207" i="1" s="1"/>
  <c r="Y207" i="1" a="1"/>
  <c r="Y207" i="1" s="1"/>
  <c r="AQ207" i="1"/>
  <c r="BN207" i="1"/>
  <c r="AP203" i="1"/>
  <c r="BO199" i="1"/>
  <c r="M220" i="1"/>
  <c r="AG220" i="1" a="1"/>
  <c r="AG220" i="1" s="1"/>
  <c r="CE219" i="1"/>
  <c r="CL219" i="1"/>
  <c r="CR219" i="1" s="1"/>
  <c r="AA203" i="1" a="1"/>
  <c r="AA203" i="1" s="1"/>
  <c r="P203" i="1" a="1"/>
  <c r="P203" i="1" s="1"/>
  <c r="Y203" i="1" a="1"/>
  <c r="Y203" i="1" s="1"/>
  <c r="AD203" i="1" a="1"/>
  <c r="AD203" i="1" s="1"/>
  <c r="AQ203" i="1"/>
  <c r="BN203" i="1"/>
  <c r="S203" i="1"/>
  <c r="T203" i="1" s="1"/>
  <c r="V203" i="1" a="1"/>
  <c r="V203" i="1" s="1"/>
  <c r="W203" i="1" s="1"/>
  <c r="AJ203" i="1"/>
  <c r="BK203" i="1"/>
  <c r="CB203" i="1"/>
  <c r="J203" i="1"/>
  <c r="AK203" i="1"/>
  <c r="BL203" i="1"/>
  <c r="AN203" i="1"/>
  <c r="BM203" i="1"/>
  <c r="AR203" i="1"/>
  <c r="CH203" i="1"/>
  <c r="M202" i="1"/>
  <c r="AG202" i="1" a="1"/>
  <c r="AG202" i="1" s="1"/>
  <c r="CK202" i="1"/>
  <c r="CQ202" i="1" s="1"/>
  <c r="CL202" i="1"/>
  <c r="CR202" i="1" s="1"/>
  <c r="CE202" i="1"/>
  <c r="AA202" i="1" a="1"/>
  <c r="AA202" i="1" s="1"/>
  <c r="AR202" i="1"/>
  <c r="AQ239" i="1"/>
  <c r="Y239" i="1" a="1"/>
  <c r="Y239" i="1" s="1"/>
  <c r="P239" i="1" a="1"/>
  <c r="P239" i="1" s="1"/>
  <c r="BL238" i="1"/>
  <c r="AO238" i="1"/>
  <c r="AC238" i="1" a="1"/>
  <c r="AC238" i="1" s="1"/>
  <c r="AE236" i="1" a="1"/>
  <c r="AE236" i="1" s="1"/>
  <c r="CK235" i="1"/>
  <c r="CQ235" i="1" s="1"/>
  <c r="CD235" i="1"/>
  <c r="BN235" i="1"/>
  <c r="AQ235" i="1"/>
  <c r="Y235" i="1" a="1"/>
  <c r="Y235" i="1" s="1"/>
  <c r="P235" i="1" a="1"/>
  <c r="P235" i="1" s="1"/>
  <c r="CI234" i="1"/>
  <c r="CB234" i="1"/>
  <c r="BL234" i="1"/>
  <c r="AO234" i="1"/>
  <c r="AC234" i="1" a="1"/>
  <c r="AC234" i="1" s="1"/>
  <c r="AJ232" i="1"/>
  <c r="AE232" i="1" a="1"/>
  <c r="AE232" i="1" s="1"/>
  <c r="Z232" i="1" a="1"/>
  <c r="Z232" i="1" s="1"/>
  <c r="CF231" i="1"/>
  <c r="AR231" i="1"/>
  <c r="S231" i="1"/>
  <c r="T231" i="1" s="1"/>
  <c r="BN230" i="1"/>
  <c r="N230" i="1"/>
  <c r="BM229" i="1"/>
  <c r="AN229" i="1"/>
  <c r="AQ228" i="1"/>
  <c r="Z228" i="1" a="1"/>
  <c r="Z228" i="1" s="1"/>
  <c r="CC228" i="1"/>
  <c r="CJ227" i="1"/>
  <c r="CP227" i="1" s="1"/>
  <c r="BN226" i="1"/>
  <c r="N226" i="1"/>
  <c r="CK223" i="1"/>
  <c r="CQ223" i="1" s="1"/>
  <c r="M223" i="1"/>
  <c r="V223" i="1" a="1"/>
  <c r="V223" i="1" s="1"/>
  <c r="W223" i="1" s="1"/>
  <c r="CB222" i="1"/>
  <c r="AO221" i="1"/>
  <c r="AR220" i="1"/>
  <c r="AF219" i="1" a="1"/>
  <c r="AF219" i="1" s="1"/>
  <c r="L219" i="1"/>
  <c r="AQ218" i="1"/>
  <c r="AD218" i="1" a="1"/>
  <c r="AD218" i="1" s="1"/>
  <c r="P218" i="1" a="1"/>
  <c r="P218" i="1" s="1"/>
  <c r="CC218" i="1"/>
  <c r="CJ218" i="1"/>
  <c r="CP218" i="1" s="1"/>
  <c r="AE218" i="1" a="1"/>
  <c r="AE218" i="1" s="1"/>
  <c r="AJ216" i="1"/>
  <c r="AQ215" i="1"/>
  <c r="V211" i="1" a="1"/>
  <c r="V211" i="1" s="1"/>
  <c r="W211" i="1" s="1"/>
  <c r="CK208" i="1"/>
  <c r="CQ208" i="1" s="1"/>
  <c r="BO208" i="1"/>
  <c r="S208" i="1"/>
  <c r="T208" i="1" s="1"/>
  <c r="AD205" i="1" a="1"/>
  <c r="AD205" i="1" s="1"/>
  <c r="CI205" i="1"/>
  <c r="CO205" i="1" s="1"/>
  <c r="CB205" i="1"/>
  <c r="J205" i="1"/>
  <c r="CH205" i="1"/>
  <c r="V202" i="1" a="1"/>
  <c r="V202" i="1" s="1"/>
  <c r="W202" i="1" s="1"/>
  <c r="CD175" i="1"/>
  <c r="AE175" i="1" a="1"/>
  <c r="AE175" i="1" s="1"/>
  <c r="K175" i="1"/>
  <c r="CC175" i="1"/>
  <c r="CJ175" i="1"/>
  <c r="CP175" i="1" s="1"/>
  <c r="AN175" i="1"/>
  <c r="V175" i="1" a="1"/>
  <c r="V175" i="1" s="1"/>
  <c r="W175" i="1" s="1"/>
  <c r="AO175" i="1"/>
  <c r="BL175" i="1"/>
  <c r="CI175" i="1"/>
  <c r="CO175" i="1" s="1"/>
  <c r="BK175" i="1"/>
  <c r="I230" i="1"/>
  <c r="Z230" i="1" a="1"/>
  <c r="Z230" i="1" s="1"/>
  <c r="AJ230" i="1"/>
  <c r="S230" i="1"/>
  <c r="T230" i="1" s="1"/>
  <c r="AK230" i="1"/>
  <c r="CB228" i="1"/>
  <c r="CI228" i="1"/>
  <c r="I226" i="1"/>
  <c r="Z226" i="1" a="1"/>
  <c r="Z226" i="1" s="1"/>
  <c r="AJ226" i="1"/>
  <c r="S226" i="1"/>
  <c r="T226" i="1" s="1"/>
  <c r="AK226" i="1"/>
  <c r="M224" i="1"/>
  <c r="AG224" i="1" a="1"/>
  <c r="AG224" i="1" s="1"/>
  <c r="AA222" i="1" a="1"/>
  <c r="AA222" i="1" s="1"/>
  <c r="AR222" i="1"/>
  <c r="BO222" i="1"/>
  <c r="I222" i="1"/>
  <c r="Z222" i="1" a="1"/>
  <c r="Z222" i="1" s="1"/>
  <c r="AJ222" i="1"/>
  <c r="S222" i="1"/>
  <c r="T222" i="1" s="1"/>
  <c r="AK222" i="1"/>
  <c r="AQ220" i="1"/>
  <c r="P220" i="1" a="1"/>
  <c r="P220" i="1" s="1"/>
  <c r="AQ219" i="1"/>
  <c r="P219" i="1" a="1"/>
  <c r="P219" i="1" s="1"/>
  <c r="AR219" i="1"/>
  <c r="BO219" i="1"/>
  <c r="S219" i="1"/>
  <c r="T219" i="1" s="1"/>
  <c r="AK219" i="1"/>
  <c r="K219" i="1"/>
  <c r="AA219" i="1" a="1"/>
  <c r="AA219" i="1" s="1"/>
  <c r="AO218" i="1"/>
  <c r="Y215" i="1" a="1"/>
  <c r="Y215" i="1" s="1"/>
  <c r="CN210" i="1"/>
  <c r="P205" i="1" a="1"/>
  <c r="P205" i="1" s="1"/>
  <c r="Y205" i="1" a="1"/>
  <c r="Y205" i="1" s="1"/>
  <c r="AQ205" i="1"/>
  <c r="BN205" i="1"/>
  <c r="AK205" i="1"/>
  <c r="Z205" i="1" a="1"/>
  <c r="Z205" i="1" s="1"/>
  <c r="BK205" i="1"/>
  <c r="AN205" i="1"/>
  <c r="BL205" i="1"/>
  <c r="I205" i="1"/>
  <c r="S205" i="1"/>
  <c r="T205" i="1" s="1"/>
  <c r="AA205" i="1" a="1"/>
  <c r="AA205" i="1" s="1"/>
  <c r="AO205" i="1"/>
  <c r="BM205" i="1"/>
  <c r="AP205" i="1"/>
  <c r="BO205" i="1"/>
  <c r="AJ205" i="1"/>
  <c r="BL235" i="1"/>
  <c r="AO235" i="1"/>
  <c r="AA234" i="1" a="1"/>
  <c r="AA234" i="1" s="1"/>
  <c r="CL231" i="1"/>
  <c r="CR231" i="1" s="1"/>
  <c r="BN231" i="1"/>
  <c r="AP231" i="1"/>
  <c r="AG231" i="1" a="1"/>
  <c r="AG231" i="1" s="1"/>
  <c r="CB230" i="1"/>
  <c r="BL230" i="1"/>
  <c r="AN230" i="1"/>
  <c r="CC229" i="1"/>
  <c r="BK229" i="1"/>
  <c r="AK229" i="1"/>
  <c r="P229" i="1" a="1"/>
  <c r="P229" i="1" s="1"/>
  <c r="Y229" i="1" a="1"/>
  <c r="Y229" i="1" s="1"/>
  <c r="AQ229" i="1"/>
  <c r="BN229" i="1"/>
  <c r="AR229" i="1"/>
  <c r="BO229" i="1"/>
  <c r="BN228" i="1"/>
  <c r="Y228" i="1" a="1"/>
  <c r="Y228" i="1" s="1"/>
  <c r="AC228" i="1" a="1"/>
  <c r="AC228" i="1" s="1"/>
  <c r="AO228" i="1"/>
  <c r="BL228" i="1"/>
  <c r="AP228" i="1"/>
  <c r="BM228" i="1"/>
  <c r="AR227" i="1"/>
  <c r="AF227" i="1" a="1"/>
  <c r="AF227" i="1" s="1"/>
  <c r="L227" i="1"/>
  <c r="CB226" i="1"/>
  <c r="BL226" i="1"/>
  <c r="AN226" i="1"/>
  <c r="CF224" i="1"/>
  <c r="BN224" i="1"/>
  <c r="AJ224" i="1"/>
  <c r="AL224" i="1" s="1"/>
  <c r="AA224" i="1" a="1"/>
  <c r="AA224" i="1" s="1"/>
  <c r="Y222" i="1" a="1"/>
  <c r="Y222" i="1" s="1"/>
  <c r="CC221" i="1"/>
  <c r="CJ221" i="1"/>
  <c r="CP221" i="1" s="1"/>
  <c r="AA220" i="1" a="1"/>
  <c r="AA220" i="1" s="1"/>
  <c r="CK219" i="1"/>
  <c r="CQ219" i="1" s="1"/>
  <c r="AP219" i="1"/>
  <c r="AP218" i="1"/>
  <c r="BM218" i="1"/>
  <c r="AR218" i="1"/>
  <c r="BO218" i="1"/>
  <c r="I218" i="1"/>
  <c r="Z218" i="1" a="1"/>
  <c r="Z218" i="1" s="1"/>
  <c r="AJ218" i="1"/>
  <c r="S218" i="1"/>
  <c r="T218" i="1" s="1"/>
  <c r="AK218" i="1"/>
  <c r="AA216" i="1" a="1"/>
  <c r="AA216" i="1" s="1"/>
  <c r="M216" i="1"/>
  <c r="AG216" i="1" a="1"/>
  <c r="AG216" i="1" s="1"/>
  <c r="CE215" i="1"/>
  <c r="CL215" i="1"/>
  <c r="CR215" i="1" s="1"/>
  <c r="CF215" i="1"/>
  <c r="CC214" i="1"/>
  <c r="CJ214" i="1"/>
  <c r="CP214" i="1" s="1"/>
  <c r="CD214" i="1"/>
  <c r="AE214" i="1" a="1"/>
  <c r="AE214" i="1" s="1"/>
  <c r="V213" i="1" a="1"/>
  <c r="V213" i="1" s="1"/>
  <c r="W213" i="1" s="1"/>
  <c r="AN213" i="1"/>
  <c r="BK213" i="1"/>
  <c r="CH213" i="1"/>
  <c r="AC213" i="1" a="1"/>
  <c r="AC213" i="1" s="1"/>
  <c r="AO213" i="1"/>
  <c r="BL213" i="1"/>
  <c r="CB213" i="1"/>
  <c r="AP213" i="1"/>
  <c r="BM213" i="1"/>
  <c r="P213" i="1" a="1"/>
  <c r="P213" i="1" s="1"/>
  <c r="Y213" i="1" a="1"/>
  <c r="Y213" i="1" s="1"/>
  <c r="AQ213" i="1"/>
  <c r="BN213" i="1"/>
  <c r="AR213" i="1"/>
  <c r="BO213" i="1"/>
  <c r="S212" i="1"/>
  <c r="T212" i="1" s="1"/>
  <c r="CN206" i="1"/>
  <c r="AP206" i="1"/>
  <c r="S202" i="1"/>
  <c r="T202" i="1" s="1"/>
  <c r="P202" i="1" a="1"/>
  <c r="P202" i="1" s="1"/>
  <c r="CL241" i="1"/>
  <c r="CR241" i="1" s="1"/>
  <c r="BO241" i="1"/>
  <c r="AR241" i="1"/>
  <c r="CJ240" i="1"/>
  <c r="CP240" i="1" s="1"/>
  <c r="CH239" i="1"/>
  <c r="BK239" i="1"/>
  <c r="AN239" i="1"/>
  <c r="AK238" i="1"/>
  <c r="S238" i="1"/>
  <c r="T238" i="1" s="1"/>
  <c r="CL237" i="1"/>
  <c r="CR237" i="1" s="1"/>
  <c r="BO237" i="1"/>
  <c r="CJ236" i="1"/>
  <c r="CP236" i="1" s="1"/>
  <c r="CH235" i="1"/>
  <c r="BK235" i="1"/>
  <c r="AN235" i="1"/>
  <c r="L235" i="1"/>
  <c r="AK234" i="1"/>
  <c r="AL234" i="1" s="1"/>
  <c r="S234" i="1"/>
  <c r="T234" i="1" s="1"/>
  <c r="J234" i="1"/>
  <c r="CL233" i="1"/>
  <c r="CR233" i="1" s="1"/>
  <c r="BO233" i="1"/>
  <c r="CJ232" i="1"/>
  <c r="CP232" i="1" s="1"/>
  <c r="CC232" i="1"/>
  <c r="BM232" i="1"/>
  <c r="BM231" i="1"/>
  <c r="AO231" i="1"/>
  <c r="AF231" i="1" a="1"/>
  <c r="AF231" i="1" s="1"/>
  <c r="Z231" i="1" a="1"/>
  <c r="Z231" i="1" s="1"/>
  <c r="P231" i="1" a="1"/>
  <c r="P231" i="1" s="1"/>
  <c r="K231" i="1"/>
  <c r="AA231" i="1" a="1"/>
  <c r="AA231" i="1" s="1"/>
  <c r="BK230" i="1"/>
  <c r="AD230" i="1" a="1"/>
  <c r="AD230" i="1" s="1"/>
  <c r="CB229" i="1"/>
  <c r="AJ229" i="1"/>
  <c r="V229" i="1" a="1"/>
  <c r="V229" i="1" s="1"/>
  <c r="W229" i="1" s="1"/>
  <c r="J229" i="1"/>
  <c r="BK228" i="1"/>
  <c r="AK228" i="1"/>
  <c r="V228" i="1" a="1"/>
  <c r="V228" i="1" s="1"/>
  <c r="W228" i="1" s="1"/>
  <c r="J228" i="1"/>
  <c r="AQ227" i="1"/>
  <c r="AG227" i="1" a="1"/>
  <c r="AG227" i="1" s="1"/>
  <c r="Z227" i="1" a="1"/>
  <c r="Z227" i="1" s="1"/>
  <c r="P227" i="1" a="1"/>
  <c r="P227" i="1" s="1"/>
  <c r="K227" i="1"/>
  <c r="AA227" i="1" a="1"/>
  <c r="AA227" i="1" s="1"/>
  <c r="BK226" i="1"/>
  <c r="AD226" i="1" a="1"/>
  <c r="AD226" i="1" s="1"/>
  <c r="CB225" i="1"/>
  <c r="CD225" i="1"/>
  <c r="CE224" i="1"/>
  <c r="P224" i="1" a="1"/>
  <c r="P224" i="1" s="1"/>
  <c r="CI222" i="1"/>
  <c r="CO222" i="1" s="1"/>
  <c r="AQ222" i="1"/>
  <c r="K222" i="1"/>
  <c r="BL221" i="1"/>
  <c r="CK220" i="1"/>
  <c r="CQ220" i="1" s="1"/>
  <c r="AJ220" i="1"/>
  <c r="Z220" i="1" a="1"/>
  <c r="Z220" i="1" s="1"/>
  <c r="S220" i="1"/>
  <c r="T220" i="1" s="1"/>
  <c r="AK220" i="1"/>
  <c r="V220" i="1" a="1"/>
  <c r="V220" i="1" s="1"/>
  <c r="W220" i="1" s="1"/>
  <c r="AN220" i="1"/>
  <c r="BK220" i="1"/>
  <c r="CH220" i="1"/>
  <c r="AC220" i="1" a="1"/>
  <c r="AC220" i="1" s="1"/>
  <c r="AO220" i="1"/>
  <c r="BL220" i="1"/>
  <c r="AP220" i="1"/>
  <c r="BM220" i="1"/>
  <c r="CJ219" i="1"/>
  <c r="CP219" i="1" s="1"/>
  <c r="AO219" i="1"/>
  <c r="M219" i="1"/>
  <c r="V219" i="1" a="1"/>
  <c r="V219" i="1" s="1"/>
  <c r="W219" i="1" s="1"/>
  <c r="CH218" i="1"/>
  <c r="BN218" i="1"/>
  <c r="AA218" i="1" a="1"/>
  <c r="AA218" i="1" s="1"/>
  <c r="CK216" i="1"/>
  <c r="CQ216" i="1" s="1"/>
  <c r="BO216" i="1"/>
  <c r="AF215" i="1" a="1"/>
  <c r="AF215" i="1" s="1"/>
  <c r="L215" i="1"/>
  <c r="CH214" i="1"/>
  <c r="AD214" i="1" a="1"/>
  <c r="AD214" i="1" s="1"/>
  <c r="J214" i="1"/>
  <c r="AJ213" i="1"/>
  <c r="Z213" i="1" a="1"/>
  <c r="Z213" i="1" s="1"/>
  <c r="CC210" i="1"/>
  <c r="N208" i="1"/>
  <c r="CF208" i="1"/>
  <c r="CC207" i="1"/>
  <c r="CE207" i="1"/>
  <c r="Y206" i="1" a="1"/>
  <c r="Y206" i="1" s="1"/>
  <c r="BO203" i="1"/>
  <c r="BN241" i="1"/>
  <c r="AQ241" i="1"/>
  <c r="Y241" i="1" a="1"/>
  <c r="Y241" i="1" s="1"/>
  <c r="AG240" i="1" a="1"/>
  <c r="AG240" i="1" s="1"/>
  <c r="AA239" i="1" a="1"/>
  <c r="AA239" i="1" s="1"/>
  <c r="AJ238" i="1"/>
  <c r="Z238" i="1" a="1"/>
  <c r="Z238" i="1" s="1"/>
  <c r="AG236" i="1" a="1"/>
  <c r="AG236" i="1" s="1"/>
  <c r="AA235" i="1" a="1"/>
  <c r="AA235" i="1" s="1"/>
  <c r="Z234" i="1" a="1"/>
  <c r="Z234" i="1" s="1"/>
  <c r="V232" i="1" a="1"/>
  <c r="V232" i="1" s="1"/>
  <c r="W232" i="1" s="1"/>
  <c r="CJ231" i="1"/>
  <c r="CP231" i="1" s="1"/>
  <c r="BL231" i="1"/>
  <c r="V230" i="1" a="1"/>
  <c r="V230" i="1" s="1"/>
  <c r="W230" i="1" s="1"/>
  <c r="AC229" i="1" a="1"/>
  <c r="AC229" i="1" s="1"/>
  <c r="I229" i="1"/>
  <c r="AJ228" i="1"/>
  <c r="AD228" i="1" a="1"/>
  <c r="AD228" i="1" s="1"/>
  <c r="CE227" i="1"/>
  <c r="BO227" i="1"/>
  <c r="V226" i="1" a="1"/>
  <c r="V226" i="1" s="1"/>
  <c r="W226" i="1" s="1"/>
  <c r="Z224" i="1" a="1"/>
  <c r="Z224" i="1" s="1"/>
  <c r="CH222" i="1"/>
  <c r="AP222" i="1"/>
  <c r="Z221" i="1" a="1"/>
  <c r="Z221" i="1" s="1"/>
  <c r="K221" i="1"/>
  <c r="V221" i="1" a="1"/>
  <c r="V221" i="1" s="1"/>
  <c r="W221" i="1" s="1"/>
  <c r="AN221" i="1"/>
  <c r="AP221" i="1"/>
  <c r="BM221" i="1"/>
  <c r="P221" i="1" a="1"/>
  <c r="P221" i="1" s="1"/>
  <c r="Y221" i="1" a="1"/>
  <c r="Y221" i="1" s="1"/>
  <c r="AQ221" i="1"/>
  <c r="BN221" i="1"/>
  <c r="AR221" i="1"/>
  <c r="BO221" i="1"/>
  <c r="BO220" i="1"/>
  <c r="AJ219" i="1"/>
  <c r="Z219" i="1" a="1"/>
  <c r="Z219" i="1" s="1"/>
  <c r="BL218" i="1"/>
  <c r="Y218" i="1" a="1"/>
  <c r="Y218" i="1" s="1"/>
  <c r="CF216" i="1"/>
  <c r="BN216" i="1"/>
  <c r="P216" i="1" a="1"/>
  <c r="P216" i="1" s="1"/>
  <c r="BN215" i="1"/>
  <c r="P215" i="1" a="1"/>
  <c r="P215" i="1" s="1"/>
  <c r="AR215" i="1"/>
  <c r="BO215" i="1"/>
  <c r="Z215" i="1" a="1"/>
  <c r="Z215" i="1" s="1"/>
  <c r="AE215" i="1" a="1"/>
  <c r="AE215" i="1" s="1"/>
  <c r="AJ215" i="1"/>
  <c r="S215" i="1"/>
  <c r="T215" i="1" s="1"/>
  <c r="AK215" i="1"/>
  <c r="K215" i="1"/>
  <c r="AA215" i="1" a="1"/>
  <c r="AA215" i="1" s="1"/>
  <c r="AP214" i="1"/>
  <c r="BM214" i="1"/>
  <c r="P214" i="1" a="1"/>
  <c r="P214" i="1" s="1"/>
  <c r="Y214" i="1" a="1"/>
  <c r="Y214" i="1" s="1"/>
  <c r="AQ214" i="1"/>
  <c r="BN214" i="1"/>
  <c r="AR214" i="1"/>
  <c r="BO214" i="1"/>
  <c r="I214" i="1"/>
  <c r="Z214" i="1" a="1"/>
  <c r="Z214" i="1" s="1"/>
  <c r="AJ214" i="1"/>
  <c r="S214" i="1"/>
  <c r="T214" i="1" s="1"/>
  <c r="AK214" i="1"/>
  <c r="I213" i="1"/>
  <c r="AD210" i="1" a="1"/>
  <c r="AD210" i="1" s="1"/>
  <c r="J210" i="1"/>
  <c r="CB210" i="1"/>
  <c r="CI210" i="1"/>
  <c r="AA208" i="1" a="1"/>
  <c r="AA208" i="1" s="1"/>
  <c r="M208" i="1"/>
  <c r="AG208" i="1" a="1"/>
  <c r="AG208" i="1" s="1"/>
  <c r="Z208" i="1" a="1"/>
  <c r="Z208" i="1" s="1"/>
  <c r="AJ208" i="1"/>
  <c r="AF207" i="1" a="1"/>
  <c r="AF207" i="1" s="1"/>
  <c r="L207" i="1"/>
  <c r="CD207" i="1"/>
  <c r="CK207" i="1"/>
  <c r="CQ207" i="1" s="1"/>
  <c r="AC204" i="1" a="1"/>
  <c r="AC204" i="1" s="1"/>
  <c r="AO204" i="1"/>
  <c r="BL204" i="1"/>
  <c r="I204" i="1"/>
  <c r="Z204" i="1" a="1"/>
  <c r="Z204" i="1" s="1"/>
  <c r="AJ204" i="1"/>
  <c r="AL204" i="1" s="1"/>
  <c r="P204" i="1" a="1"/>
  <c r="P204" i="1" s="1"/>
  <c r="AP204" i="1"/>
  <c r="BN204" i="1"/>
  <c r="AA204" i="1" a="1"/>
  <c r="AA204" i="1" s="1"/>
  <c r="AQ204" i="1"/>
  <c r="BO204" i="1"/>
  <c r="S204" i="1"/>
  <c r="T204" i="1" s="1"/>
  <c r="AR204" i="1"/>
  <c r="V204" i="1" a="1"/>
  <c r="V204" i="1" s="1"/>
  <c r="W204" i="1" s="1"/>
  <c r="AN204" i="1"/>
  <c r="BM204" i="1"/>
  <c r="I199" i="1"/>
  <c r="Z199" i="1" a="1"/>
  <c r="Z199" i="1" s="1"/>
  <c r="AJ199" i="1"/>
  <c r="Y199" i="1" a="1"/>
  <c r="Y199" i="1" s="1"/>
  <c r="AK199" i="1"/>
  <c r="AN199" i="1"/>
  <c r="BK199" i="1"/>
  <c r="AP199" i="1"/>
  <c r="BM199" i="1"/>
  <c r="S199" i="1"/>
  <c r="T199" i="1" s="1"/>
  <c r="AQ199" i="1"/>
  <c r="V199" i="1" a="1"/>
  <c r="V199" i="1" s="1"/>
  <c r="W199" i="1" s="1"/>
  <c r="AR199" i="1"/>
  <c r="CB199" i="1"/>
  <c r="BL199" i="1"/>
  <c r="AA199" i="1" a="1"/>
  <c r="AA199" i="1" s="1"/>
  <c r="BN199" i="1"/>
  <c r="P199" i="1" a="1"/>
  <c r="P199" i="1" s="1"/>
  <c r="AO199" i="1"/>
  <c r="CH199" i="1"/>
  <c r="V206" i="1" a="1"/>
  <c r="V206" i="1" s="1"/>
  <c r="W206" i="1" s="1"/>
  <c r="CD204" i="1"/>
  <c r="CB204" i="1"/>
  <c r="CI204" i="1"/>
  <c r="CO204" i="1" s="1"/>
  <c r="AF203" i="1" a="1"/>
  <c r="AF203" i="1" s="1"/>
  <c r="CD203" i="1"/>
  <c r="CK203" i="1"/>
  <c r="CQ203" i="1" s="1"/>
  <c r="CJ202" i="1"/>
  <c r="CP202" i="1" s="1"/>
  <c r="CF202" i="1"/>
  <c r="CC201" i="1"/>
  <c r="BL201" i="1"/>
  <c r="AK201" i="1"/>
  <c r="AL201" i="1" s="1"/>
  <c r="J201" i="1"/>
  <c r="CE200" i="1"/>
  <c r="BN200" i="1"/>
  <c r="AN200" i="1"/>
  <c r="AH200" i="1" a="1"/>
  <c r="AH200" i="1" s="1"/>
  <c r="CF200" i="1"/>
  <c r="CI199" i="1"/>
  <c r="CO199" i="1" s="1"/>
  <c r="J199" i="1"/>
  <c r="CC199" i="1"/>
  <c r="CE197" i="1"/>
  <c r="P197" i="1" a="1"/>
  <c r="P197" i="1" s="1"/>
  <c r="CB197" i="1"/>
  <c r="CI197" i="1"/>
  <c r="CO197" i="1" s="1"/>
  <c r="J197" i="1"/>
  <c r="AQ197" i="1"/>
  <c r="BO197" i="1"/>
  <c r="V197" i="1" a="1"/>
  <c r="V197" i="1" s="1"/>
  <c r="W197" i="1" s="1"/>
  <c r="AR197" i="1"/>
  <c r="Y197" i="1" a="1"/>
  <c r="Y197" i="1" s="1"/>
  <c r="AJ197" i="1"/>
  <c r="CH197" i="1"/>
  <c r="Z197" i="1" a="1"/>
  <c r="Z197" i="1" s="1"/>
  <c r="BK197" i="1"/>
  <c r="CC197" i="1"/>
  <c r="AC193" i="1" a="1"/>
  <c r="AC193" i="1" s="1"/>
  <c r="AO193" i="1"/>
  <c r="BL193" i="1"/>
  <c r="S193" i="1"/>
  <c r="T193" i="1" s="1"/>
  <c r="AK193" i="1"/>
  <c r="P193" i="1" a="1"/>
  <c r="P193" i="1" s="1"/>
  <c r="Z193" i="1" a="1"/>
  <c r="Z193" i="1" s="1"/>
  <c r="AQ193" i="1"/>
  <c r="AA193" i="1" a="1"/>
  <c r="AA193" i="1" s="1"/>
  <c r="AR193" i="1"/>
  <c r="I193" i="1"/>
  <c r="V193" i="1" a="1"/>
  <c r="V193" i="1" s="1"/>
  <c r="W193" i="1" s="1"/>
  <c r="AJ193" i="1"/>
  <c r="BK193" i="1"/>
  <c r="BM193" i="1"/>
  <c r="AP193" i="1"/>
  <c r="CE168" i="1"/>
  <c r="CL168" i="1"/>
  <c r="CR168" i="1" s="1"/>
  <c r="Y168" i="1" a="1"/>
  <c r="Y168" i="1" s="1"/>
  <c r="BN168" i="1"/>
  <c r="Z168" i="1" a="1"/>
  <c r="Z168" i="1" s="1"/>
  <c r="AJ168" i="1"/>
  <c r="AA168" i="1" a="1"/>
  <c r="AA168" i="1" s="1"/>
  <c r="M168" i="1"/>
  <c r="AO168" i="1"/>
  <c r="CK168" i="1"/>
  <c r="CQ168" i="1" s="1"/>
  <c r="AQ168" i="1"/>
  <c r="AG168" i="1" a="1"/>
  <c r="AG168" i="1" s="1"/>
  <c r="BL168" i="1"/>
  <c r="CF168" i="1"/>
  <c r="P198" i="1" a="1"/>
  <c r="P198" i="1" s="1"/>
  <c r="Y198" i="1" a="1"/>
  <c r="Y198" i="1" s="1"/>
  <c r="AQ198" i="1"/>
  <c r="BN198" i="1"/>
  <c r="Z198" i="1" a="1"/>
  <c r="Z198" i="1" s="1"/>
  <c r="BK198" i="1"/>
  <c r="AN198" i="1"/>
  <c r="BL198" i="1"/>
  <c r="AP198" i="1"/>
  <c r="BO198" i="1"/>
  <c r="CN189" i="1"/>
  <c r="CH231" i="1"/>
  <c r="BK231" i="1"/>
  <c r="AN231" i="1"/>
  <c r="CL229" i="1"/>
  <c r="CR229" i="1" s="1"/>
  <c r="CJ228" i="1"/>
  <c r="CP228" i="1" s="1"/>
  <c r="CH227" i="1"/>
  <c r="BK227" i="1"/>
  <c r="AN227" i="1"/>
  <c r="CL225" i="1"/>
  <c r="CR225" i="1" s="1"/>
  <c r="CJ224" i="1"/>
  <c r="CP224" i="1" s="1"/>
  <c r="CH223" i="1"/>
  <c r="BK223" i="1"/>
  <c r="AN223" i="1"/>
  <c r="CL221" i="1"/>
  <c r="CR221" i="1" s="1"/>
  <c r="CJ220" i="1"/>
  <c r="CP220" i="1" s="1"/>
  <c r="CH219" i="1"/>
  <c r="BK219" i="1"/>
  <c r="AN219" i="1"/>
  <c r="CL217" i="1"/>
  <c r="CR217" i="1" s="1"/>
  <c r="CJ216" i="1"/>
  <c r="CP216" i="1" s="1"/>
  <c r="BM216" i="1"/>
  <c r="AP216" i="1"/>
  <c r="CH215" i="1"/>
  <c r="BK215" i="1"/>
  <c r="AN215" i="1"/>
  <c r="CL213" i="1"/>
  <c r="CR213" i="1" s="1"/>
  <c r="CJ212" i="1"/>
  <c r="CP212" i="1" s="1"/>
  <c r="BM212" i="1"/>
  <c r="AP212" i="1"/>
  <c r="CH211" i="1"/>
  <c r="BK211" i="1"/>
  <c r="AN211" i="1"/>
  <c r="CL209" i="1"/>
  <c r="CR209" i="1" s="1"/>
  <c r="BO209" i="1"/>
  <c r="AR209" i="1"/>
  <c r="CJ208" i="1"/>
  <c r="CP208" i="1" s="1"/>
  <c r="BM208" i="1"/>
  <c r="AP208" i="1"/>
  <c r="CH207" i="1"/>
  <c r="BK207" i="1"/>
  <c r="AN207" i="1"/>
  <c r="AK206" i="1"/>
  <c r="CF205" i="1"/>
  <c r="CH204" i="1"/>
  <c r="AD204" i="1" a="1"/>
  <c r="AD204" i="1" s="1"/>
  <c r="J204" i="1"/>
  <c r="BO202" i="1"/>
  <c r="AQ202" i="1"/>
  <c r="CI201" i="1"/>
  <c r="CO201" i="1" s="1"/>
  <c r="CK200" i="1"/>
  <c r="CQ200" i="1" s="1"/>
  <c r="CD199" i="1"/>
  <c r="CH198" i="1"/>
  <c r="AJ198" i="1"/>
  <c r="AL198" i="1" s="1"/>
  <c r="AA198" i="1" a="1"/>
  <c r="AA198" i="1" s="1"/>
  <c r="AN197" i="1"/>
  <c r="CF195" i="1"/>
  <c r="N195" i="1"/>
  <c r="BK195" i="1"/>
  <c r="CL195" i="1"/>
  <c r="CR195" i="1" s="1"/>
  <c r="AO195" i="1"/>
  <c r="BN195" i="1"/>
  <c r="AH195" i="1" a="1"/>
  <c r="AH195" i="1" s="1"/>
  <c r="CF176" i="1"/>
  <c r="M176" i="1"/>
  <c r="AG176" i="1" a="1"/>
  <c r="AG176" i="1" s="1"/>
  <c r="CE176" i="1"/>
  <c r="CL176" i="1"/>
  <c r="CR176" i="1" s="1"/>
  <c r="BM176" i="1"/>
  <c r="CK176" i="1"/>
  <c r="CQ176" i="1" s="1"/>
  <c r="P176" i="1" a="1"/>
  <c r="P176" i="1" s="1"/>
  <c r="Y176" i="1" a="1"/>
  <c r="Y176" i="1" s="1"/>
  <c r="AP176" i="1"/>
  <c r="CK225" i="1"/>
  <c r="CQ225" i="1" s="1"/>
  <c r="CI224" i="1"/>
  <c r="CO224" i="1" s="1"/>
  <c r="CK221" i="1"/>
  <c r="CQ221" i="1" s="1"/>
  <c r="CI220" i="1"/>
  <c r="CO220" i="1" s="1"/>
  <c r="CK217" i="1"/>
  <c r="CQ217" i="1" s="1"/>
  <c r="CI216" i="1"/>
  <c r="CO216" i="1" s="1"/>
  <c r="BL216" i="1"/>
  <c r="AO216" i="1"/>
  <c r="AC216" i="1" a="1"/>
  <c r="AC216" i="1" s="1"/>
  <c r="CK213" i="1"/>
  <c r="CQ213" i="1" s="1"/>
  <c r="CI212" i="1"/>
  <c r="CO212" i="1" s="1"/>
  <c r="BL212" i="1"/>
  <c r="AO212" i="1"/>
  <c r="AC212" i="1" a="1"/>
  <c r="AC212" i="1" s="1"/>
  <c r="AE210" i="1" a="1"/>
  <c r="AE210" i="1" s="1"/>
  <c r="CK209" i="1"/>
  <c r="CQ209" i="1" s="1"/>
  <c r="BN209" i="1"/>
  <c r="AQ209" i="1"/>
  <c r="Y209" i="1" a="1"/>
  <c r="Y209" i="1" s="1"/>
  <c r="P209" i="1" a="1"/>
  <c r="P209" i="1" s="1"/>
  <c r="CB208" i="1"/>
  <c r="BL208" i="1"/>
  <c r="AO208" i="1"/>
  <c r="AC208" i="1" a="1"/>
  <c r="AC208" i="1" s="1"/>
  <c r="AJ206" i="1"/>
  <c r="P206" i="1" a="1"/>
  <c r="P206" i="1" s="1"/>
  <c r="CE205" i="1"/>
  <c r="BN202" i="1"/>
  <c r="AP202" i="1"/>
  <c r="AF202" i="1" a="1"/>
  <c r="AF202" i="1" s="1"/>
  <c r="CB202" i="1"/>
  <c r="CI202" i="1"/>
  <c r="CO202" i="1" s="1"/>
  <c r="CH201" i="1"/>
  <c r="AR201" i="1"/>
  <c r="CD201" i="1"/>
  <c r="CK201" i="1"/>
  <c r="CQ201" i="1" s="1"/>
  <c r="AF201" i="1" a="1"/>
  <c r="AF201" i="1" s="1"/>
  <c r="CJ200" i="1"/>
  <c r="CP200" i="1" s="1"/>
  <c r="AA200" i="1" a="1"/>
  <c r="AA200" i="1" s="1"/>
  <c r="CB200" i="1"/>
  <c r="CI200" i="1"/>
  <c r="CO200" i="1" s="1"/>
  <c r="AD200" i="1" a="1"/>
  <c r="AD200" i="1" s="1"/>
  <c r="CF199" i="1"/>
  <c r="N199" i="1"/>
  <c r="BM198" i="1"/>
  <c r="I198" i="1"/>
  <c r="AK197" i="1"/>
  <c r="CF197" i="1"/>
  <c r="AH197" i="1" a="1"/>
  <c r="AH197" i="1" s="1"/>
  <c r="N197" i="1"/>
  <c r="AF192" i="1" a="1"/>
  <c r="AF192" i="1" s="1"/>
  <c r="L192" i="1"/>
  <c r="CJ192" i="1"/>
  <c r="CP192" i="1" s="1"/>
  <c r="S192" i="1"/>
  <c r="T192" i="1" s="1"/>
  <c r="AN192" i="1"/>
  <c r="BM192" i="1"/>
  <c r="CD192" i="1"/>
  <c r="Q180" i="1"/>
  <c r="CJ217" i="1"/>
  <c r="CP217" i="1" s="1"/>
  <c r="CH216" i="1"/>
  <c r="BK216" i="1"/>
  <c r="AN216" i="1"/>
  <c r="V216" i="1" a="1"/>
  <c r="V216" i="1" s="1"/>
  <c r="W216" i="1" s="1"/>
  <c r="CL214" i="1"/>
  <c r="CR214" i="1" s="1"/>
  <c r="CJ213" i="1"/>
  <c r="CP213" i="1" s="1"/>
  <c r="CH212" i="1"/>
  <c r="BK212" i="1"/>
  <c r="AN212" i="1"/>
  <c r="V212" i="1" a="1"/>
  <c r="V212" i="1" s="1"/>
  <c r="W212" i="1" s="1"/>
  <c r="CL210" i="1"/>
  <c r="CR210" i="1" s="1"/>
  <c r="CJ209" i="1"/>
  <c r="CP209" i="1" s="1"/>
  <c r="BM209" i="1"/>
  <c r="AP209" i="1"/>
  <c r="CH208" i="1"/>
  <c r="BK208" i="1"/>
  <c r="AN208" i="1"/>
  <c r="V208" i="1" a="1"/>
  <c r="V208" i="1" s="1"/>
  <c r="W208" i="1" s="1"/>
  <c r="BO206" i="1"/>
  <c r="AR206" i="1"/>
  <c r="M204" i="1"/>
  <c r="AG204" i="1" a="1"/>
  <c r="AG204" i="1" s="1"/>
  <c r="CL203" i="1"/>
  <c r="CR203" i="1" s="1"/>
  <c r="CD202" i="1"/>
  <c r="BM202" i="1"/>
  <c r="AN202" i="1"/>
  <c r="Y202" i="1" a="1"/>
  <c r="Y202" i="1" s="1"/>
  <c r="L202" i="1"/>
  <c r="I202" i="1"/>
  <c r="Z202" i="1" a="1"/>
  <c r="Z202" i="1" s="1"/>
  <c r="AJ202" i="1"/>
  <c r="AC202" i="1" a="1"/>
  <c r="AC202" i="1" s="1"/>
  <c r="AO202" i="1"/>
  <c r="BL202" i="1"/>
  <c r="AP201" i="1"/>
  <c r="N201" i="1"/>
  <c r="CH200" i="1"/>
  <c r="L200" i="1"/>
  <c r="AC200" i="1" a="1"/>
  <c r="AC200" i="1" s="1"/>
  <c r="AO200" i="1"/>
  <c r="BL200" i="1"/>
  <c r="P200" i="1" a="1"/>
  <c r="P200" i="1" s="1"/>
  <c r="Y200" i="1" a="1"/>
  <c r="Y200" i="1" s="1"/>
  <c r="AQ200" i="1"/>
  <c r="I200" i="1"/>
  <c r="Z200" i="1" a="1"/>
  <c r="Z200" i="1" s="1"/>
  <c r="AJ200" i="1"/>
  <c r="AL200" i="1" s="1"/>
  <c r="CL197" i="1"/>
  <c r="CR197" i="1" s="1"/>
  <c r="AF196" i="1" a="1"/>
  <c r="AF196" i="1" s="1"/>
  <c r="CJ196" i="1"/>
  <c r="CD196" i="1"/>
  <c r="AK195" i="1"/>
  <c r="AA189" i="1" a="1"/>
  <c r="AA189" i="1" s="1"/>
  <c r="CB189" i="1"/>
  <c r="CI189" i="1"/>
  <c r="CO189" i="1" s="1"/>
  <c r="AP189" i="1"/>
  <c r="BM189" i="1"/>
  <c r="CC189" i="1"/>
  <c r="P189" i="1" a="1"/>
  <c r="P189" i="1" s="1"/>
  <c r="Y189" i="1" a="1"/>
  <c r="Y189" i="1" s="1"/>
  <c r="AD189" i="1" a="1"/>
  <c r="AD189" i="1" s="1"/>
  <c r="AQ189" i="1"/>
  <c r="J189" i="1"/>
  <c r="V189" i="1" a="1"/>
  <c r="V189" i="1" s="1"/>
  <c r="W189" i="1" s="1"/>
  <c r="AJ189" i="1"/>
  <c r="AN189" i="1"/>
  <c r="Z189" i="1" a="1"/>
  <c r="Z189" i="1" s="1"/>
  <c r="AR189" i="1"/>
  <c r="BK189" i="1"/>
  <c r="BN189" i="1"/>
  <c r="AD187" i="1" a="1"/>
  <c r="AD187" i="1" s="1"/>
  <c r="J187" i="1"/>
  <c r="S187" i="1"/>
  <c r="T187" i="1" s="1"/>
  <c r="AK187" i="1"/>
  <c r="AA187" i="1" a="1"/>
  <c r="AA187" i="1" s="1"/>
  <c r="AN187" i="1"/>
  <c r="AO187" i="1"/>
  <c r="AR187" i="1"/>
  <c r="CB187" i="1"/>
  <c r="BK187" i="1"/>
  <c r="BL187" i="1"/>
  <c r="CH187" i="1"/>
  <c r="CF211" i="1"/>
  <c r="CD210" i="1"/>
  <c r="CB209" i="1"/>
  <c r="BL209" i="1"/>
  <c r="AO209" i="1"/>
  <c r="AC209" i="1" a="1"/>
  <c r="AC209" i="1" s="1"/>
  <c r="CF207" i="1"/>
  <c r="BK202" i="1"/>
  <c r="CF201" i="1"/>
  <c r="BO201" i="1"/>
  <c r="AO201" i="1"/>
  <c r="AD201" i="1" a="1"/>
  <c r="AD201" i="1" s="1"/>
  <c r="AA201" i="1" a="1"/>
  <c r="AA201" i="1" s="1"/>
  <c r="AR200" i="1"/>
  <c r="AF200" i="1" a="1"/>
  <c r="AF200" i="1" s="1"/>
  <c r="V198" i="1" a="1"/>
  <c r="V198" i="1" s="1"/>
  <c r="W198" i="1" s="1"/>
  <c r="K196" i="1"/>
  <c r="Z196" i="1" a="1"/>
  <c r="Z196" i="1" s="1"/>
  <c r="AN196" i="1"/>
  <c r="BL196" i="1"/>
  <c r="CC196" i="1"/>
  <c r="S196" i="1"/>
  <c r="AP196" i="1"/>
  <c r="BN196" i="1"/>
  <c r="V196" i="1" a="1"/>
  <c r="V196" i="1" s="1"/>
  <c r="W196" i="1" s="1"/>
  <c r="AQ196" i="1"/>
  <c r="BO196" i="1"/>
  <c r="BK192" i="1"/>
  <c r="V187" i="1" a="1"/>
  <c r="V187" i="1" s="1"/>
  <c r="W187" i="1" s="1"/>
  <c r="CN175" i="1"/>
  <c r="AK216" i="1"/>
  <c r="AK212" i="1"/>
  <c r="CL211" i="1"/>
  <c r="CR211" i="1" s="1"/>
  <c r="CJ210" i="1"/>
  <c r="CP210" i="1" s="1"/>
  <c r="CH209" i="1"/>
  <c r="BK209" i="1"/>
  <c r="AN209" i="1"/>
  <c r="AK208" i="1"/>
  <c r="CL207" i="1"/>
  <c r="CR207" i="1" s="1"/>
  <c r="CC206" i="1"/>
  <c r="BM206" i="1"/>
  <c r="I206" i="1"/>
  <c r="Z206" i="1" a="1"/>
  <c r="Z206" i="1" s="1"/>
  <c r="CD205" i="1"/>
  <c r="CK205" i="1"/>
  <c r="CQ205" i="1" s="1"/>
  <c r="CE204" i="1"/>
  <c r="AK202" i="1"/>
  <c r="BM201" i="1"/>
  <c r="AN201" i="1"/>
  <c r="P201" i="1" a="1"/>
  <c r="P201" i="1" s="1"/>
  <c r="BO200" i="1"/>
  <c r="CJ199" i="1"/>
  <c r="CP199" i="1" s="1"/>
  <c r="CB198" i="1"/>
  <c r="S198" i="1"/>
  <c r="T198" i="1" s="1"/>
  <c r="CD198" i="1"/>
  <c r="CK198" i="1"/>
  <c r="CQ198" i="1" s="1"/>
  <c r="AF198" i="1" a="1"/>
  <c r="AF198" i="1" s="1"/>
  <c r="L198" i="1"/>
  <c r="BM197" i="1"/>
  <c r="AF197" i="1" a="1"/>
  <c r="AF197" i="1" s="1"/>
  <c r="CN196" i="1"/>
  <c r="P192" i="1" a="1"/>
  <c r="P192" i="1" s="1"/>
  <c r="CB193" i="1"/>
  <c r="CI193" i="1"/>
  <c r="CO193" i="1" s="1"/>
  <c r="J193" i="1"/>
  <c r="CF192" i="1"/>
  <c r="CE192" i="1"/>
  <c r="CL192" i="1"/>
  <c r="CR192" i="1" s="1"/>
  <c r="AF188" i="1" a="1"/>
  <c r="AF188" i="1" s="1"/>
  <c r="L188" i="1"/>
  <c r="AN188" i="1"/>
  <c r="BK188" i="1"/>
  <c r="AO188" i="1"/>
  <c r="BL188" i="1"/>
  <c r="CD187" i="1"/>
  <c r="AE187" i="1" a="1"/>
  <c r="AE187" i="1" s="1"/>
  <c r="K187" i="1"/>
  <c r="CC187" i="1"/>
  <c r="CJ187" i="1"/>
  <c r="CP187" i="1" s="1"/>
  <c r="Q167" i="1"/>
  <c r="Z165" i="1" a="1"/>
  <c r="Z165" i="1" s="1"/>
  <c r="CK199" i="1"/>
  <c r="CQ199" i="1" s="1"/>
  <c r="M197" i="1"/>
  <c r="AG197" i="1" a="1"/>
  <c r="AG197" i="1" s="1"/>
  <c r="M196" i="1"/>
  <c r="AA196" i="1" a="1"/>
  <c r="AA196" i="1" s="1"/>
  <c r="CH195" i="1"/>
  <c r="S195" i="1"/>
  <c r="T195" i="1" s="1"/>
  <c r="AC194" i="1" a="1"/>
  <c r="AC194" i="1" s="1"/>
  <c r="S194" i="1"/>
  <c r="T194" i="1" s="1"/>
  <c r="CB192" i="1"/>
  <c r="AE192" i="1" a="1"/>
  <c r="AE192" i="1" s="1"/>
  <c r="K192" i="1"/>
  <c r="BK191" i="1"/>
  <c r="CD191" i="1"/>
  <c r="AE191" i="1" a="1"/>
  <c r="AE191" i="1" s="1"/>
  <c r="CC191" i="1"/>
  <c r="CJ191" i="1"/>
  <c r="CP191" i="1" s="1"/>
  <c r="AA190" i="1" a="1"/>
  <c r="AA190" i="1" s="1"/>
  <c r="CD190" i="1"/>
  <c r="CK190" i="1"/>
  <c r="CQ190" i="1" s="1"/>
  <c r="L190" i="1"/>
  <c r="CD188" i="1"/>
  <c r="BM188" i="1"/>
  <c r="P188" i="1" a="1"/>
  <c r="P188" i="1" s="1"/>
  <c r="Z188" i="1" a="1"/>
  <c r="Z188" i="1" s="1"/>
  <c r="P187" i="1" a="1"/>
  <c r="P187" i="1" s="1"/>
  <c r="CF185" i="1"/>
  <c r="CD184" i="1"/>
  <c r="CF184" i="1"/>
  <c r="M184" i="1"/>
  <c r="AG184" i="1" a="1"/>
  <c r="AG184" i="1" s="1"/>
  <c r="CE184" i="1"/>
  <c r="CL184" i="1"/>
  <c r="CR184" i="1" s="1"/>
  <c r="CH183" i="1"/>
  <c r="CD183" i="1"/>
  <c r="AE183" i="1" a="1"/>
  <c r="AE183" i="1" s="1"/>
  <c r="K183" i="1"/>
  <c r="CC183" i="1"/>
  <c r="CJ183" i="1"/>
  <c r="CP183" i="1" s="1"/>
  <c r="CK180" i="1"/>
  <c r="CQ180" i="1" s="1"/>
  <c r="S176" i="1"/>
  <c r="T176" i="1" s="1"/>
  <c r="AK176" i="1"/>
  <c r="AF176" i="1" a="1"/>
  <c r="AF176" i="1" s="1"/>
  <c r="L176" i="1"/>
  <c r="V176" i="1" a="1"/>
  <c r="V176" i="1" s="1"/>
  <c r="W176" i="1" s="1"/>
  <c r="AN176" i="1"/>
  <c r="BK176" i="1"/>
  <c r="P175" i="1" a="1"/>
  <c r="P175" i="1" s="1"/>
  <c r="Y175" i="1" a="1"/>
  <c r="Y175" i="1" s="1"/>
  <c r="AD175" i="1" a="1"/>
  <c r="AD175" i="1" s="1"/>
  <c r="AQ175" i="1"/>
  <c r="BN175" i="1"/>
  <c r="AR175" i="1"/>
  <c r="BO175" i="1"/>
  <c r="J175" i="1"/>
  <c r="S175" i="1"/>
  <c r="T175" i="1" s="1"/>
  <c r="AK175" i="1"/>
  <c r="AA175" i="1" a="1"/>
  <c r="AA175" i="1" s="1"/>
  <c r="AP175" i="1"/>
  <c r="BM175" i="1"/>
  <c r="AC174" i="1" a="1"/>
  <c r="AC174" i="1" s="1"/>
  <c r="AO174" i="1"/>
  <c r="BL174" i="1"/>
  <c r="CB174" i="1"/>
  <c r="AP174" i="1"/>
  <c r="BM174" i="1"/>
  <c r="P174" i="1" a="1"/>
  <c r="P174" i="1" s="1"/>
  <c r="Y174" i="1" a="1"/>
  <c r="Y174" i="1" s="1"/>
  <c r="AQ174" i="1"/>
  <c r="BN174" i="1"/>
  <c r="AR174" i="1"/>
  <c r="BO174" i="1"/>
  <c r="I174" i="1"/>
  <c r="Z174" i="1" a="1"/>
  <c r="Z174" i="1" s="1"/>
  <c r="AJ174" i="1"/>
  <c r="AL174" i="1" s="1"/>
  <c r="V174" i="1" a="1"/>
  <c r="V174" i="1" s="1"/>
  <c r="W174" i="1" s="1"/>
  <c r="AN174" i="1"/>
  <c r="BK174" i="1"/>
  <c r="CH174" i="1"/>
  <c r="V173" i="1" a="1"/>
  <c r="V173" i="1" s="1"/>
  <c r="W173" i="1" s="1"/>
  <c r="AN173" i="1"/>
  <c r="BK173" i="1"/>
  <c r="N173" i="1"/>
  <c r="AH173" i="1" a="1"/>
  <c r="AH173" i="1" s="1"/>
  <c r="AD193" i="1" a="1"/>
  <c r="AD193" i="1" s="1"/>
  <c r="CK192" i="1"/>
  <c r="CQ192" i="1" s="1"/>
  <c r="M192" i="1"/>
  <c r="Z192" i="1" a="1"/>
  <c r="Z192" i="1" s="1"/>
  <c r="AJ192" i="1"/>
  <c r="AL192" i="1" s="1"/>
  <c r="AA192" i="1" a="1"/>
  <c r="AA192" i="1" s="1"/>
  <c r="AR192" i="1"/>
  <c r="BO192" i="1"/>
  <c r="N190" i="1"/>
  <c r="S184" i="1"/>
  <c r="T184" i="1" s="1"/>
  <c r="AK184" i="1"/>
  <c r="AF184" i="1" a="1"/>
  <c r="AF184" i="1" s="1"/>
  <c r="L184" i="1"/>
  <c r="V184" i="1" a="1"/>
  <c r="V184" i="1" s="1"/>
  <c r="W184" i="1" s="1"/>
  <c r="AN184" i="1"/>
  <c r="BK184" i="1"/>
  <c r="AO184" i="1"/>
  <c r="BL184" i="1"/>
  <c r="AD183" i="1" a="1"/>
  <c r="AD183" i="1" s="1"/>
  <c r="AQ183" i="1"/>
  <c r="BN183" i="1"/>
  <c r="AR183" i="1"/>
  <c r="BO183" i="1"/>
  <c r="J183" i="1"/>
  <c r="S183" i="1"/>
  <c r="T183" i="1" s="1"/>
  <c r="AK183" i="1"/>
  <c r="AA183" i="1" a="1"/>
  <c r="AA183" i="1" s="1"/>
  <c r="CD171" i="1"/>
  <c r="AE171" i="1" a="1"/>
  <c r="AE171" i="1" s="1"/>
  <c r="K171" i="1"/>
  <c r="CC171" i="1"/>
  <c r="CJ171" i="1"/>
  <c r="CP171" i="1" s="1"/>
  <c r="AP165" i="1"/>
  <c r="BM165" i="1"/>
  <c r="AR165" i="1"/>
  <c r="BO165" i="1"/>
  <c r="S165" i="1"/>
  <c r="T165" i="1" s="1"/>
  <c r="AK165" i="1"/>
  <c r="V165" i="1" a="1"/>
  <c r="V165" i="1" s="1"/>
  <c r="W165" i="1" s="1"/>
  <c r="AN165" i="1"/>
  <c r="BK165" i="1"/>
  <c r="CH165" i="1"/>
  <c r="AC165" i="1" a="1"/>
  <c r="AC165" i="1" s="1"/>
  <c r="AO165" i="1"/>
  <c r="P165" i="1" a="1"/>
  <c r="P165" i="1" s="1"/>
  <c r="AQ165" i="1"/>
  <c r="CB165" i="1"/>
  <c r="I165" i="1"/>
  <c r="BL165" i="1"/>
  <c r="AA165" i="1" a="1"/>
  <c r="AA165" i="1" s="1"/>
  <c r="CE196" i="1"/>
  <c r="BO195" i="1"/>
  <c r="AQ195" i="1"/>
  <c r="P195" i="1" a="1"/>
  <c r="P195" i="1" s="1"/>
  <c r="AE195" i="1" a="1"/>
  <c r="AE195" i="1" s="1"/>
  <c r="CC195" i="1"/>
  <c r="CJ195" i="1"/>
  <c r="CP195" i="1" s="1"/>
  <c r="AR194" i="1"/>
  <c r="CD194" i="1"/>
  <c r="CK194" i="1"/>
  <c r="CQ194" i="1" s="1"/>
  <c r="L194" i="1"/>
  <c r="AG192" i="1" a="1"/>
  <c r="AG192" i="1" s="1"/>
  <c r="Y192" i="1" a="1"/>
  <c r="Y192" i="1" s="1"/>
  <c r="P191" i="1" a="1"/>
  <c r="P191" i="1" s="1"/>
  <c r="Y191" i="1" a="1"/>
  <c r="Y191" i="1" s="1"/>
  <c r="AQ191" i="1"/>
  <c r="BN191" i="1"/>
  <c r="I191" i="1"/>
  <c r="Z191" i="1" a="1"/>
  <c r="Z191" i="1" s="1"/>
  <c r="AJ191" i="1"/>
  <c r="AL191" i="1" s="1"/>
  <c r="AP191" i="1"/>
  <c r="BM191" i="1"/>
  <c r="CL190" i="1"/>
  <c r="CR190" i="1" s="1"/>
  <c r="AC186" i="1" a="1"/>
  <c r="AC186" i="1" s="1"/>
  <c r="AO186" i="1"/>
  <c r="BL186" i="1"/>
  <c r="CB186" i="1"/>
  <c r="AP186" i="1"/>
  <c r="BM186" i="1"/>
  <c r="P186" i="1" a="1"/>
  <c r="P186" i="1" s="1"/>
  <c r="Y186" i="1" a="1"/>
  <c r="Y186" i="1" s="1"/>
  <c r="AQ186" i="1"/>
  <c r="BN186" i="1"/>
  <c r="AR186" i="1"/>
  <c r="BO186" i="1"/>
  <c r="I186" i="1"/>
  <c r="Z186" i="1" a="1"/>
  <c r="Z186" i="1" s="1"/>
  <c r="AJ186" i="1"/>
  <c r="AL186" i="1" s="1"/>
  <c r="V186" i="1" a="1"/>
  <c r="V186" i="1" s="1"/>
  <c r="W186" i="1" s="1"/>
  <c r="AN186" i="1"/>
  <c r="BK186" i="1"/>
  <c r="CH186" i="1"/>
  <c r="AQ184" i="1"/>
  <c r="CB183" i="1"/>
  <c r="AO183" i="1"/>
  <c r="V183" i="1" a="1"/>
  <c r="V183" i="1" s="1"/>
  <c r="W183" i="1" s="1"/>
  <c r="P183" i="1" a="1"/>
  <c r="P183" i="1" s="1"/>
  <c r="AC182" i="1" a="1"/>
  <c r="AC182" i="1" s="1"/>
  <c r="AO182" i="1"/>
  <c r="BL182" i="1"/>
  <c r="CB182" i="1"/>
  <c r="AP182" i="1"/>
  <c r="BM182" i="1"/>
  <c r="P182" i="1" a="1"/>
  <c r="P182" i="1" s="1"/>
  <c r="Y182" i="1" a="1"/>
  <c r="Y182" i="1" s="1"/>
  <c r="AQ182" i="1"/>
  <c r="BN182" i="1"/>
  <c r="AR182" i="1"/>
  <c r="BO182" i="1"/>
  <c r="I182" i="1"/>
  <c r="Z182" i="1" a="1"/>
  <c r="Z182" i="1" s="1"/>
  <c r="AJ182" i="1"/>
  <c r="AL182" i="1" s="1"/>
  <c r="V182" i="1" a="1"/>
  <c r="V182" i="1" s="1"/>
  <c r="W182" i="1" s="1"/>
  <c r="AN182" i="1"/>
  <c r="BK182" i="1"/>
  <c r="CH182" i="1"/>
  <c r="V181" i="1" a="1"/>
  <c r="V181" i="1" s="1"/>
  <c r="W181" i="1" s="1"/>
  <c r="AN181" i="1"/>
  <c r="BK181" i="1"/>
  <c r="N181" i="1"/>
  <c r="AH181" i="1" a="1"/>
  <c r="AH181" i="1" s="1"/>
  <c r="Z176" i="1" a="1"/>
  <c r="Z176" i="1" s="1"/>
  <c r="CF172" i="1"/>
  <c r="M172" i="1"/>
  <c r="AG172" i="1" a="1"/>
  <c r="AG172" i="1" s="1"/>
  <c r="CE172" i="1"/>
  <c r="CL172" i="1"/>
  <c r="CR172" i="1" s="1"/>
  <c r="CN171" i="1"/>
  <c r="BK171" i="1"/>
  <c r="P171" i="1" a="1"/>
  <c r="P171" i="1" s="1"/>
  <c r="Y171" i="1" a="1"/>
  <c r="Y171" i="1" s="1"/>
  <c r="AD171" i="1" a="1"/>
  <c r="AD171" i="1" s="1"/>
  <c r="AQ171" i="1"/>
  <c r="BN171" i="1"/>
  <c r="AR171" i="1"/>
  <c r="BO171" i="1"/>
  <c r="J171" i="1"/>
  <c r="S171" i="1"/>
  <c r="T171" i="1" s="1"/>
  <c r="AK171" i="1"/>
  <c r="AA171" i="1" a="1"/>
  <c r="AA171" i="1" s="1"/>
  <c r="AP171" i="1"/>
  <c r="BM171" i="1"/>
  <c r="AR166" i="1"/>
  <c r="BO166" i="1"/>
  <c r="S166" i="1"/>
  <c r="T166" i="1" s="1"/>
  <c r="AK166" i="1"/>
  <c r="V166" i="1" a="1"/>
  <c r="V166" i="1" s="1"/>
  <c r="W166" i="1" s="1"/>
  <c r="AN166" i="1"/>
  <c r="BK166" i="1"/>
  <c r="CH166" i="1"/>
  <c r="AP166" i="1"/>
  <c r="BM166" i="1"/>
  <c r="CB166" i="1"/>
  <c r="BL166" i="1"/>
  <c r="I166" i="1"/>
  <c r="Y166" i="1" a="1"/>
  <c r="Y166" i="1" s="1"/>
  <c r="BN166" i="1"/>
  <c r="Z166" i="1" a="1"/>
  <c r="Z166" i="1" s="1"/>
  <c r="AJ166" i="1"/>
  <c r="P166" i="1" a="1"/>
  <c r="P166" i="1" s="1"/>
  <c r="AQ166" i="1"/>
  <c r="AJ165" i="1"/>
  <c r="Q146" i="1"/>
  <c r="Z194" i="1" a="1"/>
  <c r="Z194" i="1" s="1"/>
  <c r="M193" i="1"/>
  <c r="AG193" i="1" a="1"/>
  <c r="AG193" i="1" s="1"/>
  <c r="CI192" i="1"/>
  <c r="CO192" i="1" s="1"/>
  <c r="AQ192" i="1"/>
  <c r="J192" i="1"/>
  <c r="AR190" i="1"/>
  <c r="AC190" i="1" a="1"/>
  <c r="AC190" i="1" s="1"/>
  <c r="AO190" i="1"/>
  <c r="BL190" i="1"/>
  <c r="CB190" i="1"/>
  <c r="P190" i="1" a="1"/>
  <c r="P190" i="1" s="1"/>
  <c r="Y190" i="1" a="1"/>
  <c r="Y190" i="1" s="1"/>
  <c r="AQ190" i="1"/>
  <c r="BN190" i="1"/>
  <c r="V190" i="1" a="1"/>
  <c r="V190" i="1" s="1"/>
  <c r="W190" i="1" s="1"/>
  <c r="AN190" i="1"/>
  <c r="BK190" i="1"/>
  <c r="CH190" i="1"/>
  <c r="N189" i="1"/>
  <c r="AH189" i="1" a="1"/>
  <c r="AH189" i="1" s="1"/>
  <c r="CK188" i="1"/>
  <c r="CQ188" i="1" s="1"/>
  <c r="AQ188" i="1"/>
  <c r="AH187" i="1" a="1"/>
  <c r="AH187" i="1" s="1"/>
  <c r="CF187" i="1"/>
  <c r="N187" i="1"/>
  <c r="AP184" i="1"/>
  <c r="P184" i="1" a="1"/>
  <c r="P184" i="1" s="1"/>
  <c r="Z184" i="1" a="1"/>
  <c r="Z184" i="1" s="1"/>
  <c r="AN183" i="1"/>
  <c r="AP172" i="1"/>
  <c r="Y172" i="1" a="1"/>
  <c r="Y172" i="1" s="1"/>
  <c r="AJ172" i="1"/>
  <c r="S172" i="1"/>
  <c r="T172" i="1" s="1"/>
  <c r="AK172" i="1"/>
  <c r="AF172" i="1" a="1"/>
  <c r="AF172" i="1" s="1"/>
  <c r="L172" i="1"/>
  <c r="V172" i="1" a="1"/>
  <c r="V172" i="1" s="1"/>
  <c r="W172" i="1" s="1"/>
  <c r="AN172" i="1"/>
  <c r="BK172" i="1"/>
  <c r="V171" i="1" a="1"/>
  <c r="V171" i="1" s="1"/>
  <c r="W171" i="1" s="1"/>
  <c r="AC170" i="1" a="1"/>
  <c r="AC170" i="1" s="1"/>
  <c r="AO170" i="1"/>
  <c r="BL170" i="1"/>
  <c r="CB170" i="1"/>
  <c r="AP170" i="1"/>
  <c r="BM170" i="1"/>
  <c r="P170" i="1" a="1"/>
  <c r="P170" i="1" s="1"/>
  <c r="Y170" i="1" a="1"/>
  <c r="Y170" i="1" s="1"/>
  <c r="AQ170" i="1"/>
  <c r="BN170" i="1"/>
  <c r="AR170" i="1"/>
  <c r="BO170" i="1"/>
  <c r="I170" i="1"/>
  <c r="Z170" i="1" a="1"/>
  <c r="Z170" i="1" s="1"/>
  <c r="AJ170" i="1"/>
  <c r="AL170" i="1" s="1"/>
  <c r="V170" i="1" a="1"/>
  <c r="V170" i="1" s="1"/>
  <c r="W170" i="1" s="1"/>
  <c r="AN170" i="1"/>
  <c r="BK170" i="1"/>
  <c r="CH170" i="1"/>
  <c r="P168" i="1" a="1"/>
  <c r="P168" i="1" s="1"/>
  <c r="AO166" i="1"/>
  <c r="V158" i="1" a="1"/>
  <c r="V158" i="1" s="1"/>
  <c r="W158" i="1" s="1"/>
  <c r="Y158" i="1" a="1"/>
  <c r="Y158" i="1" s="1"/>
  <c r="AQ158" i="1"/>
  <c r="BN158" i="1"/>
  <c r="P158" i="1" a="1"/>
  <c r="P158" i="1" s="1"/>
  <c r="AR158" i="1"/>
  <c r="BO158" i="1"/>
  <c r="Z158" i="1" a="1"/>
  <c r="Z158" i="1" s="1"/>
  <c r="AJ158" i="1"/>
  <c r="AK158" i="1"/>
  <c r="I158" i="1"/>
  <c r="S158" i="1"/>
  <c r="T158" i="1" s="1"/>
  <c r="AA158" i="1" a="1"/>
  <c r="AA158" i="1" s="1"/>
  <c r="AN158" i="1"/>
  <c r="BK158" i="1"/>
  <c r="CH158" i="1"/>
  <c r="AP158" i="1"/>
  <c r="BM158" i="1"/>
  <c r="AC158" i="1" a="1"/>
  <c r="AC158" i="1" s="1"/>
  <c r="BL158" i="1"/>
  <c r="BN201" i="1"/>
  <c r="AQ201" i="1"/>
  <c r="Y201" i="1" a="1"/>
  <c r="Y201" i="1" s="1"/>
  <c r="AG200" i="1" a="1"/>
  <c r="AG200" i="1" s="1"/>
  <c r="AC197" i="1" a="1"/>
  <c r="AC197" i="1" s="1"/>
  <c r="AO197" i="1"/>
  <c r="BL197" i="1"/>
  <c r="BM196" i="1"/>
  <c r="AO196" i="1"/>
  <c r="CD195" i="1"/>
  <c r="BL195" i="1"/>
  <c r="AN195" i="1"/>
  <c r="I195" i="1"/>
  <c r="Z195" i="1" a="1"/>
  <c r="Z195" i="1" s="1"/>
  <c r="AJ195" i="1"/>
  <c r="AP195" i="1"/>
  <c r="BM195" i="1"/>
  <c r="CF194" i="1"/>
  <c r="BO194" i="1"/>
  <c r="CH193" i="1"/>
  <c r="CH192" i="1"/>
  <c r="AP192" i="1"/>
  <c r="CI191" i="1"/>
  <c r="CO191" i="1" s="1"/>
  <c r="AR191" i="1"/>
  <c r="J191" i="1"/>
  <c r="AP190" i="1"/>
  <c r="CL189" i="1"/>
  <c r="CR189" i="1" s="1"/>
  <c r="CJ188" i="1"/>
  <c r="AP188" i="1"/>
  <c r="CK184" i="1"/>
  <c r="CQ184" i="1" s="1"/>
  <c r="BO181" i="1"/>
  <c r="CF180" i="1"/>
  <c r="M180" i="1"/>
  <c r="AG180" i="1" a="1"/>
  <c r="AG180" i="1" s="1"/>
  <c r="CE180" i="1"/>
  <c r="CL180" i="1"/>
  <c r="CR180" i="1" s="1"/>
  <c r="CH179" i="1"/>
  <c r="CD179" i="1"/>
  <c r="AE179" i="1" a="1"/>
  <c r="AE179" i="1" s="1"/>
  <c r="K179" i="1"/>
  <c r="CC179" i="1"/>
  <c r="CJ179" i="1"/>
  <c r="CP179" i="1" s="1"/>
  <c r="CJ176" i="1"/>
  <c r="CP176" i="1" s="1"/>
  <c r="BN176" i="1"/>
  <c r="CF173" i="1"/>
  <c r="AR173" i="1"/>
  <c r="AA173" i="1" a="1"/>
  <c r="AA173" i="1" s="1"/>
  <c r="CB171" i="1"/>
  <c r="AO171" i="1"/>
  <c r="V169" i="1" a="1"/>
  <c r="V169" i="1" s="1"/>
  <c r="W169" i="1" s="1"/>
  <c r="AN169" i="1"/>
  <c r="BK169" i="1"/>
  <c r="N169" i="1"/>
  <c r="AP169" i="1"/>
  <c r="BM169" i="1"/>
  <c r="AH169" i="1" a="1"/>
  <c r="AH169" i="1" s="1"/>
  <c r="CC167" i="1"/>
  <c r="CJ167" i="1"/>
  <c r="CP167" i="1" s="1"/>
  <c r="CD167" i="1"/>
  <c r="BL167" i="1"/>
  <c r="K167" i="1"/>
  <c r="Z167" i="1" a="1"/>
  <c r="Z167" i="1" s="1"/>
  <c r="AJ167" i="1"/>
  <c r="CI167" i="1"/>
  <c r="CO167" i="1" s="1"/>
  <c r="AE167" i="1" a="1"/>
  <c r="AE167" i="1" s="1"/>
  <c r="P194" i="1" a="1"/>
  <c r="P194" i="1" s="1"/>
  <c r="Y194" i="1" a="1"/>
  <c r="Y194" i="1" s="1"/>
  <c r="AQ194" i="1"/>
  <c r="BN194" i="1"/>
  <c r="V194" i="1" a="1"/>
  <c r="V194" i="1" s="1"/>
  <c r="W194" i="1" s="1"/>
  <c r="AN194" i="1"/>
  <c r="BK194" i="1"/>
  <c r="CH194" i="1"/>
  <c r="BN192" i="1"/>
  <c r="AO192" i="1"/>
  <c r="AD192" i="1" a="1"/>
  <c r="AD192" i="1" s="1"/>
  <c r="V192" i="1" a="1"/>
  <c r="V192" i="1" s="1"/>
  <c r="W192" i="1" s="1"/>
  <c r="CH191" i="1"/>
  <c r="AO191" i="1"/>
  <c r="V191" i="1" a="1"/>
  <c r="V191" i="1" s="1"/>
  <c r="W191" i="1" s="1"/>
  <c r="AH191" i="1" a="1"/>
  <c r="AH191" i="1" s="1"/>
  <c r="CF191" i="1"/>
  <c r="N191" i="1"/>
  <c r="I190" i="1"/>
  <c r="AK188" i="1"/>
  <c r="Y188" i="1" a="1"/>
  <c r="Y188" i="1" s="1"/>
  <c r="CF188" i="1"/>
  <c r="M188" i="1"/>
  <c r="AG188" i="1" a="1"/>
  <c r="AG188" i="1" s="1"/>
  <c r="CE188" i="1"/>
  <c r="CL188" i="1"/>
  <c r="CR188" i="1" s="1"/>
  <c r="CL187" i="1"/>
  <c r="CR187" i="1" s="1"/>
  <c r="V185" i="1" a="1"/>
  <c r="V185" i="1" s="1"/>
  <c r="W185" i="1" s="1"/>
  <c r="AN185" i="1"/>
  <c r="BK185" i="1"/>
  <c r="N185" i="1"/>
  <c r="AH185" i="1" a="1"/>
  <c r="AH185" i="1" s="1"/>
  <c r="CJ184" i="1"/>
  <c r="S180" i="1"/>
  <c r="T180" i="1" s="1"/>
  <c r="AK180" i="1"/>
  <c r="AF180" i="1" a="1"/>
  <c r="AF180" i="1" s="1"/>
  <c r="L180" i="1"/>
  <c r="V180" i="1" a="1"/>
  <c r="V180" i="1" s="1"/>
  <c r="W180" i="1" s="1"/>
  <c r="AN180" i="1"/>
  <c r="BK180" i="1"/>
  <c r="P179" i="1" a="1"/>
  <c r="P179" i="1" s="1"/>
  <c r="Y179" i="1" a="1"/>
  <c r="Y179" i="1" s="1"/>
  <c r="AD179" i="1" a="1"/>
  <c r="AD179" i="1" s="1"/>
  <c r="AQ179" i="1"/>
  <c r="BN179" i="1"/>
  <c r="AR179" i="1"/>
  <c r="BO179" i="1"/>
  <c r="J179" i="1"/>
  <c r="S179" i="1"/>
  <c r="T179" i="1" s="1"/>
  <c r="AK179" i="1"/>
  <c r="AA179" i="1" a="1"/>
  <c r="AA179" i="1" s="1"/>
  <c r="AC178" i="1" a="1"/>
  <c r="AC178" i="1" s="1"/>
  <c r="AO178" i="1"/>
  <c r="BL178" i="1"/>
  <c r="CB178" i="1"/>
  <c r="AP178" i="1"/>
  <c r="BM178" i="1"/>
  <c r="P178" i="1" a="1"/>
  <c r="P178" i="1" s="1"/>
  <c r="Y178" i="1" a="1"/>
  <c r="Y178" i="1" s="1"/>
  <c r="AQ178" i="1"/>
  <c r="BN178" i="1"/>
  <c r="AR178" i="1"/>
  <c r="BO178" i="1"/>
  <c r="I178" i="1"/>
  <c r="Z178" i="1" a="1"/>
  <c r="Z178" i="1" s="1"/>
  <c r="AJ178" i="1"/>
  <c r="AL178" i="1" s="1"/>
  <c r="V178" i="1" a="1"/>
  <c r="V178" i="1" s="1"/>
  <c r="W178" i="1" s="1"/>
  <c r="AN178" i="1"/>
  <c r="BK178" i="1"/>
  <c r="CH178" i="1"/>
  <c r="V177" i="1" a="1"/>
  <c r="V177" i="1" s="1"/>
  <c r="W177" i="1" s="1"/>
  <c r="AN177" i="1"/>
  <c r="BK177" i="1"/>
  <c r="N177" i="1"/>
  <c r="AH177" i="1" a="1"/>
  <c r="AH177" i="1" s="1"/>
  <c r="Q172" i="1"/>
  <c r="AN171" i="1"/>
  <c r="S163" i="1"/>
  <c r="T163" i="1" s="1"/>
  <c r="AK163" i="1"/>
  <c r="AL163" i="1" s="1"/>
  <c r="V163" i="1" a="1"/>
  <c r="V163" i="1" s="1"/>
  <c r="W163" i="1" s="1"/>
  <c r="AN163" i="1"/>
  <c r="BK163" i="1"/>
  <c r="CH163" i="1"/>
  <c r="AC163" i="1" a="1"/>
  <c r="AC163" i="1" s="1"/>
  <c r="AO163" i="1"/>
  <c r="BL163" i="1"/>
  <c r="CB163" i="1"/>
  <c r="AP163" i="1"/>
  <c r="BM163" i="1"/>
  <c r="AR163" i="1"/>
  <c r="BO163" i="1"/>
  <c r="AJ163" i="1"/>
  <c r="Y163" i="1" a="1"/>
  <c r="Y163" i="1" s="1"/>
  <c r="I163" i="1"/>
  <c r="Z163" i="1" a="1"/>
  <c r="Z163" i="1" s="1"/>
  <c r="AQ163" i="1"/>
  <c r="AA163" i="1" a="1"/>
  <c r="AA163" i="1" s="1"/>
  <c r="P163" i="1" a="1"/>
  <c r="P163" i="1" s="1"/>
  <c r="P156" i="1" a="1"/>
  <c r="P156" i="1" s="1"/>
  <c r="AA156" i="1" a="1"/>
  <c r="AA156" i="1" s="1"/>
  <c r="AQ156" i="1"/>
  <c r="CH156" i="1"/>
  <c r="CI156" i="1"/>
  <c r="CO156" i="1" s="1"/>
  <c r="J156" i="1"/>
  <c r="AD156" i="1" a="1"/>
  <c r="AD156" i="1" s="1"/>
  <c r="CB156" i="1"/>
  <c r="AN156" i="1"/>
  <c r="BL156" i="1"/>
  <c r="CC156" i="1"/>
  <c r="AO156" i="1"/>
  <c r="DQ150" i="1" a="1"/>
  <c r="DQ150" i="1" s="1"/>
  <c r="CP150" i="1"/>
  <c r="AK189" i="1"/>
  <c r="AL189" i="1" s="1"/>
  <c r="S189" i="1"/>
  <c r="T189" i="1" s="1"/>
  <c r="BO188" i="1"/>
  <c r="AR188" i="1"/>
  <c r="BM187" i="1"/>
  <c r="AP187" i="1"/>
  <c r="L186" i="1"/>
  <c r="AK185" i="1"/>
  <c r="AL185" i="1" s="1"/>
  <c r="S185" i="1"/>
  <c r="T185" i="1" s="1"/>
  <c r="J185" i="1"/>
  <c r="BO184" i="1"/>
  <c r="AR184" i="1"/>
  <c r="BM183" i="1"/>
  <c r="AP183" i="1"/>
  <c r="N183" i="1"/>
  <c r="L182" i="1"/>
  <c r="AK181" i="1"/>
  <c r="AL181" i="1" s="1"/>
  <c r="S181" i="1"/>
  <c r="T181" i="1" s="1"/>
  <c r="J181" i="1"/>
  <c r="BO180" i="1"/>
  <c r="AR180" i="1"/>
  <c r="BM179" i="1"/>
  <c r="AP179" i="1"/>
  <c r="N179" i="1"/>
  <c r="L178" i="1"/>
  <c r="AK177" i="1"/>
  <c r="AL177" i="1" s="1"/>
  <c r="S177" i="1"/>
  <c r="T177" i="1" s="1"/>
  <c r="J177" i="1"/>
  <c r="BO176" i="1"/>
  <c r="AR176" i="1"/>
  <c r="N175" i="1"/>
  <c r="L174" i="1"/>
  <c r="AK173" i="1"/>
  <c r="AL173" i="1" s="1"/>
  <c r="S173" i="1"/>
  <c r="T173" i="1" s="1"/>
  <c r="J173" i="1"/>
  <c r="BO172" i="1"/>
  <c r="AR172" i="1"/>
  <c r="N171" i="1"/>
  <c r="L170" i="1"/>
  <c r="AK169" i="1"/>
  <c r="AL169" i="1" s="1"/>
  <c r="S169" i="1"/>
  <c r="T169" i="1" s="1"/>
  <c r="J169" i="1"/>
  <c r="CB167" i="1"/>
  <c r="CE167" i="1"/>
  <c r="CL167" i="1"/>
  <c r="CR167" i="1" s="1"/>
  <c r="CC166" i="1"/>
  <c r="CJ166" i="1"/>
  <c r="CP166" i="1" s="1"/>
  <c r="CK163" i="1"/>
  <c r="CQ163" i="1" s="1"/>
  <c r="BL162" i="1"/>
  <c r="AE162" i="1" a="1"/>
  <c r="AE162" i="1" s="1"/>
  <c r="AC161" i="1" a="1"/>
  <c r="AC161" i="1" s="1"/>
  <c r="AO161" i="1"/>
  <c r="BL161" i="1"/>
  <c r="CB161" i="1"/>
  <c r="AP161" i="1"/>
  <c r="BM161" i="1"/>
  <c r="P161" i="1" a="1"/>
  <c r="P161" i="1" s="1"/>
  <c r="Y161" i="1" a="1"/>
  <c r="Y161" i="1" s="1"/>
  <c r="AR161" i="1"/>
  <c r="BO161" i="1"/>
  <c r="I161" i="1"/>
  <c r="Z161" i="1" a="1"/>
  <c r="Z161" i="1" s="1"/>
  <c r="AJ161" i="1"/>
  <c r="S161" i="1"/>
  <c r="T161" i="1" s="1"/>
  <c r="AK161" i="1"/>
  <c r="V161" i="1" a="1"/>
  <c r="V161" i="1" s="1"/>
  <c r="W161" i="1" s="1"/>
  <c r="AN161" i="1"/>
  <c r="BK161" i="1"/>
  <c r="CH161" i="1"/>
  <c r="CQ143" i="1"/>
  <c r="BN185" i="1"/>
  <c r="AQ185" i="1"/>
  <c r="AD185" i="1" a="1"/>
  <c r="AD185" i="1" s="1"/>
  <c r="Y185" i="1" a="1"/>
  <c r="Y185" i="1" s="1"/>
  <c r="P185" i="1" a="1"/>
  <c r="P185" i="1" s="1"/>
  <c r="CF182" i="1"/>
  <c r="CK181" i="1"/>
  <c r="CQ181" i="1" s="1"/>
  <c r="CD181" i="1"/>
  <c r="BN181" i="1"/>
  <c r="AQ181" i="1"/>
  <c r="AD181" i="1" a="1"/>
  <c r="AD181" i="1" s="1"/>
  <c r="Y181" i="1" a="1"/>
  <c r="Y181" i="1" s="1"/>
  <c r="P181" i="1" a="1"/>
  <c r="P181" i="1" s="1"/>
  <c r="CI180" i="1"/>
  <c r="CB180" i="1"/>
  <c r="BL180" i="1"/>
  <c r="AO180" i="1"/>
  <c r="CF178" i="1"/>
  <c r="CK177" i="1"/>
  <c r="CQ177" i="1" s="1"/>
  <c r="CD177" i="1"/>
  <c r="BN177" i="1"/>
  <c r="AQ177" i="1"/>
  <c r="AD177" i="1" a="1"/>
  <c r="AD177" i="1" s="1"/>
  <c r="Y177" i="1" a="1"/>
  <c r="Y177" i="1" s="1"/>
  <c r="P177" i="1" a="1"/>
  <c r="P177" i="1" s="1"/>
  <c r="CI176" i="1"/>
  <c r="CB176" i="1"/>
  <c r="BL176" i="1"/>
  <c r="AO176" i="1"/>
  <c r="CF174" i="1"/>
  <c r="CK173" i="1"/>
  <c r="CQ173" i="1" s="1"/>
  <c r="CD173" i="1"/>
  <c r="BN173" i="1"/>
  <c r="AQ173" i="1"/>
  <c r="AD173" i="1" a="1"/>
  <c r="AD173" i="1" s="1"/>
  <c r="Y173" i="1" a="1"/>
  <c r="Y173" i="1" s="1"/>
  <c r="P173" i="1" a="1"/>
  <c r="P173" i="1" s="1"/>
  <c r="CI172" i="1"/>
  <c r="CB172" i="1"/>
  <c r="BL172" i="1"/>
  <c r="AO172" i="1"/>
  <c r="CF170" i="1"/>
  <c r="CK169" i="1"/>
  <c r="CQ169" i="1" s="1"/>
  <c r="CD169" i="1"/>
  <c r="BN169" i="1"/>
  <c r="AQ169" i="1"/>
  <c r="AD169" i="1" a="1"/>
  <c r="AD169" i="1" s="1"/>
  <c r="Y169" i="1" a="1"/>
  <c r="Y169" i="1" s="1"/>
  <c r="P169" i="1" a="1"/>
  <c r="P169" i="1" s="1"/>
  <c r="CC168" i="1"/>
  <c r="CJ168" i="1"/>
  <c r="DB168" i="1" s="1" a="1"/>
  <c r="DB168" i="1" s="1"/>
  <c r="CK167" i="1"/>
  <c r="CQ167" i="1" s="1"/>
  <c r="M167" i="1"/>
  <c r="CI166" i="1"/>
  <c r="CO166" i="1" s="1"/>
  <c r="K166" i="1"/>
  <c r="CC164" i="1"/>
  <c r="CJ164" i="1"/>
  <c r="CP164" i="1" s="1"/>
  <c r="AO162" i="1"/>
  <c r="AP156" i="1"/>
  <c r="AH155" i="1" a="1"/>
  <c r="AH155" i="1" s="1"/>
  <c r="N155" i="1"/>
  <c r="P155" i="1" a="1"/>
  <c r="P155" i="1" s="1"/>
  <c r="AA155" i="1" a="1"/>
  <c r="AA155" i="1" s="1"/>
  <c r="CL155" i="1"/>
  <c r="CR155" i="1" s="1"/>
  <c r="CF155" i="1"/>
  <c r="V188" i="1" a="1"/>
  <c r="V188" i="1" s="1"/>
  <c r="W188" i="1" s="1"/>
  <c r="CE186" i="1"/>
  <c r="CC185" i="1"/>
  <c r="BM185" i="1"/>
  <c r="AP185" i="1"/>
  <c r="CE182" i="1"/>
  <c r="CC181" i="1"/>
  <c r="BM181" i="1"/>
  <c r="AP181" i="1"/>
  <c r="CE178" i="1"/>
  <c r="CC177" i="1"/>
  <c r="BM177" i="1"/>
  <c r="AP177" i="1"/>
  <c r="CE174" i="1"/>
  <c r="CC173" i="1"/>
  <c r="BM173" i="1"/>
  <c r="AP173" i="1"/>
  <c r="S167" i="1"/>
  <c r="T167" i="1" s="1"/>
  <c r="AK167" i="1"/>
  <c r="V167" i="1" a="1"/>
  <c r="V167" i="1" s="1"/>
  <c r="W167" i="1" s="1"/>
  <c r="AN167" i="1"/>
  <c r="BK167" i="1"/>
  <c r="CH167" i="1"/>
  <c r="AP167" i="1"/>
  <c r="BM167" i="1"/>
  <c r="AR167" i="1"/>
  <c r="BO167" i="1"/>
  <c r="P162" i="1" a="1"/>
  <c r="P162" i="1" s="1"/>
  <c r="Y162" i="1" a="1"/>
  <c r="Y162" i="1" s="1"/>
  <c r="K162" i="1"/>
  <c r="AA162" i="1" a="1"/>
  <c r="AA162" i="1" s="1"/>
  <c r="CC162" i="1"/>
  <c r="CJ162" i="1"/>
  <c r="CP162" i="1" s="1"/>
  <c r="AJ159" i="1"/>
  <c r="CF159" i="1"/>
  <c r="AA159" i="1" a="1"/>
  <c r="AA159" i="1" s="1"/>
  <c r="M159" i="1"/>
  <c r="AG159" i="1" a="1"/>
  <c r="AG159" i="1" s="1"/>
  <c r="CE159" i="1"/>
  <c r="CL159" i="1"/>
  <c r="CR159" i="1" s="1"/>
  <c r="AD154" i="1" a="1"/>
  <c r="AD154" i="1" s="1"/>
  <c r="CH154" i="1"/>
  <c r="CI154" i="1"/>
  <c r="CO154" i="1" s="1"/>
  <c r="AA154" i="1" a="1"/>
  <c r="AA154" i="1" s="1"/>
  <c r="CB154" i="1"/>
  <c r="S154" i="1"/>
  <c r="T154" i="1" s="1"/>
  <c r="BL154" i="1"/>
  <c r="CC154" i="1"/>
  <c r="J154" i="1"/>
  <c r="AO154" i="1"/>
  <c r="BL189" i="1"/>
  <c r="AO189" i="1"/>
  <c r="AG189" i="1" a="1"/>
  <c r="AG189" i="1" s="1"/>
  <c r="AA188" i="1" a="1"/>
  <c r="AA188" i="1" s="1"/>
  <c r="K188" i="1"/>
  <c r="AJ187" i="1"/>
  <c r="Z187" i="1" a="1"/>
  <c r="Z187" i="1" s="1"/>
  <c r="I187" i="1"/>
  <c r="CK186" i="1"/>
  <c r="CQ186" i="1" s="1"/>
  <c r="CI185" i="1"/>
  <c r="CB185" i="1"/>
  <c r="BL185" i="1"/>
  <c r="AO185" i="1"/>
  <c r="AG185" i="1" a="1"/>
  <c r="AG185" i="1" s="1"/>
  <c r="AA184" i="1" a="1"/>
  <c r="AA184" i="1" s="1"/>
  <c r="K184" i="1"/>
  <c r="CF183" i="1"/>
  <c r="AJ183" i="1"/>
  <c r="Z183" i="1" a="1"/>
  <c r="Z183" i="1" s="1"/>
  <c r="I183" i="1"/>
  <c r="CK182" i="1"/>
  <c r="CQ182" i="1" s="1"/>
  <c r="CI181" i="1"/>
  <c r="CB181" i="1"/>
  <c r="BL181" i="1"/>
  <c r="AO181" i="1"/>
  <c r="AG181" i="1" a="1"/>
  <c r="AG181" i="1" s="1"/>
  <c r="AA180" i="1" a="1"/>
  <c r="AA180" i="1" s="1"/>
  <c r="CF179" i="1"/>
  <c r="AJ179" i="1"/>
  <c r="Z179" i="1" a="1"/>
  <c r="Z179" i="1" s="1"/>
  <c r="CK178" i="1"/>
  <c r="CQ178" i="1" s="1"/>
  <c r="CI177" i="1"/>
  <c r="CB177" i="1"/>
  <c r="BL177" i="1"/>
  <c r="AO177" i="1"/>
  <c r="AG177" i="1" a="1"/>
  <c r="AG177" i="1" s="1"/>
  <c r="AA176" i="1" a="1"/>
  <c r="AA176" i="1" s="1"/>
  <c r="CF175" i="1"/>
  <c r="AJ175" i="1"/>
  <c r="Z175" i="1" a="1"/>
  <c r="Z175" i="1" s="1"/>
  <c r="CK174" i="1"/>
  <c r="CQ174" i="1" s="1"/>
  <c r="CI173" i="1"/>
  <c r="CB173" i="1"/>
  <c r="BL173" i="1"/>
  <c r="AO173" i="1"/>
  <c r="AG173" i="1" a="1"/>
  <c r="AG173" i="1" s="1"/>
  <c r="AA172" i="1" a="1"/>
  <c r="AA172" i="1" s="1"/>
  <c r="CF171" i="1"/>
  <c r="AJ171" i="1"/>
  <c r="Z171" i="1" a="1"/>
  <c r="Z171" i="1" s="1"/>
  <c r="CK170" i="1"/>
  <c r="CQ170" i="1" s="1"/>
  <c r="CI169" i="1"/>
  <c r="CB169" i="1"/>
  <c r="BL169" i="1"/>
  <c r="AO169" i="1"/>
  <c r="AG169" i="1" a="1"/>
  <c r="AG169" i="1" s="1"/>
  <c r="V168" i="1" a="1"/>
  <c r="V168" i="1" s="1"/>
  <c r="W168" i="1" s="1"/>
  <c r="AN168" i="1"/>
  <c r="BK168" i="1"/>
  <c r="AP168" i="1"/>
  <c r="BM168" i="1"/>
  <c r="AR168" i="1"/>
  <c r="BO168" i="1"/>
  <c r="S168" i="1"/>
  <c r="T168" i="1" s="1"/>
  <c r="AK168" i="1"/>
  <c r="AL168" i="1" s="1"/>
  <c r="BN167" i="1"/>
  <c r="Y167" i="1" a="1"/>
  <c r="Y167" i="1" s="1"/>
  <c r="CF166" i="1"/>
  <c r="CE165" i="1"/>
  <c r="CL165" i="1"/>
  <c r="CR165" i="1" s="1"/>
  <c r="V164" i="1" a="1"/>
  <c r="V164" i="1" s="1"/>
  <c r="W164" i="1" s="1"/>
  <c r="AN164" i="1"/>
  <c r="BK164" i="1"/>
  <c r="CH164" i="1"/>
  <c r="AP164" i="1"/>
  <c r="BM164" i="1"/>
  <c r="P164" i="1" a="1"/>
  <c r="P164" i="1" s="1"/>
  <c r="Y164" i="1" a="1"/>
  <c r="Y164" i="1" s="1"/>
  <c r="AR164" i="1"/>
  <c r="BO164" i="1"/>
  <c r="S164" i="1"/>
  <c r="T164" i="1" s="1"/>
  <c r="AK164" i="1"/>
  <c r="I167" i="1"/>
  <c r="CE166" i="1"/>
  <c r="CL166" i="1"/>
  <c r="CR166" i="1" s="1"/>
  <c r="M163" i="1"/>
  <c r="AG163" i="1" a="1"/>
  <c r="AG163" i="1" s="1"/>
  <c r="CE163" i="1"/>
  <c r="CL163" i="1"/>
  <c r="CR163" i="1" s="1"/>
  <c r="Y159" i="1" a="1"/>
  <c r="Y159" i="1" s="1"/>
  <c r="Q157" i="1"/>
  <c r="AP154" i="1"/>
  <c r="Q153" i="1"/>
  <c r="AJ188" i="1"/>
  <c r="BN187" i="1"/>
  <c r="AQ187" i="1"/>
  <c r="Y187" i="1" a="1"/>
  <c r="Y187" i="1" s="1"/>
  <c r="AJ184" i="1"/>
  <c r="Y183" i="1" a="1"/>
  <c r="Y183" i="1" s="1"/>
  <c r="AJ180" i="1"/>
  <c r="AJ176" i="1"/>
  <c r="CC165" i="1"/>
  <c r="CJ165" i="1"/>
  <c r="CP165" i="1" s="1"/>
  <c r="Q159" i="1"/>
  <c r="BM162" i="1"/>
  <c r="AP162" i="1"/>
  <c r="AK160" i="1"/>
  <c r="S160" i="1"/>
  <c r="T160" i="1" s="1"/>
  <c r="BO159" i="1"/>
  <c r="AR159" i="1"/>
  <c r="CJ158" i="1"/>
  <c r="CP158" i="1" s="1"/>
  <c r="M158" i="1"/>
  <c r="CL157" i="1"/>
  <c r="CR157" i="1" s="1"/>
  <c r="CD157" i="1"/>
  <c r="BN157" i="1"/>
  <c r="AO157" i="1"/>
  <c r="AE157" i="1" a="1"/>
  <c r="AE157" i="1" s="1"/>
  <c r="Y157" i="1" a="1"/>
  <c r="Y157" i="1" s="1"/>
  <c r="S157" i="1"/>
  <c r="T157" i="1" s="1"/>
  <c r="BN156" i="1"/>
  <c r="AO155" i="1"/>
  <c r="Y155" i="1" a="1"/>
  <c r="Y155" i="1" s="1"/>
  <c r="J155" i="1"/>
  <c r="BO153" i="1"/>
  <c r="AF151" i="1" a="1"/>
  <c r="AF151" i="1" s="1"/>
  <c r="CD151" i="1"/>
  <c r="L151" i="1"/>
  <c r="CR145" i="1"/>
  <c r="DS145" i="1" a="1"/>
  <c r="DS145" i="1" s="1"/>
  <c r="CL164" i="1"/>
  <c r="CR164" i="1" s="1"/>
  <c r="CJ163" i="1"/>
  <c r="CP163" i="1" s="1"/>
  <c r="CH162" i="1"/>
  <c r="BK162" i="1"/>
  <c r="AN162" i="1"/>
  <c r="V162" i="1" a="1"/>
  <c r="V162" i="1" s="1"/>
  <c r="W162" i="1" s="1"/>
  <c r="CL160" i="1"/>
  <c r="CR160" i="1" s="1"/>
  <c r="BO160" i="1"/>
  <c r="AR160" i="1"/>
  <c r="CJ159" i="1"/>
  <c r="CP159" i="1" s="1"/>
  <c r="BM159" i="1"/>
  <c r="AP159" i="1"/>
  <c r="CJ157" i="1"/>
  <c r="CP157" i="1" s="1"/>
  <c r="CB157" i="1"/>
  <c r="BL157" i="1"/>
  <c r="AJ157" i="1"/>
  <c r="AD157" i="1" a="1"/>
  <c r="AD157" i="1" s="1"/>
  <c r="L156" i="1"/>
  <c r="AR156" i="1"/>
  <c r="BO156" i="1"/>
  <c r="I156" i="1"/>
  <c r="Z156" i="1" a="1"/>
  <c r="Z156" i="1" s="1"/>
  <c r="AJ156" i="1"/>
  <c r="BL155" i="1"/>
  <c r="P154" i="1" a="1"/>
  <c r="P154" i="1" s="1"/>
  <c r="Y154" i="1" a="1"/>
  <c r="Y154" i="1" s="1"/>
  <c r="AQ154" i="1"/>
  <c r="BN154" i="1"/>
  <c r="AJ154" i="1"/>
  <c r="AK154" i="1"/>
  <c r="AC153" i="1" a="1"/>
  <c r="AC153" i="1" s="1"/>
  <c r="AO153" i="1"/>
  <c r="BL153" i="1"/>
  <c r="AN153" i="1"/>
  <c r="BM153" i="1"/>
  <c r="I153" i="1"/>
  <c r="S153" i="1"/>
  <c r="T153" i="1" s="1"/>
  <c r="AA153" i="1" a="1"/>
  <c r="AA153" i="1" s="1"/>
  <c r="AP153" i="1"/>
  <c r="BN153" i="1"/>
  <c r="CP152" i="1"/>
  <c r="AQ152" i="1"/>
  <c r="P152" i="1" a="1"/>
  <c r="P152" i="1" s="1"/>
  <c r="AC152" i="1" a="1"/>
  <c r="AC152" i="1" s="1"/>
  <c r="AO152" i="1"/>
  <c r="BL152" i="1"/>
  <c r="Y152" i="1" a="1"/>
  <c r="Y152" i="1" s="1"/>
  <c r="AJ152" i="1"/>
  <c r="CH152" i="1"/>
  <c r="AN152" i="1"/>
  <c r="BM152" i="1"/>
  <c r="I152" i="1"/>
  <c r="S152" i="1"/>
  <c r="T152" i="1" s="1"/>
  <c r="AA152" i="1" a="1"/>
  <c r="AA152" i="1" s="1"/>
  <c r="AP152" i="1"/>
  <c r="BN152" i="1"/>
  <c r="AQ151" i="1"/>
  <c r="P151" i="1" a="1"/>
  <c r="P151" i="1" s="1"/>
  <c r="P150" i="1" a="1"/>
  <c r="P150" i="1" s="1"/>
  <c r="AC150" i="1" a="1"/>
  <c r="AC150" i="1" s="1"/>
  <c r="AO150" i="1"/>
  <c r="BL150" i="1"/>
  <c r="Y150" i="1" a="1"/>
  <c r="Y150" i="1" s="1"/>
  <c r="AJ150" i="1"/>
  <c r="CH150" i="1"/>
  <c r="AN150" i="1"/>
  <c r="BM150" i="1"/>
  <c r="I150" i="1"/>
  <c r="S150" i="1"/>
  <c r="T150" i="1" s="1"/>
  <c r="AA150" i="1" a="1"/>
  <c r="AA150" i="1" s="1"/>
  <c r="AP150" i="1"/>
  <c r="BN150" i="1"/>
  <c r="CK147" i="1"/>
  <c r="DO147" i="1" a="1"/>
  <c r="DO147" i="1" s="1"/>
  <c r="CN147" i="1"/>
  <c r="BL130" i="1"/>
  <c r="CE130" i="1"/>
  <c r="M130" i="1"/>
  <c r="P130" i="1" a="1"/>
  <c r="P130" i="1" s="1"/>
  <c r="Z130" i="1" a="1"/>
  <c r="Z130" i="1" s="1"/>
  <c r="AQ130" i="1"/>
  <c r="AG130" i="1" a="1"/>
  <c r="AG130" i="1" s="1"/>
  <c r="AR130" i="1"/>
  <c r="AJ130" i="1"/>
  <c r="BK130" i="1"/>
  <c r="CK130" i="1"/>
  <c r="CF161" i="1"/>
  <c r="AE161" i="1" a="1"/>
  <c r="AE161" i="1" s="1"/>
  <c r="CD160" i="1"/>
  <c r="BN160" i="1"/>
  <c r="AQ160" i="1"/>
  <c r="Y160" i="1" a="1"/>
  <c r="Y160" i="1" s="1"/>
  <c r="P160" i="1" a="1"/>
  <c r="P160" i="1" s="1"/>
  <c r="CB159" i="1"/>
  <c r="BL159" i="1"/>
  <c r="AO159" i="1"/>
  <c r="AC159" i="1" a="1"/>
  <c r="AC159" i="1" s="1"/>
  <c r="CI157" i="1"/>
  <c r="CO157" i="1" s="1"/>
  <c r="BK157" i="1"/>
  <c r="V157" i="1" a="1"/>
  <c r="V157" i="1" s="1"/>
  <c r="W157" i="1" s="1"/>
  <c r="CK156" i="1"/>
  <c r="CQ156" i="1" s="1"/>
  <c r="BK156" i="1"/>
  <c r="CE155" i="1"/>
  <c r="BK155" i="1"/>
  <c r="AK155" i="1"/>
  <c r="AL155" i="1" s="1"/>
  <c r="AD155" i="1" a="1"/>
  <c r="AD155" i="1" s="1"/>
  <c r="S155" i="1"/>
  <c r="T155" i="1" s="1"/>
  <c r="CJ155" i="1"/>
  <c r="CP155" i="1" s="1"/>
  <c r="L155" i="1"/>
  <c r="CD155" i="1"/>
  <c r="BO154" i="1"/>
  <c r="AN154" i="1"/>
  <c r="V154" i="1" a="1"/>
  <c r="V154" i="1" s="1"/>
  <c r="W154" i="1" s="1"/>
  <c r="Z153" i="1" a="1"/>
  <c r="Z153" i="1" s="1"/>
  <c r="AC151" i="1" a="1"/>
  <c r="AC151" i="1" s="1"/>
  <c r="AO151" i="1"/>
  <c r="BL151" i="1"/>
  <c r="AN151" i="1"/>
  <c r="BM151" i="1"/>
  <c r="I151" i="1"/>
  <c r="S151" i="1"/>
  <c r="T151" i="1" s="1"/>
  <c r="AA151" i="1" a="1"/>
  <c r="AA151" i="1" s="1"/>
  <c r="AP151" i="1"/>
  <c r="BN151" i="1"/>
  <c r="Y151" i="1" a="1"/>
  <c r="Y151" i="1" s="1"/>
  <c r="AJ151" i="1"/>
  <c r="CH151" i="1"/>
  <c r="AQ150" i="1"/>
  <c r="P147" i="1" a="1"/>
  <c r="P147" i="1" s="1"/>
  <c r="AK162" i="1"/>
  <c r="AL162" i="1" s="1"/>
  <c r="S162" i="1"/>
  <c r="T162" i="1" s="1"/>
  <c r="CL161" i="1"/>
  <c r="CR161" i="1" s="1"/>
  <c r="CE161" i="1"/>
  <c r="CJ160" i="1"/>
  <c r="CP160" i="1" s="1"/>
  <c r="CC160" i="1"/>
  <c r="BM160" i="1"/>
  <c r="AP160" i="1"/>
  <c r="CH159" i="1"/>
  <c r="BK159" i="1"/>
  <c r="AN159" i="1"/>
  <c r="V159" i="1" a="1"/>
  <c r="V159" i="1" s="1"/>
  <c r="W159" i="1" s="1"/>
  <c r="CH157" i="1"/>
  <c r="AK156" i="1"/>
  <c r="AL156" i="1" s="1"/>
  <c r="V156" i="1" a="1"/>
  <c r="V156" i="1" s="1"/>
  <c r="W156" i="1" s="1"/>
  <c r="CB155" i="1"/>
  <c r="AE155" i="1" a="1"/>
  <c r="AE155" i="1" s="1"/>
  <c r="K155" i="1"/>
  <c r="CC155" i="1"/>
  <c r="BM154" i="1"/>
  <c r="I154" i="1"/>
  <c r="CK152" i="1"/>
  <c r="AK152" i="1"/>
  <c r="AL152" i="1" s="1"/>
  <c r="CK151" i="1"/>
  <c r="AK151" i="1"/>
  <c r="AQ155" i="1"/>
  <c r="BN155" i="1"/>
  <c r="AH154" i="1" a="1"/>
  <c r="AH154" i="1" s="1"/>
  <c r="N154" i="1"/>
  <c r="Y153" i="1" a="1"/>
  <c r="Y153" i="1" s="1"/>
  <c r="BO152" i="1"/>
  <c r="BO151" i="1"/>
  <c r="Z151" i="1" a="1"/>
  <c r="Z151" i="1" s="1"/>
  <c r="CK150" i="1"/>
  <c r="AK150" i="1"/>
  <c r="Z150" i="1" a="1"/>
  <c r="Z150" i="1" s="1"/>
  <c r="CR149" i="1"/>
  <c r="DS149" i="1" a="1"/>
  <c r="DS149" i="1" s="1"/>
  <c r="M148" i="1"/>
  <c r="AG148" i="1" a="1"/>
  <c r="AG148" i="1" s="1"/>
  <c r="CK148" i="1"/>
  <c r="CL148" i="1"/>
  <c r="V148" i="1" a="1"/>
  <c r="V148" i="1" s="1"/>
  <c r="W148" i="1" s="1"/>
  <c r="AK148" i="1"/>
  <c r="BK148" i="1"/>
  <c r="Y148" i="1" a="1"/>
  <c r="Y148" i="1" s="1"/>
  <c r="BN148" i="1"/>
  <c r="CF148" i="1"/>
  <c r="N146" i="1"/>
  <c r="CF146" i="1"/>
  <c r="AN146" i="1"/>
  <c r="BO146" i="1"/>
  <c r="AQ146" i="1"/>
  <c r="AH146" i="1" a="1"/>
  <c r="AH146" i="1" s="1"/>
  <c r="N128" i="1"/>
  <c r="AO128" i="1"/>
  <c r="BO128" i="1"/>
  <c r="CF128" i="1"/>
  <c r="AH128" i="1" a="1"/>
  <c r="AH128" i="1" s="1"/>
  <c r="AN128" i="1"/>
  <c r="BN128" i="1"/>
  <c r="CL128" i="1"/>
  <c r="V128" i="1" a="1"/>
  <c r="V128" i="1" s="1"/>
  <c r="W128" i="1" s="1"/>
  <c r="AJ128" i="1"/>
  <c r="BL128" i="1"/>
  <c r="CL162" i="1"/>
  <c r="CR162" i="1" s="1"/>
  <c r="BO162" i="1"/>
  <c r="CJ161" i="1"/>
  <c r="CP161" i="1" s="1"/>
  <c r="CH160" i="1"/>
  <c r="BK160" i="1"/>
  <c r="AN160" i="1"/>
  <c r="AK159" i="1"/>
  <c r="S159" i="1"/>
  <c r="T159" i="1" s="1"/>
  <c r="CL158" i="1"/>
  <c r="CR158" i="1" s="1"/>
  <c r="AQ157" i="1"/>
  <c r="Z157" i="1" a="1"/>
  <c r="Z157" i="1" s="1"/>
  <c r="S156" i="1"/>
  <c r="T156" i="1" s="1"/>
  <c r="CE156" i="1"/>
  <c r="CL156" i="1"/>
  <c r="CR156" i="1" s="1"/>
  <c r="CF156" i="1"/>
  <c r="CI155" i="1"/>
  <c r="CO155" i="1" s="1"/>
  <c r="AG155" i="1" a="1"/>
  <c r="AG155" i="1" s="1"/>
  <c r="BK154" i="1"/>
  <c r="AQ153" i="1"/>
  <c r="V153" i="1" a="1"/>
  <c r="V153" i="1" s="1"/>
  <c r="W153" i="1" s="1"/>
  <c r="M153" i="1"/>
  <c r="AG153" i="1" a="1"/>
  <c r="AG153" i="1" s="1"/>
  <c r="CL153" i="1"/>
  <c r="CR153" i="1" s="1"/>
  <c r="CE153" i="1"/>
  <c r="BK152" i="1"/>
  <c r="M152" i="1"/>
  <c r="AG152" i="1" a="1"/>
  <c r="AG152" i="1" s="1"/>
  <c r="CL152" i="1"/>
  <c r="CE152" i="1"/>
  <c r="BO150" i="1"/>
  <c r="M150" i="1"/>
  <c r="AG150" i="1" a="1"/>
  <c r="AG150" i="1" s="1"/>
  <c r="CL150" i="1"/>
  <c r="CE150" i="1"/>
  <c r="N147" i="1"/>
  <c r="CL147" i="1"/>
  <c r="CF147" i="1"/>
  <c r="CL146" i="1"/>
  <c r="N125" i="1"/>
  <c r="AH125" i="1" a="1"/>
  <c r="AH125" i="1" s="1"/>
  <c r="AN125" i="1"/>
  <c r="CF125" i="1"/>
  <c r="BK125" i="1"/>
  <c r="V125" i="1" a="1"/>
  <c r="V125" i="1" s="1"/>
  <c r="W125" i="1" s="1"/>
  <c r="BO125" i="1"/>
  <c r="AJ125" i="1"/>
  <c r="CL125" i="1"/>
  <c r="Z125" i="1" a="1"/>
  <c r="Z125" i="1" s="1"/>
  <c r="AG161" i="1" a="1"/>
  <c r="AG161" i="1" s="1"/>
  <c r="AA160" i="1" a="1"/>
  <c r="AA160" i="1" s="1"/>
  <c r="Z159" i="1" a="1"/>
  <c r="Z159" i="1" s="1"/>
  <c r="CE157" i="1"/>
  <c r="BO157" i="1"/>
  <c r="AP157" i="1"/>
  <c r="J157" i="1"/>
  <c r="AA157" i="1" a="1"/>
  <c r="AA157" i="1" s="1"/>
  <c r="CH155" i="1"/>
  <c r="AR155" i="1"/>
  <c r="CL154" i="1"/>
  <c r="CR154" i="1" s="1"/>
  <c r="CN153" i="1"/>
  <c r="AF153" i="1" a="1"/>
  <c r="AF153" i="1" s="1"/>
  <c r="CD153" i="1"/>
  <c r="L153" i="1"/>
  <c r="L152" i="1"/>
  <c r="AF152" i="1" a="1"/>
  <c r="AF152" i="1" s="1"/>
  <c r="CD152" i="1"/>
  <c r="M151" i="1"/>
  <c r="AG151" i="1" a="1"/>
  <c r="AG151" i="1" s="1"/>
  <c r="CL151" i="1"/>
  <c r="CE151" i="1"/>
  <c r="L150" i="1"/>
  <c r="AF150" i="1" a="1"/>
  <c r="AF150" i="1" s="1"/>
  <c r="CD150" i="1"/>
  <c r="M147" i="1"/>
  <c r="AG147" i="1" a="1"/>
  <c r="AG147" i="1" s="1"/>
  <c r="CE147" i="1"/>
  <c r="Y147" i="1" a="1"/>
  <c r="Y147" i="1" s="1"/>
  <c r="BN147" i="1"/>
  <c r="AN147" i="1"/>
  <c r="BO147" i="1"/>
  <c r="CQ146" i="1"/>
  <c r="DR146" i="1" a="1"/>
  <c r="DR146" i="1" s="1"/>
  <c r="CN142" i="1"/>
  <c r="AC144" i="1" a="1"/>
  <c r="AC144" i="1" s="1"/>
  <c r="AO144" i="1"/>
  <c r="BL144" i="1"/>
  <c r="AP144" i="1"/>
  <c r="BM144" i="1"/>
  <c r="M142" i="1"/>
  <c r="AG142" i="1" a="1"/>
  <c r="AG142" i="1" s="1"/>
  <c r="CE142" i="1"/>
  <c r="CL142" i="1"/>
  <c r="N130" i="1"/>
  <c r="CF130" i="1"/>
  <c r="CL130" i="1"/>
  <c r="CN127" i="1"/>
  <c r="DO127" i="1" a="1"/>
  <c r="DO127" i="1" s="1"/>
  <c r="AP126" i="1"/>
  <c r="DR121" i="1" a="1"/>
  <c r="DR121" i="1" s="1"/>
  <c r="CQ121" i="1"/>
  <c r="CB149" i="1"/>
  <c r="CI149" i="1"/>
  <c r="CW149" i="1" s="1" a="1"/>
  <c r="CW149" i="1" s="1"/>
  <c r="CX149" i="1" s="1"/>
  <c r="CC149" i="1"/>
  <c r="AQ148" i="1"/>
  <c r="Z148" i="1" a="1"/>
  <c r="Z148" i="1" s="1"/>
  <c r="P148" i="1" a="1"/>
  <c r="P148" i="1" s="1"/>
  <c r="AR147" i="1"/>
  <c r="AA146" i="1" a="1"/>
  <c r="AA146" i="1" s="1"/>
  <c r="M146" i="1"/>
  <c r="AG146" i="1" a="1"/>
  <c r="AG146" i="1" s="1"/>
  <c r="CL144" i="1"/>
  <c r="AJ144" i="1"/>
  <c r="I144" i="1"/>
  <c r="BN142" i="1"/>
  <c r="AK142" i="1"/>
  <c r="P142" i="1" a="1"/>
  <c r="P142" i="1" s="1"/>
  <c r="CO82" i="1"/>
  <c r="DP82" i="1" a="1"/>
  <c r="DP82" i="1" s="1"/>
  <c r="CZ82" i="1" a="1"/>
  <c r="CZ82" i="1" s="1"/>
  <c r="CB153" i="1"/>
  <c r="CI153" i="1"/>
  <c r="CB151" i="1"/>
  <c r="CI151" i="1"/>
  <c r="Y149" i="1" a="1"/>
  <c r="Y149" i="1" s="1"/>
  <c r="AC149" i="1" a="1"/>
  <c r="AC149" i="1" s="1"/>
  <c r="AO149" i="1"/>
  <c r="BL149" i="1"/>
  <c r="AP149" i="1"/>
  <c r="BM149" i="1"/>
  <c r="BO148" i="1"/>
  <c r="CB148" i="1"/>
  <c r="CI148" i="1"/>
  <c r="CC148" i="1"/>
  <c r="AQ147" i="1"/>
  <c r="Z147" i="1" a="1"/>
  <c r="Z147" i="1" s="1"/>
  <c r="CH146" i="1"/>
  <c r="AR146" i="1"/>
  <c r="AH145" i="1" a="1"/>
  <c r="AH145" i="1" s="1"/>
  <c r="AA145" i="1" a="1"/>
  <c r="AA145" i="1" s="1"/>
  <c r="M145" i="1"/>
  <c r="AG145" i="1" a="1"/>
  <c r="AG145" i="1" s="1"/>
  <c r="S144" i="1"/>
  <c r="T144" i="1" s="1"/>
  <c r="M143" i="1"/>
  <c r="AG143" i="1" a="1"/>
  <c r="AG143" i="1" s="1"/>
  <c r="CE143" i="1"/>
  <c r="CL143" i="1"/>
  <c r="BK142" i="1"/>
  <c r="AJ142" i="1"/>
  <c r="AA142" i="1" a="1"/>
  <c r="AA142" i="1" s="1"/>
  <c r="CB142" i="1"/>
  <c r="CI142" i="1"/>
  <c r="CC142" i="1"/>
  <c r="AL139" i="1"/>
  <c r="AL138" i="1"/>
  <c r="AL136" i="1"/>
  <c r="CO131" i="1"/>
  <c r="DP131" i="1" a="1"/>
  <c r="DP131" i="1" s="1"/>
  <c r="DP130" i="1" a="1"/>
  <c r="DP130" i="1" s="1"/>
  <c r="CO130" i="1"/>
  <c r="AA130" i="1" a="1"/>
  <c r="AA130" i="1" s="1"/>
  <c r="DS123" i="1" a="1"/>
  <c r="DS123" i="1" s="1"/>
  <c r="CR123" i="1"/>
  <c r="AC148" i="1" a="1"/>
  <c r="AC148" i="1" s="1"/>
  <c r="AO148" i="1"/>
  <c r="BL148" i="1"/>
  <c r="AP148" i="1"/>
  <c r="BM148" i="1"/>
  <c r="CB147" i="1"/>
  <c r="CI147" i="1"/>
  <c r="CC147" i="1"/>
  <c r="Z146" i="1" a="1"/>
  <c r="Z146" i="1" s="1"/>
  <c r="AA144" i="1" a="1"/>
  <c r="AA144" i="1" s="1"/>
  <c r="M144" i="1"/>
  <c r="AG144" i="1" a="1"/>
  <c r="AG144" i="1" s="1"/>
  <c r="CF142" i="1"/>
  <c r="AL133" i="1"/>
  <c r="CN131" i="1"/>
  <c r="DO131" i="1" a="1"/>
  <c r="DO131" i="1" s="1"/>
  <c r="CN118" i="1"/>
  <c r="AC147" i="1" a="1"/>
  <c r="AC147" i="1" s="1"/>
  <c r="AO147" i="1"/>
  <c r="BL147" i="1"/>
  <c r="AP147" i="1"/>
  <c r="BM147" i="1"/>
  <c r="CB146" i="1"/>
  <c r="CI146" i="1"/>
  <c r="CC146" i="1"/>
  <c r="CH144" i="1"/>
  <c r="AR144" i="1"/>
  <c r="Z142" i="1" a="1"/>
  <c r="Z142" i="1" s="1"/>
  <c r="CR129" i="1"/>
  <c r="DS129" i="1" a="1"/>
  <c r="DS129" i="1" s="1"/>
  <c r="M120" i="1"/>
  <c r="AG120" i="1" a="1"/>
  <c r="AG120" i="1" s="1"/>
  <c r="CK120" i="1"/>
  <c r="CL120" i="1"/>
  <c r="CE120" i="1"/>
  <c r="CF120" i="1"/>
  <c r="I155" i="1"/>
  <c r="Z155" i="1" a="1"/>
  <c r="Z155" i="1" s="1"/>
  <c r="CD154" i="1"/>
  <c r="CK154" i="1"/>
  <c r="CQ154" i="1" s="1"/>
  <c r="S149" i="1"/>
  <c r="AJ148" i="1"/>
  <c r="AD148" i="1" a="1"/>
  <c r="AD148" i="1" s="1"/>
  <c r="I148" i="1"/>
  <c r="BK147" i="1"/>
  <c r="AK147" i="1"/>
  <c r="V147" i="1" a="1"/>
  <c r="V147" i="1" s="1"/>
  <c r="W147" i="1" s="1"/>
  <c r="J147" i="1"/>
  <c r="BN146" i="1"/>
  <c r="Y146" i="1" a="1"/>
  <c r="Y146" i="1" s="1"/>
  <c r="AC146" i="1" a="1"/>
  <c r="AC146" i="1" s="1"/>
  <c r="AO146" i="1"/>
  <c r="BL146" i="1"/>
  <c r="AP146" i="1"/>
  <c r="BM146" i="1"/>
  <c r="BO145" i="1"/>
  <c r="AN145" i="1"/>
  <c r="CB145" i="1"/>
  <c r="CI145" i="1"/>
  <c r="CZ145" i="1" s="1" a="1"/>
  <c r="CZ145" i="1" s="1"/>
  <c r="CC145" i="1"/>
  <c r="AQ144" i="1"/>
  <c r="Z144" i="1" a="1"/>
  <c r="Z144" i="1" s="1"/>
  <c r="P144" i="1" a="1"/>
  <c r="P144" i="1" s="1"/>
  <c r="CF143" i="1"/>
  <c r="CB143" i="1"/>
  <c r="CI143" i="1"/>
  <c r="CC143" i="1"/>
  <c r="Y142" i="1" a="1"/>
  <c r="Y142" i="1" s="1"/>
  <c r="V141" i="1" a="1"/>
  <c r="V141" i="1" s="1"/>
  <c r="W141" i="1" s="1"/>
  <c r="M141" i="1"/>
  <c r="AG141" i="1" a="1"/>
  <c r="AG141" i="1" s="1"/>
  <c r="CE141" i="1"/>
  <c r="CL141" i="1"/>
  <c r="DR140" i="1" a="1"/>
  <c r="DR140" i="1" s="1"/>
  <c r="V140" i="1" a="1"/>
  <c r="V140" i="1" s="1"/>
  <c r="W140" i="1" s="1"/>
  <c r="AN140" i="1"/>
  <c r="BK140" i="1"/>
  <c r="M140" i="1"/>
  <c r="AG140" i="1" a="1"/>
  <c r="AG140" i="1" s="1"/>
  <c r="CE140" i="1"/>
  <c r="CL140" i="1"/>
  <c r="DR139" i="1" a="1"/>
  <c r="DR139" i="1" s="1"/>
  <c r="V139" i="1" a="1"/>
  <c r="V139" i="1" s="1"/>
  <c r="W139" i="1" s="1"/>
  <c r="AN139" i="1"/>
  <c r="BK139" i="1"/>
  <c r="M139" i="1"/>
  <c r="AG139" i="1" a="1"/>
  <c r="AG139" i="1" s="1"/>
  <c r="CE139" i="1"/>
  <c r="CL139" i="1"/>
  <c r="DR138" i="1" a="1"/>
  <c r="DR138" i="1" s="1"/>
  <c r="AL135" i="1"/>
  <c r="CE131" i="1"/>
  <c r="M131" i="1"/>
  <c r="AO131" i="1"/>
  <c r="BO131" i="1"/>
  <c r="CF131" i="1"/>
  <c r="AQ131" i="1"/>
  <c r="CK131" i="1"/>
  <c r="AH130" i="1" a="1"/>
  <c r="AH130" i="1" s="1"/>
  <c r="DR129" i="1" a="1"/>
  <c r="DR129" i="1" s="1"/>
  <c r="CQ129" i="1"/>
  <c r="Z128" i="1" a="1"/>
  <c r="Z128" i="1" s="1"/>
  <c r="AF120" i="1" a="1"/>
  <c r="AF120" i="1" s="1"/>
  <c r="V120" i="1" a="1"/>
  <c r="V120" i="1" s="1"/>
  <c r="W120" i="1" s="1"/>
  <c r="AJ120" i="1"/>
  <c r="BK120" i="1"/>
  <c r="L120" i="1"/>
  <c r="Y120" i="1" a="1"/>
  <c r="Y120" i="1" s="1"/>
  <c r="AK120" i="1"/>
  <c r="BM120" i="1"/>
  <c r="CD120" i="1"/>
  <c r="AN120" i="1"/>
  <c r="BN120" i="1"/>
  <c r="P120" i="1" a="1"/>
  <c r="P120" i="1" s="1"/>
  <c r="Z120" i="1" a="1"/>
  <c r="Z120" i="1" s="1"/>
  <c r="AP120" i="1"/>
  <c r="BO120" i="1"/>
  <c r="CJ120" i="1"/>
  <c r="AQ120" i="1"/>
  <c r="AR120" i="1"/>
  <c r="AK157" i="1"/>
  <c r="BM155" i="1"/>
  <c r="AP155" i="1"/>
  <c r="AC155" i="1" a="1"/>
  <c r="AC155" i="1" s="1"/>
  <c r="V155" i="1" a="1"/>
  <c r="V155" i="1" s="1"/>
  <c r="W155" i="1" s="1"/>
  <c r="CB152" i="1"/>
  <c r="CI152" i="1"/>
  <c r="CB150" i="1"/>
  <c r="CI150" i="1"/>
  <c r="AA149" i="1" a="1"/>
  <c r="AA149" i="1" s="1"/>
  <c r="M149" i="1"/>
  <c r="AG149" i="1" a="1"/>
  <c r="AG149" i="1" s="1"/>
  <c r="S148" i="1"/>
  <c r="T148" i="1" s="1"/>
  <c r="AJ147" i="1"/>
  <c r="AD147" i="1" a="1"/>
  <c r="AD147" i="1" s="1"/>
  <c r="I147" i="1"/>
  <c r="CE146" i="1"/>
  <c r="BK146" i="1"/>
  <c r="AK146" i="1"/>
  <c r="AL146" i="1" s="1"/>
  <c r="V146" i="1" a="1"/>
  <c r="V146" i="1" s="1"/>
  <c r="W146" i="1" s="1"/>
  <c r="J146" i="1"/>
  <c r="CF145" i="1"/>
  <c r="BN145" i="1"/>
  <c r="Y145" i="1" a="1"/>
  <c r="Y145" i="1" s="1"/>
  <c r="AC145" i="1" a="1"/>
  <c r="AC145" i="1" s="1"/>
  <c r="AO145" i="1"/>
  <c r="BL145" i="1"/>
  <c r="AP145" i="1"/>
  <c r="BM145" i="1"/>
  <c r="BO144" i="1"/>
  <c r="AN144" i="1"/>
  <c r="CB144" i="1"/>
  <c r="CI144" i="1"/>
  <c r="CC144" i="1"/>
  <c r="Z143" i="1" a="1"/>
  <c r="Z143" i="1" s="1"/>
  <c r="AC143" i="1" a="1"/>
  <c r="AC143" i="1" s="1"/>
  <c r="AO143" i="1"/>
  <c r="BL143" i="1"/>
  <c r="AP143" i="1"/>
  <c r="BM143" i="1"/>
  <c r="AR143" i="1"/>
  <c r="BO143" i="1"/>
  <c r="CK142" i="1"/>
  <c r="AQ142" i="1"/>
  <c r="V142" i="1" a="1"/>
  <c r="V142" i="1" s="1"/>
  <c r="W142" i="1" s="1"/>
  <c r="Q141" i="1"/>
  <c r="Q140" i="1"/>
  <c r="Q139" i="1"/>
  <c r="AL137" i="1"/>
  <c r="Q133" i="1"/>
  <c r="N129" i="1"/>
  <c r="BN129" i="1"/>
  <c r="CF129" i="1"/>
  <c r="AR129" i="1"/>
  <c r="AH129" i="1" a="1"/>
  <c r="AH129" i="1" s="1"/>
  <c r="AA126" i="1" a="1"/>
  <c r="AA126" i="1" s="1"/>
  <c r="AO126" i="1"/>
  <c r="BL126" i="1"/>
  <c r="AD126" i="1" a="1"/>
  <c r="AD126" i="1" s="1"/>
  <c r="AQ126" i="1"/>
  <c r="BN126" i="1"/>
  <c r="J126" i="1"/>
  <c r="V126" i="1" a="1"/>
  <c r="V126" i="1" s="1"/>
  <c r="W126" i="1" s="1"/>
  <c r="BO126" i="1"/>
  <c r="CH126" i="1"/>
  <c r="CI126" i="1"/>
  <c r="Z126" i="1" a="1"/>
  <c r="Z126" i="1" s="1"/>
  <c r="AJ126" i="1"/>
  <c r="AN126" i="1"/>
  <c r="BK126" i="1"/>
  <c r="N122" i="1"/>
  <c r="AK122" i="1"/>
  <c r="BK122" i="1"/>
  <c r="CL122" i="1"/>
  <c r="S122" i="1"/>
  <c r="T122" i="1" s="1"/>
  <c r="AH122" i="1" a="1"/>
  <c r="AH122" i="1" s="1"/>
  <c r="V122" i="1" a="1"/>
  <c r="V122" i="1" s="1"/>
  <c r="W122" i="1" s="1"/>
  <c r="AQ122" i="1"/>
  <c r="AR122" i="1"/>
  <c r="CF122" i="1"/>
  <c r="AA141" i="1" a="1"/>
  <c r="AA141" i="1" s="1"/>
  <c r="AA140" i="1" a="1"/>
  <c r="AA140" i="1" s="1"/>
  <c r="AA139" i="1" a="1"/>
  <c r="AA139" i="1" s="1"/>
  <c r="AA138" i="1" a="1"/>
  <c r="AA138" i="1" s="1"/>
  <c r="AA137" i="1" a="1"/>
  <c r="AA137" i="1" s="1"/>
  <c r="AA136" i="1" a="1"/>
  <c r="AA136" i="1" s="1"/>
  <c r="AA135" i="1" a="1"/>
  <c r="AA135" i="1" s="1"/>
  <c r="AA134" i="1" a="1"/>
  <c r="AA134" i="1" s="1"/>
  <c r="AA133" i="1" a="1"/>
  <c r="AA133" i="1" s="1"/>
  <c r="AA132" i="1" a="1"/>
  <c r="AA132" i="1" s="1"/>
  <c r="V130" i="1" a="1"/>
  <c r="V130" i="1" s="1"/>
  <c r="W130" i="1" s="1"/>
  <c r="BL129" i="1"/>
  <c r="Y128" i="1" a="1"/>
  <c r="Y128" i="1" s="1"/>
  <c r="CI127" i="1"/>
  <c r="AN127" i="1"/>
  <c r="AP127" i="1"/>
  <c r="AP123" i="1"/>
  <c r="CR121" i="1"/>
  <c r="DS121" i="1" a="1"/>
  <c r="DS121" i="1" s="1"/>
  <c r="BO142" i="1"/>
  <c r="AR142" i="1"/>
  <c r="BO141" i="1"/>
  <c r="AR141" i="1"/>
  <c r="BO140" i="1"/>
  <c r="AR140" i="1"/>
  <c r="BO139" i="1"/>
  <c r="AR139" i="1"/>
  <c r="CL138" i="1"/>
  <c r="CE138" i="1"/>
  <c r="BO138" i="1"/>
  <c r="AR138" i="1"/>
  <c r="CL137" i="1"/>
  <c r="CE137" i="1"/>
  <c r="BO137" i="1"/>
  <c r="AR137" i="1"/>
  <c r="CL136" i="1"/>
  <c r="CE136" i="1"/>
  <c r="BO136" i="1"/>
  <c r="AR136" i="1"/>
  <c r="CL135" i="1"/>
  <c r="CE135" i="1"/>
  <c r="BO135" i="1"/>
  <c r="AR135" i="1"/>
  <c r="CL134" i="1"/>
  <c r="CE134" i="1"/>
  <c r="BO134" i="1"/>
  <c r="AR134" i="1"/>
  <c r="CL133" i="1"/>
  <c r="CE133" i="1"/>
  <c r="BO133" i="1"/>
  <c r="AR133" i="1"/>
  <c r="BO132" i="1"/>
  <c r="AR132" i="1"/>
  <c r="Z131" i="1" a="1"/>
  <c r="Z131" i="1" s="1"/>
  <c r="P131" i="1" a="1"/>
  <c r="P131" i="1" s="1"/>
  <c r="CC131" i="1"/>
  <c r="CJ131" i="1"/>
  <c r="DP129" i="1" a="1"/>
  <c r="DP129" i="1" s="1"/>
  <c r="CO129" i="1"/>
  <c r="N127" i="1"/>
  <c r="AH127" i="1" a="1"/>
  <c r="AH127" i="1" s="1"/>
  <c r="V123" i="1" a="1"/>
  <c r="V123" i="1" s="1"/>
  <c r="W123" i="1" s="1"/>
  <c r="AN123" i="1"/>
  <c r="BK123" i="1"/>
  <c r="N123" i="1"/>
  <c r="AH123" i="1" a="1"/>
  <c r="AH123" i="1" s="1"/>
  <c r="N116" i="1"/>
  <c r="AH116" i="1" a="1"/>
  <c r="AH116" i="1" s="1"/>
  <c r="AK116" i="1"/>
  <c r="CL116" i="1"/>
  <c r="CB110" i="1"/>
  <c r="CI110" i="1"/>
  <c r="CH110" i="1"/>
  <c r="J110" i="1"/>
  <c r="AD110" i="1" a="1"/>
  <c r="AD110" i="1" s="1"/>
  <c r="CC110" i="1"/>
  <c r="AN110" i="1"/>
  <c r="AP110" i="1"/>
  <c r="CC130" i="1"/>
  <c r="CJ130" i="1"/>
  <c r="AG129" i="1" a="1"/>
  <c r="AG129" i="1" s="1"/>
  <c r="AA129" i="1" a="1"/>
  <c r="AA129" i="1" s="1"/>
  <c r="DP128" i="1" a="1"/>
  <c r="DP128" i="1" s="1"/>
  <c r="CO128" i="1"/>
  <c r="AA121" i="1" a="1"/>
  <c r="AA121" i="1" s="1"/>
  <c r="AO121" i="1"/>
  <c r="BL121" i="1"/>
  <c r="CB121" i="1"/>
  <c r="CI121" i="1"/>
  <c r="AQ121" i="1"/>
  <c r="AR121" i="1"/>
  <c r="CH121" i="1"/>
  <c r="S121" i="1"/>
  <c r="T121" i="1" s="1"/>
  <c r="V121" i="1" a="1"/>
  <c r="V121" i="1" s="1"/>
  <c r="W121" i="1" s="1"/>
  <c r="J121" i="1"/>
  <c r="AD121" i="1" a="1"/>
  <c r="AD121" i="1" s="1"/>
  <c r="AJ121" i="1"/>
  <c r="AL121" i="1" s="1"/>
  <c r="BK121" i="1"/>
  <c r="CC121" i="1"/>
  <c r="P121" i="1" a="1"/>
  <c r="P121" i="1" s="1"/>
  <c r="Z121" i="1" a="1"/>
  <c r="Z121" i="1" s="1"/>
  <c r="AP121" i="1"/>
  <c r="BO121" i="1"/>
  <c r="S120" i="1"/>
  <c r="T120" i="1" s="1"/>
  <c r="Q113" i="1"/>
  <c r="CH112" i="1"/>
  <c r="CB112" i="1"/>
  <c r="J112" i="1"/>
  <c r="AD112" i="1" a="1"/>
  <c r="AD112" i="1" s="1"/>
  <c r="AR112" i="1"/>
  <c r="AC103" i="1" a="1"/>
  <c r="AC103" i="1" s="1"/>
  <c r="AO103" i="1"/>
  <c r="BL103" i="1"/>
  <c r="CB103" i="1"/>
  <c r="AP103" i="1"/>
  <c r="BM103" i="1"/>
  <c r="P103" i="1" a="1"/>
  <c r="P103" i="1" s="1"/>
  <c r="Y103" i="1" a="1"/>
  <c r="Y103" i="1" s="1"/>
  <c r="AQ103" i="1"/>
  <c r="BN103" i="1"/>
  <c r="AR103" i="1"/>
  <c r="BO103" i="1"/>
  <c r="I103" i="1"/>
  <c r="Z103" i="1" a="1"/>
  <c r="Z103" i="1" s="1"/>
  <c r="AJ103" i="1"/>
  <c r="V103" i="1" a="1"/>
  <c r="V103" i="1" s="1"/>
  <c r="W103" i="1" s="1"/>
  <c r="AN103" i="1"/>
  <c r="BK103" i="1"/>
  <c r="CH103" i="1"/>
  <c r="AK103" i="1"/>
  <c r="AA103" i="1" a="1"/>
  <c r="AA103" i="1" s="1"/>
  <c r="S103" i="1"/>
  <c r="T103" i="1" s="1"/>
  <c r="BM142" i="1"/>
  <c r="AP142" i="1"/>
  <c r="CC141" i="1"/>
  <c r="BM141" i="1"/>
  <c r="AP141" i="1"/>
  <c r="CC140" i="1"/>
  <c r="BM140" i="1"/>
  <c r="AP140" i="1"/>
  <c r="CC139" i="1"/>
  <c r="BM139" i="1"/>
  <c r="AP139" i="1"/>
  <c r="CC138" i="1"/>
  <c r="BM138" i="1"/>
  <c r="AP138" i="1"/>
  <c r="CC137" i="1"/>
  <c r="BM137" i="1"/>
  <c r="AP137" i="1"/>
  <c r="CC136" i="1"/>
  <c r="BM136" i="1"/>
  <c r="AP136" i="1"/>
  <c r="CC135" i="1"/>
  <c r="BM135" i="1"/>
  <c r="AP135" i="1"/>
  <c r="CC134" i="1"/>
  <c r="BM134" i="1"/>
  <c r="AP134" i="1"/>
  <c r="CC133" i="1"/>
  <c r="BM133" i="1"/>
  <c r="AP133" i="1"/>
  <c r="CC132" i="1"/>
  <c r="BM132" i="1"/>
  <c r="AP132" i="1"/>
  <c r="BN131" i="1"/>
  <c r="AN131" i="1"/>
  <c r="AE131" i="1" a="1"/>
  <c r="AE131" i="1" s="1"/>
  <c r="Y131" i="1" a="1"/>
  <c r="Y131" i="1" s="1"/>
  <c r="AP131" i="1"/>
  <c r="BM131" i="1"/>
  <c r="S131" i="1"/>
  <c r="T131" i="1" s="1"/>
  <c r="AK131" i="1"/>
  <c r="BO130" i="1"/>
  <c r="AO130" i="1"/>
  <c r="AQ129" i="1"/>
  <c r="Z129" i="1" a="1"/>
  <c r="Z129" i="1" s="1"/>
  <c r="P129" i="1" a="1"/>
  <c r="P129" i="1" s="1"/>
  <c r="CC129" i="1"/>
  <c r="CJ129" i="1"/>
  <c r="CZ129" i="1" s="1" a="1"/>
  <c r="CZ129" i="1" s="1"/>
  <c r="CH128" i="1"/>
  <c r="AR128" i="1"/>
  <c r="AA128" i="1" a="1"/>
  <c r="AA128" i="1" s="1"/>
  <c r="CC128" i="1"/>
  <c r="CJ128" i="1"/>
  <c r="CB127" i="1"/>
  <c r="V127" i="1" a="1"/>
  <c r="V127" i="1" s="1"/>
  <c r="W127" i="1" s="1"/>
  <c r="N126" i="1"/>
  <c r="AH126" i="1" a="1"/>
  <c r="AH126" i="1" s="1"/>
  <c r="AA125" i="1" a="1"/>
  <c r="AA125" i="1" s="1"/>
  <c r="AO125" i="1"/>
  <c r="BL125" i="1"/>
  <c r="CB125" i="1"/>
  <c r="CI125" i="1"/>
  <c r="AD125" i="1" a="1"/>
  <c r="AD125" i="1" s="1"/>
  <c r="AQ125" i="1"/>
  <c r="BN125" i="1"/>
  <c r="J125" i="1"/>
  <c r="CN124" i="1"/>
  <c r="N124" i="1"/>
  <c r="AH124" i="1" a="1"/>
  <c r="AH124" i="1" s="1"/>
  <c r="P122" i="1" a="1"/>
  <c r="P122" i="1" s="1"/>
  <c r="V114" i="1" a="1"/>
  <c r="V114" i="1" s="1"/>
  <c r="W114" i="1" s="1"/>
  <c r="AN114" i="1"/>
  <c r="BK114" i="1"/>
  <c r="N114" i="1"/>
  <c r="AH114" i="1" a="1"/>
  <c r="AH114" i="1" s="1"/>
  <c r="S114" i="1"/>
  <c r="T114" i="1" s="1"/>
  <c r="AK114" i="1"/>
  <c r="CL114" i="1"/>
  <c r="AJ114" i="1"/>
  <c r="AR114" i="1"/>
  <c r="Z114" i="1" a="1"/>
  <c r="Z114" i="1" s="1"/>
  <c r="CF114" i="1"/>
  <c r="BL142" i="1"/>
  <c r="AO142" i="1"/>
  <c r="CI141" i="1"/>
  <c r="BL141" i="1"/>
  <c r="AO141" i="1"/>
  <c r="CI140" i="1"/>
  <c r="BL140" i="1"/>
  <c r="AO140" i="1"/>
  <c r="CI139" i="1"/>
  <c r="BL139" i="1"/>
  <c r="AO139" i="1"/>
  <c r="CI138" i="1"/>
  <c r="CT138" i="1" s="1" a="1"/>
  <c r="CT138" i="1" s="1"/>
  <c r="BL138" i="1"/>
  <c r="AO138" i="1"/>
  <c r="AG138" i="1" a="1"/>
  <c r="AG138" i="1" s="1"/>
  <c r="M138" i="1"/>
  <c r="CI137" i="1"/>
  <c r="BL137" i="1"/>
  <c r="AO137" i="1"/>
  <c r="AG137" i="1" a="1"/>
  <c r="AG137" i="1" s="1"/>
  <c r="M137" i="1"/>
  <c r="CI136" i="1"/>
  <c r="DB136" i="1" s="1" a="1"/>
  <c r="DB136" i="1" s="1"/>
  <c r="BL136" i="1"/>
  <c r="AO136" i="1"/>
  <c r="AG136" i="1" a="1"/>
  <c r="AG136" i="1" s="1"/>
  <c r="M136" i="1"/>
  <c r="CI135" i="1"/>
  <c r="DB135" i="1" s="1" a="1"/>
  <c r="DB135" i="1" s="1"/>
  <c r="BL135" i="1"/>
  <c r="AO135" i="1"/>
  <c r="AG135" i="1" a="1"/>
  <c r="AG135" i="1" s="1"/>
  <c r="M135" i="1"/>
  <c r="CI134" i="1"/>
  <c r="BL134" i="1"/>
  <c r="AO134" i="1"/>
  <c r="AG134" i="1" a="1"/>
  <c r="AG134" i="1" s="1"/>
  <c r="AC134" i="1" a="1"/>
  <c r="AC134" i="1" s="1"/>
  <c r="M134" i="1"/>
  <c r="CI133" i="1"/>
  <c r="BL133" i="1"/>
  <c r="AO133" i="1"/>
  <c r="AG133" i="1" a="1"/>
  <c r="AG133" i="1" s="1"/>
  <c r="AC133" i="1" a="1"/>
  <c r="AC133" i="1" s="1"/>
  <c r="M133" i="1"/>
  <c r="CI132" i="1"/>
  <c r="CT132" i="1" s="1" a="1"/>
  <c r="CT132" i="1" s="1"/>
  <c r="BL132" i="1"/>
  <c r="AO132" i="1"/>
  <c r="AG132" i="1" a="1"/>
  <c r="AG132" i="1" s="1"/>
  <c r="AC132" i="1" a="1"/>
  <c r="AC132" i="1" s="1"/>
  <c r="M132" i="1"/>
  <c r="CD131" i="1"/>
  <c r="BL131" i="1"/>
  <c r="K131" i="1"/>
  <c r="BN130" i="1"/>
  <c r="AN130" i="1"/>
  <c r="AE130" i="1" a="1"/>
  <c r="AE130" i="1" s="1"/>
  <c r="Y130" i="1" a="1"/>
  <c r="Y130" i="1" s="1"/>
  <c r="AP130" i="1"/>
  <c r="BM130" i="1"/>
  <c r="S130" i="1"/>
  <c r="T130" i="1" s="1"/>
  <c r="AK130" i="1"/>
  <c r="BO129" i="1"/>
  <c r="M129" i="1"/>
  <c r="AQ128" i="1"/>
  <c r="CL127" i="1"/>
  <c r="K127" i="1"/>
  <c r="CC127" i="1"/>
  <c r="CJ127" i="1"/>
  <c r="CD127" i="1"/>
  <c r="AR125" i="1"/>
  <c r="AP125" i="1"/>
  <c r="CL124" i="1"/>
  <c r="DO120" i="1" a="1"/>
  <c r="DO120" i="1" s="1"/>
  <c r="CN120" i="1"/>
  <c r="CR119" i="1"/>
  <c r="DS119" i="1" a="1"/>
  <c r="DS119" i="1" s="1"/>
  <c r="N119" i="1"/>
  <c r="Z119" i="1" a="1"/>
  <c r="Z119" i="1" s="1"/>
  <c r="AP119" i="1"/>
  <c r="BO119" i="1"/>
  <c r="CF119" i="1"/>
  <c r="AH119" i="1" a="1"/>
  <c r="AH119" i="1" s="1"/>
  <c r="BK138" i="1"/>
  <c r="AN138" i="1"/>
  <c r="BK137" i="1"/>
  <c r="AN137" i="1"/>
  <c r="BK136" i="1"/>
  <c r="AN136" i="1"/>
  <c r="BK135" i="1"/>
  <c r="AN135" i="1"/>
  <c r="BK134" i="1"/>
  <c r="BK133" i="1"/>
  <c r="AN132" i="1"/>
  <c r="CL131" i="1"/>
  <c r="CB131" i="1"/>
  <c r="BK131" i="1"/>
  <c r="AJ131" i="1"/>
  <c r="AD131" i="1" a="1"/>
  <c r="AD131" i="1" s="1"/>
  <c r="V131" i="1" a="1"/>
  <c r="V131" i="1" s="1"/>
  <c r="W131" i="1" s="1"/>
  <c r="CZ130" i="1" a="1"/>
  <c r="CZ130" i="1" s="1"/>
  <c r="CN130" i="1"/>
  <c r="K130" i="1"/>
  <c r="AN129" i="1"/>
  <c r="AP129" i="1"/>
  <c r="BM129" i="1"/>
  <c r="S129" i="1"/>
  <c r="T129" i="1" s="1"/>
  <c r="AK129" i="1"/>
  <c r="CQ128" i="1"/>
  <c r="AP128" i="1"/>
  <c r="BM128" i="1"/>
  <c r="P128" i="1" a="1"/>
  <c r="P128" i="1" s="1"/>
  <c r="S128" i="1"/>
  <c r="T128" i="1" s="1"/>
  <c r="AK128" i="1"/>
  <c r="AL128" i="1" s="1"/>
  <c r="AA127" i="1" a="1"/>
  <c r="AA127" i="1" s="1"/>
  <c r="AD127" i="1" a="1"/>
  <c r="AD127" i="1" s="1"/>
  <c r="AQ127" i="1"/>
  <c r="BN127" i="1"/>
  <c r="J127" i="1"/>
  <c r="AA123" i="1" a="1"/>
  <c r="AA123" i="1" s="1"/>
  <c r="CQ119" i="1"/>
  <c r="DR119" i="1" a="1"/>
  <c r="DR119" i="1" s="1"/>
  <c r="BO112" i="1"/>
  <c r="AK127" i="1"/>
  <c r="AL127" i="1" s="1"/>
  <c r="S127" i="1"/>
  <c r="T127" i="1" s="1"/>
  <c r="AK126" i="1"/>
  <c r="AL126" i="1" s="1"/>
  <c r="S126" i="1"/>
  <c r="T126" i="1" s="1"/>
  <c r="AK125" i="1"/>
  <c r="S125" i="1"/>
  <c r="T125" i="1" s="1"/>
  <c r="AK124" i="1"/>
  <c r="S124" i="1"/>
  <c r="T124" i="1" s="1"/>
  <c r="J124" i="1"/>
  <c r="AK123" i="1"/>
  <c r="S123" i="1"/>
  <c r="T123" i="1" s="1"/>
  <c r="J123" i="1"/>
  <c r="AD122" i="1" a="1"/>
  <c r="AD122" i="1" s="1"/>
  <c r="J122" i="1"/>
  <c r="DQ121" i="1" a="1"/>
  <c r="DQ121" i="1" s="1"/>
  <c r="CF121" i="1"/>
  <c r="CD119" i="1"/>
  <c r="BM119" i="1"/>
  <c r="AK119" i="1"/>
  <c r="AL119" i="1" s="1"/>
  <c r="Y119" i="1" a="1"/>
  <c r="Y119" i="1" s="1"/>
  <c r="J119" i="1"/>
  <c r="AA118" i="1" a="1"/>
  <c r="AA118" i="1" s="1"/>
  <c r="AO118" i="1"/>
  <c r="BL118" i="1"/>
  <c r="CB118" i="1"/>
  <c r="CI118" i="1"/>
  <c r="CT118" i="1" s="1" a="1"/>
  <c r="CT118" i="1" s="1"/>
  <c r="CU118" i="1" s="1"/>
  <c r="AP118" i="1"/>
  <c r="BM118" i="1"/>
  <c r="CC118" i="1"/>
  <c r="P118" i="1" a="1"/>
  <c r="P118" i="1" s="1"/>
  <c r="Y118" i="1" a="1"/>
  <c r="Y118" i="1" s="1"/>
  <c r="AD118" i="1" a="1"/>
  <c r="AD118" i="1" s="1"/>
  <c r="AQ118" i="1"/>
  <c r="BN118" i="1"/>
  <c r="CH117" i="1"/>
  <c r="AJ117" i="1"/>
  <c r="BO116" i="1"/>
  <c r="J116" i="1"/>
  <c r="CF115" i="1"/>
  <c r="AC111" i="1" a="1"/>
  <c r="AC111" i="1" s="1"/>
  <c r="AO111" i="1"/>
  <c r="BL111" i="1"/>
  <c r="I111" i="1"/>
  <c r="Z111" i="1" a="1"/>
  <c r="Z111" i="1" s="1"/>
  <c r="AJ111" i="1"/>
  <c r="P111" i="1" a="1"/>
  <c r="P111" i="1" s="1"/>
  <c r="AQ111" i="1"/>
  <c r="BO111" i="1"/>
  <c r="AA111" i="1" a="1"/>
  <c r="AA111" i="1" s="1"/>
  <c r="AR111" i="1"/>
  <c r="S111" i="1"/>
  <c r="T111" i="1" s="1"/>
  <c r="V111" i="1" a="1"/>
  <c r="V111" i="1" s="1"/>
  <c r="W111" i="1" s="1"/>
  <c r="AK111" i="1"/>
  <c r="AL111" i="1" s="1"/>
  <c r="AP111" i="1"/>
  <c r="BN111" i="1"/>
  <c r="AC108" i="1" a="1"/>
  <c r="AC108" i="1" s="1"/>
  <c r="AO108" i="1"/>
  <c r="BL108" i="1"/>
  <c r="AR108" i="1"/>
  <c r="BO108" i="1"/>
  <c r="I108" i="1"/>
  <c r="Z108" i="1" a="1"/>
  <c r="Z108" i="1" s="1"/>
  <c r="AJ108" i="1"/>
  <c r="AL108" i="1" s="1"/>
  <c r="V108" i="1" a="1"/>
  <c r="V108" i="1" s="1"/>
  <c r="W108" i="1" s="1"/>
  <c r="S108" i="1"/>
  <c r="T108" i="1" s="1"/>
  <c r="AN108" i="1"/>
  <c r="BN108" i="1"/>
  <c r="AP108" i="1"/>
  <c r="CH108" i="1"/>
  <c r="AQ108" i="1"/>
  <c r="Y108" i="1" a="1"/>
  <c r="Y108" i="1" s="1"/>
  <c r="P108" i="1" a="1"/>
  <c r="P108" i="1" s="1"/>
  <c r="BM108" i="1"/>
  <c r="P106" i="1" a="1"/>
  <c r="P106" i="1" s="1"/>
  <c r="CI102" i="1"/>
  <c r="CJ102" i="1"/>
  <c r="K102" i="1"/>
  <c r="CC102" i="1"/>
  <c r="AE102" i="1" a="1"/>
  <c r="AE102" i="1" s="1"/>
  <c r="CD102" i="1"/>
  <c r="AO102" i="1"/>
  <c r="AP102" i="1"/>
  <c r="Y102" i="1" a="1"/>
  <c r="Y102" i="1" s="1"/>
  <c r="Y127" i="1" a="1"/>
  <c r="Y127" i="1" s="1"/>
  <c r="P127" i="1" a="1"/>
  <c r="P127" i="1" s="1"/>
  <c r="CD126" i="1"/>
  <c r="Y126" i="1" a="1"/>
  <c r="Y126" i="1" s="1"/>
  <c r="P126" i="1" a="1"/>
  <c r="P126" i="1" s="1"/>
  <c r="CD125" i="1"/>
  <c r="Y125" i="1" a="1"/>
  <c r="Y125" i="1" s="1"/>
  <c r="P125" i="1" a="1"/>
  <c r="P125" i="1" s="1"/>
  <c r="CD124" i="1"/>
  <c r="BN124" i="1"/>
  <c r="AQ124" i="1"/>
  <c r="AD124" i="1" a="1"/>
  <c r="AD124" i="1" s="1"/>
  <c r="Y124" i="1" a="1"/>
  <c r="Y124" i="1" s="1"/>
  <c r="P124" i="1" a="1"/>
  <c r="P124" i="1" s="1"/>
  <c r="CD123" i="1"/>
  <c r="BN123" i="1"/>
  <c r="AQ123" i="1"/>
  <c r="AD123" i="1" a="1"/>
  <c r="AD123" i="1" s="1"/>
  <c r="Y123" i="1" a="1"/>
  <c r="Y123" i="1" s="1"/>
  <c r="P123" i="1" a="1"/>
  <c r="P123" i="1" s="1"/>
  <c r="BN122" i="1"/>
  <c r="AP122" i="1"/>
  <c r="S119" i="1"/>
  <c r="T119" i="1" s="1"/>
  <c r="N117" i="1"/>
  <c r="AH117" i="1" a="1"/>
  <c r="AH117" i="1" s="1"/>
  <c r="V116" i="1" a="1"/>
  <c r="V116" i="1" s="1"/>
  <c r="W116" i="1" s="1"/>
  <c r="V115" i="1" a="1"/>
  <c r="V115" i="1" s="1"/>
  <c r="W115" i="1" s="1"/>
  <c r="N115" i="1"/>
  <c r="AH115" i="1" a="1"/>
  <c r="AH115" i="1" s="1"/>
  <c r="AK115" i="1"/>
  <c r="I112" i="1"/>
  <c r="Z112" i="1" a="1"/>
  <c r="Z112" i="1" s="1"/>
  <c r="AJ112" i="1"/>
  <c r="P112" i="1" a="1"/>
  <c r="P112" i="1" s="1"/>
  <c r="AN112" i="1"/>
  <c r="BK112" i="1"/>
  <c r="S112" i="1"/>
  <c r="T112" i="1" s="1"/>
  <c r="AA112" i="1" a="1"/>
  <c r="AA112" i="1" s="1"/>
  <c r="AO112" i="1"/>
  <c r="BL112" i="1"/>
  <c r="AP112" i="1"/>
  <c r="BM112" i="1"/>
  <c r="V112" i="1" a="1"/>
  <c r="V112" i="1" s="1"/>
  <c r="W112" i="1" s="1"/>
  <c r="AC112" i="1" a="1"/>
  <c r="AC112" i="1" s="1"/>
  <c r="AQ112" i="1"/>
  <c r="BN112" i="1"/>
  <c r="Y112" i="1" a="1"/>
  <c r="Y112" i="1" s="1"/>
  <c r="AK112" i="1"/>
  <c r="AC110" i="1" a="1"/>
  <c r="AC110" i="1" s="1"/>
  <c r="AO110" i="1"/>
  <c r="BL110" i="1"/>
  <c r="I110" i="1"/>
  <c r="Z110" i="1" a="1"/>
  <c r="Z110" i="1" s="1"/>
  <c r="AJ110" i="1"/>
  <c r="AA110" i="1" a="1"/>
  <c r="AA110" i="1" s="1"/>
  <c r="AR110" i="1"/>
  <c r="S110" i="1"/>
  <c r="T110" i="1" s="1"/>
  <c r="V110" i="1" a="1"/>
  <c r="V110" i="1" s="1"/>
  <c r="W110" i="1" s="1"/>
  <c r="AK110" i="1"/>
  <c r="BK110" i="1"/>
  <c r="P110" i="1" a="1"/>
  <c r="P110" i="1" s="1"/>
  <c r="AQ110" i="1"/>
  <c r="BO110" i="1"/>
  <c r="CF106" i="1"/>
  <c r="BM127" i="1"/>
  <c r="CJ126" i="1"/>
  <c r="CC126" i="1"/>
  <c r="BM126" i="1"/>
  <c r="CJ125" i="1"/>
  <c r="CC125" i="1"/>
  <c r="BM125" i="1"/>
  <c r="CJ124" i="1"/>
  <c r="CC124" i="1"/>
  <c r="BM124" i="1"/>
  <c r="CJ123" i="1"/>
  <c r="CC123" i="1"/>
  <c r="BM123" i="1"/>
  <c r="CC122" i="1"/>
  <c r="BM122" i="1"/>
  <c r="AO122" i="1"/>
  <c r="AA120" i="1" a="1"/>
  <c r="AA120" i="1" s="1"/>
  <c r="AO120" i="1"/>
  <c r="BL120" i="1"/>
  <c r="CB120" i="1"/>
  <c r="CI120" i="1"/>
  <c r="CH119" i="1"/>
  <c r="AR119" i="1"/>
  <c r="DS118" i="1" a="1"/>
  <c r="DS118" i="1" s="1"/>
  <c r="N118" i="1"/>
  <c r="AH118" i="1" a="1"/>
  <c r="AH118" i="1" s="1"/>
  <c r="V117" i="1" a="1"/>
  <c r="V117" i="1" s="1"/>
  <c r="W117" i="1" s="1"/>
  <c r="AR116" i="1"/>
  <c r="S116" i="1"/>
  <c r="T116" i="1" s="1"/>
  <c r="AN115" i="1"/>
  <c r="DS113" i="1" a="1"/>
  <c r="DS113" i="1" s="1"/>
  <c r="CR113" i="1"/>
  <c r="AG113" i="1" a="1"/>
  <c r="AG113" i="1" s="1"/>
  <c r="M113" i="1"/>
  <c r="CK113" i="1"/>
  <c r="Q107" i="1"/>
  <c r="M106" i="1"/>
  <c r="AG106" i="1" a="1"/>
  <c r="AG106" i="1" s="1"/>
  <c r="CE106" i="1"/>
  <c r="CL106" i="1"/>
  <c r="AP106" i="1"/>
  <c r="CK106" i="1"/>
  <c r="AK106" i="1"/>
  <c r="BN106" i="1"/>
  <c r="CI124" i="1"/>
  <c r="CB124" i="1"/>
  <c r="BL124" i="1"/>
  <c r="AO124" i="1"/>
  <c r="CI123" i="1"/>
  <c r="CT123" i="1" s="1" a="1"/>
  <c r="CT123" i="1" s="1"/>
  <c r="CU123" i="1" s="1"/>
  <c r="CB123" i="1"/>
  <c r="BL123" i="1"/>
  <c r="AO123" i="1"/>
  <c r="CI122" i="1"/>
  <c r="CB122" i="1"/>
  <c r="BL122" i="1"/>
  <c r="AN122" i="1"/>
  <c r="Z122" i="1" a="1"/>
  <c r="Z122" i="1" s="1"/>
  <c r="AR117" i="1"/>
  <c r="AF113" i="1" a="1"/>
  <c r="AF113" i="1" s="1"/>
  <c r="V113" i="1" a="1"/>
  <c r="V113" i="1" s="1"/>
  <c r="W113" i="1" s="1"/>
  <c r="AN113" i="1"/>
  <c r="BK113" i="1"/>
  <c r="L113" i="1"/>
  <c r="AP113" i="1"/>
  <c r="BM113" i="1"/>
  <c r="CJ113" i="1"/>
  <c r="CD113" i="1"/>
  <c r="S113" i="1"/>
  <c r="T113" i="1" s="1"/>
  <c r="AK113" i="1"/>
  <c r="AL113" i="1" s="1"/>
  <c r="M109" i="1"/>
  <c r="AG109" i="1" a="1"/>
  <c r="AG109" i="1" s="1"/>
  <c r="CK109" i="1"/>
  <c r="CL109" i="1"/>
  <c r="AQ109" i="1"/>
  <c r="AC104" i="1" a="1"/>
  <c r="AC104" i="1" s="1"/>
  <c r="AO104" i="1"/>
  <c r="BL104" i="1"/>
  <c r="CB104" i="1"/>
  <c r="AP104" i="1"/>
  <c r="BM104" i="1"/>
  <c r="P104" i="1" a="1"/>
  <c r="P104" i="1" s="1"/>
  <c r="Y104" i="1" a="1"/>
  <c r="Y104" i="1" s="1"/>
  <c r="AQ104" i="1"/>
  <c r="BN104" i="1"/>
  <c r="AR104" i="1"/>
  <c r="BO104" i="1"/>
  <c r="I104" i="1"/>
  <c r="Z104" i="1" a="1"/>
  <c r="Z104" i="1" s="1"/>
  <c r="AJ104" i="1"/>
  <c r="AL104" i="1" s="1"/>
  <c r="V104" i="1" a="1"/>
  <c r="V104" i="1" s="1"/>
  <c r="W104" i="1" s="1"/>
  <c r="AN104" i="1"/>
  <c r="BK104" i="1"/>
  <c r="CH104" i="1"/>
  <c r="AA104" i="1" a="1"/>
  <c r="AA104" i="1" s="1"/>
  <c r="AA122" i="1" a="1"/>
  <c r="AA122" i="1" s="1"/>
  <c r="M121" i="1"/>
  <c r="AG121" i="1" a="1"/>
  <c r="AG121" i="1" s="1"/>
  <c r="AA119" i="1" a="1"/>
  <c r="AA119" i="1" s="1"/>
  <c r="AO119" i="1"/>
  <c r="BL119" i="1"/>
  <c r="CB119" i="1"/>
  <c r="CI119" i="1"/>
  <c r="P119" i="1" a="1"/>
  <c r="P119" i="1" s="1"/>
  <c r="AA116" i="1" a="1"/>
  <c r="AA116" i="1" s="1"/>
  <c r="AO116" i="1"/>
  <c r="BL116" i="1"/>
  <c r="CB116" i="1"/>
  <c r="CI116" i="1"/>
  <c r="AP116" i="1"/>
  <c r="BM116" i="1"/>
  <c r="CC116" i="1"/>
  <c r="P116" i="1" a="1"/>
  <c r="P116" i="1" s="1"/>
  <c r="Y116" i="1" a="1"/>
  <c r="Y116" i="1" s="1"/>
  <c r="AD116" i="1" a="1"/>
  <c r="AD116" i="1" s="1"/>
  <c r="AQ116" i="1"/>
  <c r="BN116" i="1"/>
  <c r="AA114" i="1" a="1"/>
  <c r="AA114" i="1" s="1"/>
  <c r="CP111" i="1"/>
  <c r="DQ111" i="1" a="1"/>
  <c r="DQ111" i="1" s="1"/>
  <c r="CR110" i="1"/>
  <c r="DS110" i="1" a="1"/>
  <c r="DS110" i="1" s="1"/>
  <c r="CJ101" i="1"/>
  <c r="CK101" i="1"/>
  <c r="L101" i="1"/>
  <c r="CD101" i="1"/>
  <c r="AF101" i="1" a="1"/>
  <c r="AF101" i="1" s="1"/>
  <c r="P101" i="1" a="1"/>
  <c r="P101" i="1" s="1"/>
  <c r="AP101" i="1"/>
  <c r="Z101" i="1" a="1"/>
  <c r="Z101" i="1" s="1"/>
  <c r="AQ101" i="1"/>
  <c r="AA101" i="1" a="1"/>
  <c r="AA101" i="1" s="1"/>
  <c r="AJ122" i="1"/>
  <c r="Y122" i="1" a="1"/>
  <c r="Y122" i="1" s="1"/>
  <c r="BN119" i="1"/>
  <c r="AN119" i="1"/>
  <c r="AL117" i="1"/>
  <c r="AA117" i="1" a="1"/>
  <c r="AA117" i="1" s="1"/>
  <c r="AO117" i="1"/>
  <c r="BL117" i="1"/>
  <c r="CB117" i="1"/>
  <c r="CI117" i="1"/>
  <c r="AP117" i="1"/>
  <c r="BM117" i="1"/>
  <c r="CC117" i="1"/>
  <c r="P117" i="1" a="1"/>
  <c r="P117" i="1" s="1"/>
  <c r="Y117" i="1" a="1"/>
  <c r="Y117" i="1" s="1"/>
  <c r="AD117" i="1" a="1"/>
  <c r="AD117" i="1" s="1"/>
  <c r="AQ117" i="1"/>
  <c r="BN117" i="1"/>
  <c r="CH116" i="1"/>
  <c r="AJ116" i="1"/>
  <c r="DO115" i="1" a="1"/>
  <c r="DO115" i="1" s="1"/>
  <c r="CN111" i="1"/>
  <c r="DO111" i="1" a="1"/>
  <c r="DO111" i="1" s="1"/>
  <c r="CQ110" i="1"/>
  <c r="DR110" i="1" a="1"/>
  <c r="DR110" i="1" s="1"/>
  <c r="S115" i="1"/>
  <c r="T115" i="1" s="1"/>
  <c r="J115" i="1"/>
  <c r="CB108" i="1"/>
  <c r="BN115" i="1"/>
  <c r="AQ115" i="1"/>
  <c r="AD115" i="1" a="1"/>
  <c r="AD115" i="1" s="1"/>
  <c r="Y115" i="1" a="1"/>
  <c r="Y115" i="1" s="1"/>
  <c r="P115" i="1" a="1"/>
  <c r="P115" i="1" s="1"/>
  <c r="BN114" i="1"/>
  <c r="AQ114" i="1"/>
  <c r="AD114" i="1" a="1"/>
  <c r="AD114" i="1" s="1"/>
  <c r="Y114" i="1" a="1"/>
  <c r="Y114" i="1" s="1"/>
  <c r="P114" i="1" a="1"/>
  <c r="P114" i="1" s="1"/>
  <c r="BN113" i="1"/>
  <c r="AQ113" i="1"/>
  <c r="AH113" i="1" a="1"/>
  <c r="AH113" i="1" s="1"/>
  <c r="AD113" i="1" a="1"/>
  <c r="AD113" i="1" s="1"/>
  <c r="Y113" i="1" a="1"/>
  <c r="Y113" i="1" s="1"/>
  <c r="CL112" i="1"/>
  <c r="CD112" i="1"/>
  <c r="K112" i="1"/>
  <c r="CI111" i="1"/>
  <c r="CZ111" i="1" s="1" a="1"/>
  <c r="CZ111" i="1" s="1"/>
  <c r="AD111" i="1" a="1"/>
  <c r="AD111" i="1" s="1"/>
  <c r="J111" i="1"/>
  <c r="BM109" i="1"/>
  <c r="S109" i="1"/>
  <c r="T109" i="1" s="1"/>
  <c r="CK107" i="1"/>
  <c r="AP107" i="1"/>
  <c r="AC107" i="1" a="1"/>
  <c r="AC107" i="1" s="1"/>
  <c r="AO107" i="1"/>
  <c r="BL107" i="1"/>
  <c r="AR107" i="1"/>
  <c r="BO107" i="1"/>
  <c r="I107" i="1"/>
  <c r="Z107" i="1" a="1"/>
  <c r="Z107" i="1" s="1"/>
  <c r="AJ107" i="1"/>
  <c r="V107" i="1" a="1"/>
  <c r="V107" i="1" s="1"/>
  <c r="W107" i="1" s="1"/>
  <c r="AN107" i="1"/>
  <c r="BK107" i="1"/>
  <c r="CH107" i="1"/>
  <c r="CP106" i="1"/>
  <c r="CQ102" i="1"/>
  <c r="J102" i="1"/>
  <c r="V102" i="1" a="1"/>
  <c r="V102" i="1" s="1"/>
  <c r="W102" i="1" s="1"/>
  <c r="AJ102" i="1"/>
  <c r="BK102" i="1"/>
  <c r="CB102" i="1"/>
  <c r="AD102" i="1" a="1"/>
  <c r="AD102" i="1" s="1"/>
  <c r="BL102" i="1"/>
  <c r="AN102" i="1"/>
  <c r="BM102" i="1"/>
  <c r="P102" i="1" a="1"/>
  <c r="P102" i="1" s="1"/>
  <c r="AA102" i="1" a="1"/>
  <c r="AA102" i="1" s="1"/>
  <c r="AQ102" i="1"/>
  <c r="CH102" i="1"/>
  <c r="BK101" i="1"/>
  <c r="K101" i="1"/>
  <c r="CC101" i="1"/>
  <c r="AE101" i="1" a="1"/>
  <c r="AE101" i="1" s="1"/>
  <c r="AN101" i="1"/>
  <c r="BM101" i="1"/>
  <c r="CI101" i="1"/>
  <c r="CE98" i="1"/>
  <c r="CO95" i="1"/>
  <c r="DP95" i="1" a="1"/>
  <c r="DP95" i="1" s="1"/>
  <c r="CF92" i="1"/>
  <c r="N92" i="1"/>
  <c r="AH92" i="1" a="1"/>
  <c r="AH92" i="1" s="1"/>
  <c r="V92" i="1" a="1"/>
  <c r="V92" i="1" s="1"/>
  <c r="W92" i="1" s="1"/>
  <c r="AK92" i="1"/>
  <c r="BK92" i="1"/>
  <c r="BM92" i="1"/>
  <c r="CL92" i="1"/>
  <c r="AJ92" i="1"/>
  <c r="CC115" i="1"/>
  <c r="BM115" i="1"/>
  <c r="AP115" i="1"/>
  <c r="CC114" i="1"/>
  <c r="BM114" i="1"/>
  <c r="AP114" i="1"/>
  <c r="CK112" i="1"/>
  <c r="CC112" i="1"/>
  <c r="BK109" i="1"/>
  <c r="AK109" i="1"/>
  <c r="P109" i="1" a="1"/>
  <c r="P109" i="1" s="1"/>
  <c r="CK108" i="1"/>
  <c r="CJ107" i="1"/>
  <c r="AA107" i="1" a="1"/>
  <c r="AA107" i="1" s="1"/>
  <c r="S106" i="1"/>
  <c r="T106" i="1" s="1"/>
  <c r="L98" i="1"/>
  <c r="CD98" i="1"/>
  <c r="CK98" i="1"/>
  <c r="Z98" i="1" a="1"/>
  <c r="Z98" i="1" s="1"/>
  <c r="BM98" i="1"/>
  <c r="AJ98" i="1"/>
  <c r="CJ98" i="1"/>
  <c r="AO98" i="1"/>
  <c r="AG119" i="1" a="1"/>
  <c r="AG119" i="1" s="1"/>
  <c r="AG118" i="1" a="1"/>
  <c r="AG118" i="1" s="1"/>
  <c r="AG117" i="1" a="1"/>
  <c r="AG117" i="1" s="1"/>
  <c r="AG116" i="1" a="1"/>
  <c r="AG116" i="1" s="1"/>
  <c r="CI115" i="1"/>
  <c r="DA115" i="1" s="1" a="1"/>
  <c r="DA115" i="1" s="1"/>
  <c r="CB115" i="1"/>
  <c r="BL115" i="1"/>
  <c r="AO115" i="1"/>
  <c r="AG115" i="1" a="1"/>
  <c r="AG115" i="1" s="1"/>
  <c r="CI114" i="1"/>
  <c r="CB114" i="1"/>
  <c r="BL114" i="1"/>
  <c r="AO114" i="1"/>
  <c r="AG114" i="1" a="1"/>
  <c r="AG114" i="1" s="1"/>
  <c r="CI113" i="1"/>
  <c r="CB113" i="1"/>
  <c r="BL113" i="1"/>
  <c r="AO113" i="1"/>
  <c r="CJ112" i="1"/>
  <c r="CF112" i="1"/>
  <c r="AH111" i="1" a="1"/>
  <c r="AH111" i="1" s="1"/>
  <c r="M111" i="1"/>
  <c r="AG111" i="1" a="1"/>
  <c r="AG111" i="1" s="1"/>
  <c r="CF110" i="1"/>
  <c r="CB109" i="1"/>
  <c r="CI109" i="1"/>
  <c r="CJ108" i="1"/>
  <c r="AF108" i="1" a="1"/>
  <c r="AF108" i="1" s="1"/>
  <c r="M108" i="1"/>
  <c r="AG108" i="1" a="1"/>
  <c r="AG108" i="1" s="1"/>
  <c r="CE108" i="1"/>
  <c r="CL108" i="1"/>
  <c r="BN107" i="1"/>
  <c r="AK107" i="1"/>
  <c r="AQ106" i="1"/>
  <c r="AK105" i="1"/>
  <c r="Y101" i="1" a="1"/>
  <c r="Y101" i="1" s="1"/>
  <c r="CC100" i="1"/>
  <c r="AE100" i="1" a="1"/>
  <c r="AE100" i="1" s="1"/>
  <c r="CD100" i="1"/>
  <c r="K100" i="1"/>
  <c r="CJ100" i="1"/>
  <c r="CI112" i="1"/>
  <c r="M110" i="1"/>
  <c r="AG110" i="1" a="1"/>
  <c r="AG110" i="1" s="1"/>
  <c r="AC109" i="1" a="1"/>
  <c r="AC109" i="1" s="1"/>
  <c r="AO109" i="1"/>
  <c r="BL109" i="1"/>
  <c r="AR109" i="1"/>
  <c r="I109" i="1"/>
  <c r="Z109" i="1" a="1"/>
  <c r="Z109" i="1" s="1"/>
  <c r="AJ109" i="1"/>
  <c r="AC106" i="1" a="1"/>
  <c r="AC106" i="1" s="1"/>
  <c r="AO106" i="1"/>
  <c r="BL106" i="1"/>
  <c r="CB106" i="1"/>
  <c r="AR106" i="1"/>
  <c r="BO106" i="1"/>
  <c r="I106" i="1"/>
  <c r="Z106" i="1" a="1"/>
  <c r="Z106" i="1" s="1"/>
  <c r="AJ106" i="1"/>
  <c r="V106" i="1" a="1"/>
  <c r="V106" i="1" s="1"/>
  <c r="W106" i="1" s="1"/>
  <c r="AN106" i="1"/>
  <c r="BK106" i="1"/>
  <c r="CH106" i="1"/>
  <c r="AC105" i="1" a="1"/>
  <c r="AC105" i="1" s="1"/>
  <c r="AO105" i="1"/>
  <c r="BL105" i="1"/>
  <c r="CB105" i="1"/>
  <c r="AP105" i="1"/>
  <c r="BM105" i="1"/>
  <c r="P105" i="1" a="1"/>
  <c r="P105" i="1" s="1"/>
  <c r="Y105" i="1" a="1"/>
  <c r="Y105" i="1" s="1"/>
  <c r="AQ105" i="1"/>
  <c r="AR105" i="1"/>
  <c r="BO105" i="1"/>
  <c r="I105" i="1"/>
  <c r="Z105" i="1" a="1"/>
  <c r="Z105" i="1" s="1"/>
  <c r="AJ105" i="1"/>
  <c r="V105" i="1" a="1"/>
  <c r="V105" i="1" s="1"/>
  <c r="W105" i="1" s="1"/>
  <c r="AN105" i="1"/>
  <c r="BK105" i="1"/>
  <c r="CH105" i="1"/>
  <c r="CO100" i="1"/>
  <c r="DP100" i="1" a="1"/>
  <c r="DP100" i="1" s="1"/>
  <c r="J100" i="1"/>
  <c r="AJ100" i="1"/>
  <c r="BK100" i="1"/>
  <c r="CB100" i="1"/>
  <c r="V100" i="1" a="1"/>
  <c r="V100" i="1" s="1"/>
  <c r="W100" i="1" s="1"/>
  <c r="AD100" i="1" a="1"/>
  <c r="AD100" i="1" s="1"/>
  <c r="BL100" i="1"/>
  <c r="AN100" i="1"/>
  <c r="BM100" i="1"/>
  <c r="AO100" i="1"/>
  <c r="BN100" i="1"/>
  <c r="Z100" i="1" a="1"/>
  <c r="Z100" i="1" s="1"/>
  <c r="AP100" i="1"/>
  <c r="AF95" i="1" a="1"/>
  <c r="AF95" i="1" s="1"/>
  <c r="CD95" i="1"/>
  <c r="L95" i="1"/>
  <c r="P95" i="1" a="1"/>
  <c r="P95" i="1" s="1"/>
  <c r="AK95" i="1"/>
  <c r="AN95" i="1"/>
  <c r="BL95" i="1"/>
  <c r="CJ95" i="1"/>
  <c r="AA113" i="1" a="1"/>
  <c r="AA113" i="1" s="1"/>
  <c r="CE111" i="1"/>
  <c r="CH109" i="1"/>
  <c r="Y109" i="1" a="1"/>
  <c r="Y109" i="1" s="1"/>
  <c r="CD107" i="1"/>
  <c r="M107" i="1"/>
  <c r="AG107" i="1" a="1"/>
  <c r="AG107" i="1" s="1"/>
  <c r="CE107" i="1"/>
  <c r="CL107" i="1"/>
  <c r="AA106" i="1" a="1"/>
  <c r="AA106" i="1" s="1"/>
  <c r="CH100" i="1"/>
  <c r="DQ99" i="1" a="1"/>
  <c r="DQ99" i="1" s="1"/>
  <c r="CP99" i="1"/>
  <c r="AR99" i="1"/>
  <c r="BO99" i="1"/>
  <c r="S99" i="1"/>
  <c r="T99" i="1" s="1"/>
  <c r="AK99" i="1"/>
  <c r="AL99" i="1" s="1"/>
  <c r="V99" i="1" a="1"/>
  <c r="V99" i="1" s="1"/>
  <c r="W99" i="1" s="1"/>
  <c r="AN99" i="1"/>
  <c r="BK99" i="1"/>
  <c r="CH99" i="1"/>
  <c r="P99" i="1" a="1"/>
  <c r="P99" i="1" s="1"/>
  <c r="Y99" i="1" a="1"/>
  <c r="Y99" i="1" s="1"/>
  <c r="AQ99" i="1"/>
  <c r="BN99" i="1"/>
  <c r="CB99" i="1"/>
  <c r="BL99" i="1"/>
  <c r="I99" i="1"/>
  <c r="Z99" i="1" a="1"/>
  <c r="Z99" i="1" s="1"/>
  <c r="BM99" i="1"/>
  <c r="AA99" i="1" a="1"/>
  <c r="AA99" i="1" s="1"/>
  <c r="AJ99" i="1"/>
  <c r="AP99" i="1"/>
  <c r="AP98" i="1"/>
  <c r="AR96" i="1"/>
  <c r="BO96" i="1"/>
  <c r="I96" i="1"/>
  <c r="Z96" i="1" a="1"/>
  <c r="Z96" i="1" s="1"/>
  <c r="AJ96" i="1"/>
  <c r="S96" i="1"/>
  <c r="T96" i="1" s="1"/>
  <c r="AK96" i="1"/>
  <c r="V96" i="1" a="1"/>
  <c r="V96" i="1" s="1"/>
  <c r="W96" i="1" s="1"/>
  <c r="AN96" i="1"/>
  <c r="BK96" i="1"/>
  <c r="CH96" i="1"/>
  <c r="P96" i="1" a="1"/>
  <c r="P96" i="1" s="1"/>
  <c r="Y96" i="1" a="1"/>
  <c r="Y96" i="1" s="1"/>
  <c r="AQ96" i="1"/>
  <c r="BN96" i="1"/>
  <c r="AA96" i="1" a="1"/>
  <c r="AA96" i="1" s="1"/>
  <c r="AO96" i="1"/>
  <c r="AC96" i="1" a="1"/>
  <c r="AC96" i="1" s="1"/>
  <c r="AP96" i="1"/>
  <c r="CB96" i="1"/>
  <c r="K94" i="1"/>
  <c r="CJ94" i="1"/>
  <c r="DB94" i="1" s="1" a="1"/>
  <c r="DB94" i="1" s="1"/>
  <c r="CC94" i="1"/>
  <c r="CD94" i="1"/>
  <c r="AE94" i="1" a="1"/>
  <c r="AE94" i="1" s="1"/>
  <c r="CI94" i="1"/>
  <c r="AG102" i="1" a="1"/>
  <c r="AG102" i="1" s="1"/>
  <c r="CE101" i="1"/>
  <c r="CL101" i="1"/>
  <c r="DP98" i="1" a="1"/>
  <c r="DP98" i="1" s="1"/>
  <c r="BL98" i="1"/>
  <c r="CC97" i="1"/>
  <c r="AG95" i="1" a="1"/>
  <c r="AG95" i="1" s="1"/>
  <c r="CE95" i="1"/>
  <c r="M95" i="1"/>
  <c r="CK95" i="1"/>
  <c r="CN94" i="1"/>
  <c r="CZ94" i="1" a="1"/>
  <c r="CZ94" i="1" s="1"/>
  <c r="DO94" i="1" a="1"/>
  <c r="DO94" i="1" s="1"/>
  <c r="CQ88" i="1"/>
  <c r="DR88" i="1" a="1"/>
  <c r="DR88" i="1" s="1"/>
  <c r="CW88" i="1" a="1"/>
  <c r="CW88" i="1" s="1"/>
  <c r="CX88" i="1" s="1"/>
  <c r="AR102" i="1"/>
  <c r="BO102" i="1"/>
  <c r="S102" i="1"/>
  <c r="T102" i="1" s="1"/>
  <c r="AK102" i="1"/>
  <c r="CF101" i="1"/>
  <c r="BN101" i="1"/>
  <c r="AO101" i="1"/>
  <c r="M101" i="1"/>
  <c r="AR100" i="1"/>
  <c r="BO100" i="1"/>
  <c r="S100" i="1"/>
  <c r="T100" i="1" s="1"/>
  <c r="AK100" i="1"/>
  <c r="P100" i="1" a="1"/>
  <c r="P100" i="1" s="1"/>
  <c r="Y100" i="1" a="1"/>
  <c r="Y100" i="1" s="1"/>
  <c r="CP97" i="1"/>
  <c r="AO97" i="1"/>
  <c r="AA97" i="1" a="1"/>
  <c r="AA97" i="1" s="1"/>
  <c r="CE97" i="1"/>
  <c r="Y95" i="1" a="1"/>
  <c r="Y95" i="1" s="1"/>
  <c r="AA94" i="1" a="1"/>
  <c r="AA94" i="1" s="1"/>
  <c r="Z94" i="1" a="1"/>
  <c r="Z94" i="1" s="1"/>
  <c r="AN94" i="1"/>
  <c r="BL94" i="1"/>
  <c r="CB94" i="1"/>
  <c r="AO94" i="1"/>
  <c r="BM94" i="1"/>
  <c r="S94" i="1"/>
  <c r="T94" i="1" s="1"/>
  <c r="AP94" i="1"/>
  <c r="BN94" i="1"/>
  <c r="J94" i="1"/>
  <c r="V94" i="1" a="1"/>
  <c r="V94" i="1" s="1"/>
  <c r="W94" i="1" s="1"/>
  <c r="AQ94" i="1"/>
  <c r="BO94" i="1"/>
  <c r="AR94" i="1"/>
  <c r="P94" i="1" a="1"/>
  <c r="P94" i="1" s="1"/>
  <c r="AK94" i="1"/>
  <c r="AL94" i="1" s="1"/>
  <c r="BK94" i="1"/>
  <c r="CQ84" i="1"/>
  <c r="DR84" i="1" a="1"/>
  <c r="DR84" i="1" s="1"/>
  <c r="CL105" i="1"/>
  <c r="CE105" i="1"/>
  <c r="CL104" i="1"/>
  <c r="CE104" i="1"/>
  <c r="AR101" i="1"/>
  <c r="BO101" i="1"/>
  <c r="S101" i="1"/>
  <c r="T101" i="1" s="1"/>
  <c r="AK101" i="1"/>
  <c r="CQ100" i="1"/>
  <c r="L97" i="1"/>
  <c r="CD97" i="1"/>
  <c r="CK97" i="1"/>
  <c r="BL101" i="1"/>
  <c r="AR98" i="1"/>
  <c r="BO98" i="1"/>
  <c r="S98" i="1"/>
  <c r="T98" i="1" s="1"/>
  <c r="AK98" i="1"/>
  <c r="V98" i="1" a="1"/>
  <c r="V98" i="1" s="1"/>
  <c r="W98" i="1" s="1"/>
  <c r="AN98" i="1"/>
  <c r="BK98" i="1"/>
  <c r="CH98" i="1"/>
  <c r="P98" i="1" a="1"/>
  <c r="P98" i="1" s="1"/>
  <c r="Y98" i="1" a="1"/>
  <c r="Y98" i="1" s="1"/>
  <c r="AQ98" i="1"/>
  <c r="BN98" i="1"/>
  <c r="DO93" i="1" a="1"/>
  <c r="DO93" i="1" s="1"/>
  <c r="CN93" i="1"/>
  <c r="CL93" i="1"/>
  <c r="N93" i="1"/>
  <c r="CF93" i="1"/>
  <c r="P92" i="1" a="1"/>
  <c r="P92" i="1" s="1"/>
  <c r="J90" i="1"/>
  <c r="Z90" i="1" a="1"/>
  <c r="Z90" i="1" s="1"/>
  <c r="AN90" i="1"/>
  <c r="BL90" i="1"/>
  <c r="CB90" i="1"/>
  <c r="AA90" i="1" a="1"/>
  <c r="AA90" i="1" s="1"/>
  <c r="V90" i="1" a="1"/>
  <c r="V90" i="1" s="1"/>
  <c r="W90" i="1" s="1"/>
  <c r="AQ90" i="1"/>
  <c r="AR90" i="1"/>
  <c r="AO90" i="1"/>
  <c r="AD90" i="1" a="1"/>
  <c r="AD90" i="1" s="1"/>
  <c r="CC90" i="1"/>
  <c r="BK90" i="1"/>
  <c r="Y90" i="1" a="1"/>
  <c r="Y90" i="1" s="1"/>
  <c r="AJ90" i="1"/>
  <c r="CI90" i="1"/>
  <c r="CU85" i="1"/>
  <c r="AJ101" i="1"/>
  <c r="V101" i="1" a="1"/>
  <c r="V101" i="1" s="1"/>
  <c r="W101" i="1" s="1"/>
  <c r="I101" i="1"/>
  <c r="CE99" i="1"/>
  <c r="AA98" i="1" a="1"/>
  <c r="AA98" i="1" s="1"/>
  <c r="CR95" i="1"/>
  <c r="AH93" i="1" a="1"/>
  <c r="AH93" i="1" s="1"/>
  <c r="M93" i="1"/>
  <c r="AG93" i="1" a="1"/>
  <c r="AG93" i="1" s="1"/>
  <c r="Y93" i="1" a="1"/>
  <c r="Y93" i="1" s="1"/>
  <c r="AK93" i="1"/>
  <c r="BM93" i="1"/>
  <c r="CE93" i="1"/>
  <c r="P93" i="1" a="1"/>
  <c r="P93" i="1" s="1"/>
  <c r="Z93" i="1" a="1"/>
  <c r="Z93" i="1" s="1"/>
  <c r="AP93" i="1"/>
  <c r="BO93" i="1"/>
  <c r="AQ93" i="1"/>
  <c r="CK93" i="1"/>
  <c r="CN91" i="1"/>
  <c r="BO90" i="1"/>
  <c r="P90" i="1" a="1"/>
  <c r="P90" i="1" s="1"/>
  <c r="CI108" i="1"/>
  <c r="CI107" i="1"/>
  <c r="AG105" i="1" a="1"/>
  <c r="AG105" i="1" s="1"/>
  <c r="AG104" i="1" a="1"/>
  <c r="AG104" i="1" s="1"/>
  <c r="CE102" i="1"/>
  <c r="CL102" i="1"/>
  <c r="L99" i="1"/>
  <c r="CD99" i="1"/>
  <c r="CK99" i="1"/>
  <c r="AR97" i="1"/>
  <c r="BO97" i="1"/>
  <c r="I97" i="1"/>
  <c r="Z97" i="1" a="1"/>
  <c r="Z97" i="1" s="1"/>
  <c r="AJ97" i="1"/>
  <c r="S97" i="1"/>
  <c r="T97" i="1" s="1"/>
  <c r="AK97" i="1"/>
  <c r="V97" i="1" a="1"/>
  <c r="V97" i="1" s="1"/>
  <c r="W97" i="1" s="1"/>
  <c r="AN97" i="1"/>
  <c r="BK97" i="1"/>
  <c r="CH97" i="1"/>
  <c r="P97" i="1" a="1"/>
  <c r="P97" i="1" s="1"/>
  <c r="Y97" i="1" a="1"/>
  <c r="Y97" i="1" s="1"/>
  <c r="AQ97" i="1"/>
  <c r="BN97" i="1"/>
  <c r="CE96" i="1"/>
  <c r="L96" i="1"/>
  <c r="CD96" i="1"/>
  <c r="CK96" i="1"/>
  <c r="CH90" i="1"/>
  <c r="BM90" i="1"/>
  <c r="DS88" i="1" a="1"/>
  <c r="DS88" i="1" s="1"/>
  <c r="CR88" i="1"/>
  <c r="Q87" i="1"/>
  <c r="AD99" i="1" a="1"/>
  <c r="AD99" i="1" s="1"/>
  <c r="AD98" i="1" a="1"/>
  <c r="AD98" i="1" s="1"/>
  <c r="AD97" i="1" a="1"/>
  <c r="AD97" i="1" s="1"/>
  <c r="AD96" i="1" a="1"/>
  <c r="AD96" i="1" s="1"/>
  <c r="CC95" i="1"/>
  <c r="BM95" i="1"/>
  <c r="AO95" i="1"/>
  <c r="V93" i="1" a="1"/>
  <c r="V93" i="1" s="1"/>
  <c r="W93" i="1" s="1"/>
  <c r="BN92" i="1"/>
  <c r="AN92" i="1"/>
  <c r="Y92" i="1" a="1"/>
  <c r="Y92" i="1" s="1"/>
  <c r="J92" i="1"/>
  <c r="CJ91" i="1"/>
  <c r="AR91" i="1"/>
  <c r="N91" i="1"/>
  <c r="Z91" i="1" a="1"/>
  <c r="Z91" i="1" s="1"/>
  <c r="AJ91" i="1"/>
  <c r="AL91" i="1" s="1"/>
  <c r="AA91" i="1" a="1"/>
  <c r="AA91" i="1" s="1"/>
  <c r="AO91" i="1"/>
  <c r="BL91" i="1"/>
  <c r="CB91" i="1"/>
  <c r="CI91" i="1"/>
  <c r="DB89" i="1" a="1"/>
  <c r="DB89" i="1" s="1"/>
  <c r="CW89" i="1" a="1"/>
  <c r="CW89" i="1" s="1"/>
  <c r="CX89" i="1" s="1"/>
  <c r="DO89" i="1" a="1"/>
  <c r="DO89" i="1" s="1"/>
  <c r="CN89" i="1"/>
  <c r="CZ89" i="1" a="1"/>
  <c r="CZ89" i="1" s="1"/>
  <c r="DA89" i="1" a="1"/>
  <c r="DA89" i="1" s="1"/>
  <c r="CH95" i="1"/>
  <c r="AJ95" i="1"/>
  <c r="CF94" i="1"/>
  <c r="AH94" i="1" a="1"/>
  <c r="AH94" i="1" s="1"/>
  <c r="CK92" i="1"/>
  <c r="S92" i="1"/>
  <c r="T92" i="1" s="1"/>
  <c r="M92" i="1"/>
  <c r="AG92" i="1" a="1"/>
  <c r="AG92" i="1" s="1"/>
  <c r="CE91" i="1"/>
  <c r="BN91" i="1"/>
  <c r="AN91" i="1"/>
  <c r="AA95" i="1" a="1"/>
  <c r="AA95" i="1" s="1"/>
  <c r="CW84" i="1" a="1"/>
  <c r="CW84" i="1" s="1"/>
  <c r="CX84" i="1" s="1"/>
  <c r="DR77" i="1" a="1"/>
  <c r="DR77" i="1" s="1"/>
  <c r="CQ77" i="1"/>
  <c r="Q77" i="1"/>
  <c r="CF95" i="1"/>
  <c r="AR95" i="1"/>
  <c r="AH95" i="1" a="1"/>
  <c r="AH95" i="1" s="1"/>
  <c r="BN93" i="1"/>
  <c r="AN93" i="1"/>
  <c r="AA93" i="1" a="1"/>
  <c r="AA93" i="1" s="1"/>
  <c r="AO93" i="1"/>
  <c r="BL93" i="1"/>
  <c r="CB93" i="1"/>
  <c r="CI93" i="1"/>
  <c r="DA93" i="1" s="1" a="1"/>
  <c r="DA93" i="1" s="1"/>
  <c r="CH92" i="1"/>
  <c r="AR92" i="1"/>
  <c r="CC91" i="1"/>
  <c r="BK91" i="1"/>
  <c r="S91" i="1"/>
  <c r="T91" i="1" s="1"/>
  <c r="M91" i="1"/>
  <c r="AG91" i="1" a="1"/>
  <c r="AG91" i="1" s="1"/>
  <c r="BO95" i="1"/>
  <c r="AQ95" i="1"/>
  <c r="V95" i="1" a="1"/>
  <c r="V95" i="1" s="1"/>
  <c r="W95" i="1" s="1"/>
  <c r="J95" i="1"/>
  <c r="AQ92" i="1"/>
  <c r="Z92" i="1" a="1"/>
  <c r="Z92" i="1" s="1"/>
  <c r="AA92" i="1" a="1"/>
  <c r="AA92" i="1" s="1"/>
  <c r="AO92" i="1"/>
  <c r="BL92" i="1"/>
  <c r="CB92" i="1"/>
  <c r="CI92" i="1"/>
  <c r="CL91" i="1"/>
  <c r="AH91" i="1" a="1"/>
  <c r="AH91" i="1" s="1"/>
  <c r="CL100" i="1"/>
  <c r="CL99" i="1"/>
  <c r="CL98" i="1"/>
  <c r="CL97" i="1"/>
  <c r="BN95" i="1"/>
  <c r="AP95" i="1"/>
  <c r="S95" i="1"/>
  <c r="T95" i="1" s="1"/>
  <c r="BK93" i="1"/>
  <c r="AJ93" i="1"/>
  <c r="DQ92" i="1" a="1"/>
  <c r="DQ92" i="1" s="1"/>
  <c r="BO92" i="1"/>
  <c r="AP92" i="1"/>
  <c r="L92" i="1"/>
  <c r="CK91" i="1"/>
  <c r="P91" i="1" a="1"/>
  <c r="P91" i="1" s="1"/>
  <c r="AF90" i="1" a="1"/>
  <c r="AF90" i="1" s="1"/>
  <c r="CJ90" i="1"/>
  <c r="CD90" i="1"/>
  <c r="L90" i="1"/>
  <c r="CO89" i="1"/>
  <c r="DP89" i="1" a="1"/>
  <c r="DP89" i="1" s="1"/>
  <c r="DP87" i="1" a="1"/>
  <c r="DP87" i="1" s="1"/>
  <c r="CZ87" i="1" a="1"/>
  <c r="CZ87" i="1" s="1"/>
  <c r="CT81" i="1" a="1"/>
  <c r="CT81" i="1" s="1"/>
  <c r="Q74" i="1"/>
  <c r="Q68" i="1"/>
  <c r="CF90" i="1"/>
  <c r="AH90" i="1" a="1"/>
  <c r="AH90" i="1" s="1"/>
  <c r="A2" i="1"/>
  <c r="S90" i="1"/>
  <c r="T90" i="1" s="1"/>
  <c r="AK90" i="1"/>
  <c r="CQ89" i="1"/>
  <c r="DA85" i="1" a="1"/>
  <c r="DA85" i="1" s="1"/>
  <c r="DP83" i="1" a="1"/>
  <c r="DP83" i="1" s="1"/>
  <c r="DB83" i="1" a="1"/>
  <c r="DB83" i="1" s="1"/>
  <c r="CZ83" i="1" a="1"/>
  <c r="CZ83" i="1" s="1"/>
  <c r="DB82" i="1" a="1"/>
  <c r="DB82" i="1" s="1"/>
  <c r="CN82" i="1"/>
  <c r="CW82" i="1" a="1"/>
  <c r="CW82" i="1" s="1"/>
  <c r="CX82" i="1" s="1"/>
  <c r="CT82" i="1" a="1"/>
  <c r="CT82" i="1" s="1"/>
  <c r="CU82" i="1" s="1"/>
  <c r="DA82" i="1" a="1"/>
  <c r="DA82" i="1" s="1"/>
  <c r="CO74" i="1"/>
  <c r="CZ74" i="1" a="1"/>
  <c r="CZ74" i="1" s="1"/>
  <c r="DP74" i="1" a="1"/>
  <c r="DP74" i="1" s="1"/>
  <c r="CP89" i="1"/>
  <c r="CZ88" i="1" a="1"/>
  <c r="CZ88" i="1" s="1"/>
  <c r="CO88" i="1"/>
  <c r="CO87" i="1"/>
  <c r="CZ84" i="1" a="1"/>
  <c r="CZ84" i="1" s="1"/>
  <c r="CT84" i="1" a="1"/>
  <c r="CT84" i="1" s="1"/>
  <c r="CU84" i="1" s="1"/>
  <c r="DA84" i="1" a="1"/>
  <c r="DA84" i="1" s="1"/>
  <c r="DP84" i="1" a="1"/>
  <c r="DP84" i="1" s="1"/>
  <c r="CO84" i="1"/>
  <c r="CT83" i="1" a="1"/>
  <c r="CT83" i="1" s="1"/>
  <c r="CU83" i="1" s="1"/>
  <c r="Q82" i="1"/>
  <c r="CQ80" i="1"/>
  <c r="DB80" i="1" a="1"/>
  <c r="DB80" i="1" s="1"/>
  <c r="DR80" i="1" a="1"/>
  <c r="DR80" i="1" s="1"/>
  <c r="CW77" i="1" a="1"/>
  <c r="CW77" i="1" s="1"/>
  <c r="CX77" i="1" s="1"/>
  <c r="CO77" i="1"/>
  <c r="CZ77" i="1" a="1"/>
  <c r="CZ77" i="1" s="1"/>
  <c r="CT77" i="1" a="1"/>
  <c r="CT77" i="1" s="1"/>
  <c r="DA77" i="1" a="1"/>
  <c r="DA77" i="1" s="1"/>
  <c r="DP77" i="1" a="1"/>
  <c r="DP77" i="1" s="1"/>
  <c r="DB74" i="1" a="1"/>
  <c r="DB74" i="1" s="1"/>
  <c r="DR73" i="1" a="1"/>
  <c r="DR73" i="1" s="1"/>
  <c r="CQ73" i="1"/>
  <c r="Q73" i="1"/>
  <c r="Q70" i="1"/>
  <c r="BN90" i="1"/>
  <c r="AP90" i="1"/>
  <c r="I90" i="1"/>
  <c r="DB88" i="1" a="1"/>
  <c r="DB88" i="1" s="1"/>
  <c r="CT88" i="1" a="1"/>
  <c r="CT88" i="1" s="1"/>
  <c r="DR85" i="1" a="1"/>
  <c r="DR85" i="1" s="1"/>
  <c r="CQ85" i="1"/>
  <c r="DR83" i="1" a="1"/>
  <c r="DR83" i="1" s="1"/>
  <c r="DO82" i="1" a="1"/>
  <c r="DO82" i="1" s="1"/>
  <c r="DR81" i="1" a="1"/>
  <c r="DR81" i="1" s="1"/>
  <c r="CQ81" i="1"/>
  <c r="CO78" i="1"/>
  <c r="CZ78" i="1" a="1"/>
  <c r="CZ78" i="1" s="1"/>
  <c r="DP78" i="1" a="1"/>
  <c r="DP78" i="1" s="1"/>
  <c r="Q78" i="1"/>
  <c r="DB77" i="1" a="1"/>
  <c r="DB77" i="1" s="1"/>
  <c r="DB69" i="1" a="1"/>
  <c r="DB69" i="1" s="1"/>
  <c r="CT69" i="1" a="1"/>
  <c r="CT69" i="1" s="1"/>
  <c r="CW69" i="1" a="1"/>
  <c r="CW69" i="1" s="1"/>
  <c r="CX69" i="1" s="1"/>
  <c r="CN69" i="1"/>
  <c r="DO69" i="1" a="1"/>
  <c r="DO69" i="1" s="1"/>
  <c r="CZ69" i="1" a="1"/>
  <c r="CZ69" i="1" s="1"/>
  <c r="DA69" i="1" a="1"/>
  <c r="DA69" i="1" s="1"/>
  <c r="CR84" i="1"/>
  <c r="CP81" i="1"/>
  <c r="DQ81" i="1" a="1"/>
  <c r="DQ81" i="1" s="1"/>
  <c r="CZ80" i="1" a="1"/>
  <c r="CZ80" i="1" s="1"/>
  <c r="AL72" i="1"/>
  <c r="Q71" i="1"/>
  <c r="CO70" i="1"/>
  <c r="CZ70" i="1" a="1"/>
  <c r="CZ70" i="1" s="1"/>
  <c r="DP70" i="1" a="1"/>
  <c r="DP70" i="1" s="1"/>
  <c r="DP88" i="1" a="1"/>
  <c r="DP88" i="1" s="1"/>
  <c r="DA88" i="1" a="1"/>
  <c r="DA88" i="1" s="1"/>
  <c r="CW87" i="1" a="1"/>
  <c r="CW87" i="1" s="1"/>
  <c r="CX87" i="1" s="1"/>
  <c r="DR86" i="1" a="1"/>
  <c r="DR86" i="1" s="1"/>
  <c r="DB86" i="1" a="1"/>
  <c r="DB86" i="1" s="1"/>
  <c r="CT86" i="1" a="1"/>
  <c r="CT86" i="1" s="1"/>
  <c r="CU86" i="1" s="1"/>
  <c r="DA86" i="1" a="1"/>
  <c r="DA86" i="1" s="1"/>
  <c r="CO85" i="1"/>
  <c r="CZ85" i="1" a="1"/>
  <c r="CZ85" i="1" s="1"/>
  <c r="DB84" i="1" a="1"/>
  <c r="DB84" i="1" s="1"/>
  <c r="CW81" i="1" a="1"/>
  <c r="CW81" i="1" s="1"/>
  <c r="CX81" i="1" s="1"/>
  <c r="CO81" i="1"/>
  <c r="CZ81" i="1" a="1"/>
  <c r="CZ81" i="1" s="1"/>
  <c r="CW80" i="1" a="1"/>
  <c r="CW80" i="1" s="1"/>
  <c r="CX80" i="1" s="1"/>
  <c r="Q75" i="1"/>
  <c r="CO80" i="1"/>
  <c r="CZ79" i="1" a="1"/>
  <c r="CZ79" i="1" s="1"/>
  <c r="DA78" i="1" a="1"/>
  <c r="DA78" i="1" s="1"/>
  <c r="CT78" i="1" a="1"/>
  <c r="CT78" i="1" s="1"/>
  <c r="DQ77" i="1" a="1"/>
  <c r="DQ77" i="1" s="1"/>
  <c r="DR76" i="1" a="1"/>
  <c r="DR76" i="1" s="1"/>
  <c r="CO76" i="1"/>
  <c r="CZ75" i="1" a="1"/>
  <c r="CZ75" i="1" s="1"/>
  <c r="DA74" i="1" a="1"/>
  <c r="DA74" i="1" s="1"/>
  <c r="CT74" i="1" a="1"/>
  <c r="CT74" i="1" s="1"/>
  <c r="CU74" i="1" s="1"/>
  <c r="DQ73" i="1" a="1"/>
  <c r="DQ73" i="1" s="1"/>
  <c r="DB73" i="1" a="1"/>
  <c r="DB73" i="1" s="1"/>
  <c r="DR72" i="1" a="1"/>
  <c r="DR72" i="1" s="1"/>
  <c r="CO72" i="1"/>
  <c r="DS71" i="1" a="1"/>
  <c r="DS71" i="1" s="1"/>
  <c r="CZ71" i="1" a="1"/>
  <c r="CZ71" i="1" s="1"/>
  <c r="CQ71" i="1"/>
  <c r="DA70" i="1" a="1"/>
  <c r="DA70" i="1" s="1"/>
  <c r="CT70" i="1" a="1"/>
  <c r="CT70" i="1" s="1"/>
  <c r="CU70" i="1" s="1"/>
  <c r="DB62" i="1" a="1"/>
  <c r="DB62" i="1" s="1"/>
  <c r="DB61" i="1" a="1"/>
  <c r="DB61" i="1" s="1"/>
  <c r="CZ60" i="1" a="1"/>
  <c r="CZ60" i="1" s="1"/>
  <c r="DS60" i="1" a="1"/>
  <c r="DS60" i="1" s="1"/>
  <c r="CR60" i="1"/>
  <c r="DB60" i="1" a="1"/>
  <c r="DB60" i="1" s="1"/>
  <c r="DB76" i="1" a="1"/>
  <c r="DB76" i="1" s="1"/>
  <c r="DP73" i="1" a="1"/>
  <c r="DP73" i="1" s="1"/>
  <c r="DA73" i="1" a="1"/>
  <c r="DA73" i="1" s="1"/>
  <c r="CT73" i="1" a="1"/>
  <c r="CT73" i="1" s="1"/>
  <c r="DB72" i="1" a="1"/>
  <c r="DB72" i="1" s="1"/>
  <c r="Q63" i="1"/>
  <c r="W59" i="1"/>
  <c r="CZ58" i="1" a="1"/>
  <c r="CZ58" i="1" s="1"/>
  <c r="CT58" i="1" a="1"/>
  <c r="CT58" i="1" s="1"/>
  <c r="DA58" i="1" a="1"/>
  <c r="DA58" i="1" s="1"/>
  <c r="CO58" i="1"/>
  <c r="DP58" i="1" a="1"/>
  <c r="DP58" i="1" s="1"/>
  <c r="DB58" i="1" a="1"/>
  <c r="DB58" i="1" s="1"/>
  <c r="CW58" i="1" a="1"/>
  <c r="CW58" i="1" s="1"/>
  <c r="CX58" i="1" s="1"/>
  <c r="DP68" i="1" a="1"/>
  <c r="DP68" i="1" s="1"/>
  <c r="CO68" i="1"/>
  <c r="AL64" i="1"/>
  <c r="Q56" i="1"/>
  <c r="DP80" i="1" a="1"/>
  <c r="DP80" i="1" s="1"/>
  <c r="DA80" i="1" a="1"/>
  <c r="DA80" i="1" s="1"/>
  <c r="CT80" i="1" a="1"/>
  <c r="CT80" i="1" s="1"/>
  <c r="CU80" i="1" s="1"/>
  <c r="DB79" i="1" a="1"/>
  <c r="DB79" i="1" s="1"/>
  <c r="DP76" i="1" a="1"/>
  <c r="DP76" i="1" s="1"/>
  <c r="DA76" i="1" a="1"/>
  <c r="DA76" i="1" s="1"/>
  <c r="CT76" i="1" a="1"/>
  <c r="CT76" i="1" s="1"/>
  <c r="CU76" i="1" s="1"/>
  <c r="DB75" i="1" a="1"/>
  <c r="DB75" i="1" s="1"/>
  <c r="CZ73" i="1" a="1"/>
  <c r="CZ73" i="1" s="1"/>
  <c r="DP72" i="1" a="1"/>
  <c r="DP72" i="1" s="1"/>
  <c r="DA72" i="1" a="1"/>
  <c r="DA72" i="1" s="1"/>
  <c r="CT72" i="1" a="1"/>
  <c r="CT72" i="1" s="1"/>
  <c r="CU72" i="1" s="1"/>
  <c r="CT68" i="1" a="1"/>
  <c r="CT68" i="1" s="1"/>
  <c r="DA68" i="1" a="1"/>
  <c r="DA68" i="1" s="1"/>
  <c r="CT67" i="1" a="1"/>
  <c r="CT67" i="1" s="1"/>
  <c r="CU67" i="1" s="1"/>
  <c r="DB67" i="1" a="1"/>
  <c r="DB67" i="1" s="1"/>
  <c r="CW67" i="1" a="1"/>
  <c r="CW67" i="1" s="1"/>
  <c r="CX67" i="1" s="1"/>
  <c r="CZ67" i="1" a="1"/>
  <c r="CZ67" i="1" s="1"/>
  <c r="DR65" i="1" a="1"/>
  <c r="DR65" i="1" s="1"/>
  <c r="CQ65" i="1"/>
  <c r="CT65" i="1" a="1"/>
  <c r="CT65" i="1" s="1"/>
  <c r="CU65" i="1" s="1"/>
  <c r="DA65" i="1" a="1"/>
  <c r="DA65" i="1" s="1"/>
  <c r="CR80" i="1"/>
  <c r="CW78" i="1" a="1"/>
  <c r="CW78" i="1" s="1"/>
  <c r="CX78" i="1" s="1"/>
  <c r="CN78" i="1"/>
  <c r="CR76" i="1"/>
  <c r="CW74" i="1" a="1"/>
  <c r="CW74" i="1" s="1"/>
  <c r="CX74" i="1" s="1"/>
  <c r="CN74" i="1"/>
  <c r="CR72" i="1"/>
  <c r="CW70" i="1" a="1"/>
  <c r="CW70" i="1" s="1"/>
  <c r="CX70" i="1" s="1"/>
  <c r="CN70" i="1"/>
  <c r="DB68" i="1" a="1"/>
  <c r="DB68" i="1" s="1"/>
  <c r="CO66" i="1"/>
  <c r="DP66" i="1" a="1"/>
  <c r="DP66" i="1" s="1"/>
  <c r="DR61" i="1" a="1"/>
  <c r="DR61" i="1" s="1"/>
  <c r="CQ61" i="1"/>
  <c r="CT61" i="1" a="1"/>
  <c r="CT61" i="1" s="1"/>
  <c r="CU61" i="1" s="1"/>
  <c r="DA61" i="1" a="1"/>
  <c r="DA61" i="1" s="1"/>
  <c r="CW60" i="1" a="1"/>
  <c r="CW60" i="1" s="1"/>
  <c r="CX60" i="1" s="1"/>
  <c r="DA87" i="1" a="1"/>
  <c r="DA87" i="1" s="1"/>
  <c r="DA83" i="1" a="1"/>
  <c r="DA83" i="1" s="1"/>
  <c r="DA79" i="1" a="1"/>
  <c r="DA79" i="1" s="1"/>
  <c r="DA75" i="1" a="1"/>
  <c r="DA75" i="1" s="1"/>
  <c r="DP71" i="1" a="1"/>
  <c r="DP71" i="1" s="1"/>
  <c r="DA71" i="1" a="1"/>
  <c r="DA71" i="1" s="1"/>
  <c r="CP67" i="1"/>
  <c r="CZ66" i="1" a="1"/>
  <c r="CZ66" i="1" s="1"/>
  <c r="DB66" i="1" a="1"/>
  <c r="DB66" i="1" s="1"/>
  <c r="CN66" i="1"/>
  <c r="CW66" i="1" a="1"/>
  <c r="CW66" i="1" s="1"/>
  <c r="CX66" i="1" s="1"/>
  <c r="CT66" i="1" a="1"/>
  <c r="CT66" i="1" s="1"/>
  <c r="CU66" i="1" s="1"/>
  <c r="DA66" i="1" a="1"/>
  <c r="DA66" i="1" s="1"/>
  <c r="CW61" i="1" a="1"/>
  <c r="CW61" i="1" s="1"/>
  <c r="CX61" i="1" s="1"/>
  <c r="Q61" i="1"/>
  <c r="CP55" i="1"/>
  <c r="DQ55" i="1" a="1"/>
  <c r="DQ55" i="1" s="1"/>
  <c r="CT55" i="1" a="1"/>
  <c r="CT55" i="1" s="1"/>
  <c r="CW55" i="1" a="1"/>
  <c r="CW55" i="1" s="1"/>
  <c r="CX55" i="1" s="1"/>
  <c r="DA55" i="1" a="1"/>
  <c r="DA55" i="1" s="1"/>
  <c r="CW73" i="1" a="1"/>
  <c r="CW73" i="1" s="1"/>
  <c r="CX73" i="1" s="1"/>
  <c r="CN68" i="1"/>
  <c r="DR67" i="1" a="1"/>
  <c r="DR67" i="1" s="1"/>
  <c r="DA67" i="1" a="1"/>
  <c r="DA67" i="1" s="1"/>
  <c r="CO67" i="1"/>
  <c r="DB65" i="1" a="1"/>
  <c r="DB65" i="1" s="1"/>
  <c r="CO62" i="1"/>
  <c r="CZ62" i="1" a="1"/>
  <c r="CZ62" i="1" s="1"/>
  <c r="DP62" i="1" a="1"/>
  <c r="DP62" i="1" s="1"/>
  <c r="DB59" i="1" a="1"/>
  <c r="DB59" i="1" s="1"/>
  <c r="CW59" i="1" a="1"/>
  <c r="CW59" i="1" s="1"/>
  <c r="CX59" i="1" s="1"/>
  <c r="DO59" i="1" a="1"/>
  <c r="DO59" i="1" s="1"/>
  <c r="CN59" i="1"/>
  <c r="CZ59" i="1" a="1"/>
  <c r="CZ59" i="1" s="1"/>
  <c r="DA59" i="1" a="1"/>
  <c r="DA59" i="1" s="1"/>
  <c r="CT59" i="1" a="1"/>
  <c r="CT59" i="1" s="1"/>
  <c r="CU59" i="1" s="1"/>
  <c r="DQ65" i="1" a="1"/>
  <c r="DQ65" i="1" s="1"/>
  <c r="CO64" i="1"/>
  <c r="CZ63" i="1" a="1"/>
  <c r="CZ63" i="1" s="1"/>
  <c r="CQ63" i="1"/>
  <c r="DA62" i="1" a="1"/>
  <c r="DA62" i="1" s="1"/>
  <c r="CT62" i="1" a="1"/>
  <c r="CT62" i="1" s="1"/>
  <c r="CU62" i="1" s="1"/>
  <c r="DQ61" i="1" a="1"/>
  <c r="DQ61" i="1" s="1"/>
  <c r="DR60" i="1" a="1"/>
  <c r="DR60" i="1" s="1"/>
  <c r="CN60" i="1"/>
  <c r="Q57" i="1"/>
  <c r="CN56" i="1"/>
  <c r="DP53" i="1" a="1"/>
  <c r="DP53" i="1" s="1"/>
  <c r="DB53" i="1" a="1"/>
  <c r="DB53" i="1" s="1"/>
  <c r="CW53" i="1" a="1"/>
  <c r="CW53" i="1" s="1"/>
  <c r="CX53" i="1" s="1"/>
  <c r="CO53" i="1"/>
  <c r="CZ53" i="1" a="1"/>
  <c r="CZ53" i="1" s="1"/>
  <c r="CW63" i="1" a="1"/>
  <c r="CW63" i="1" s="1"/>
  <c r="CX63" i="1" s="1"/>
  <c r="DP59" i="1" a="1"/>
  <c r="DP59" i="1" s="1"/>
  <c r="CP59" i="1"/>
  <c r="CR58" i="1"/>
  <c r="DB55" i="1" a="1"/>
  <c r="DB55" i="1" s="1"/>
  <c r="DR52" i="1" a="1"/>
  <c r="DR52" i="1" s="1"/>
  <c r="CQ52" i="1"/>
  <c r="CZ52" i="1" a="1"/>
  <c r="CZ52" i="1" s="1"/>
  <c r="Q52" i="1"/>
  <c r="CZ65" i="1" a="1"/>
  <c r="CZ65" i="1" s="1"/>
  <c r="DA64" i="1" a="1"/>
  <c r="DA64" i="1" s="1"/>
  <c r="CZ61" i="1" a="1"/>
  <c r="CZ61" i="1" s="1"/>
  <c r="CP65" i="1"/>
  <c r="CR64" i="1"/>
  <c r="CW62" i="1" a="1"/>
  <c r="CW62" i="1" s="1"/>
  <c r="CX62" i="1" s="1"/>
  <c r="CN62" i="1"/>
  <c r="CP61" i="1"/>
  <c r="CT60" i="1" a="1"/>
  <c r="CT60" i="1" s="1"/>
  <c r="CU60" i="1" s="1"/>
  <c r="CT57" i="1" a="1"/>
  <c r="CT57" i="1" s="1"/>
  <c r="CU57" i="1" s="1"/>
  <c r="DA57" i="1" a="1"/>
  <c r="DA57" i="1" s="1"/>
  <c r="DP57" i="1" a="1"/>
  <c r="DP57" i="1" s="1"/>
  <c r="DB57" i="1" a="1"/>
  <c r="DB57" i="1" s="1"/>
  <c r="CW57" i="1" a="1"/>
  <c r="CW57" i="1" s="1"/>
  <c r="CX57" i="1" s="1"/>
  <c r="CZ57" i="1" a="1"/>
  <c r="CZ57" i="1" s="1"/>
  <c r="DB56" i="1" a="1"/>
  <c r="DB56" i="1" s="1"/>
  <c r="CT56" i="1" a="1"/>
  <c r="CT56" i="1" s="1"/>
  <c r="CU56" i="1" s="1"/>
  <c r="DA56" i="1" a="1"/>
  <c r="DA56" i="1" s="1"/>
  <c r="Q51" i="1"/>
  <c r="Q50" i="1"/>
  <c r="DA63" i="1" a="1"/>
  <c r="DA63" i="1" s="1"/>
  <c r="CQ56" i="1"/>
  <c r="CQ58" i="1"/>
  <c r="DR58" i="1" a="1"/>
  <c r="DR58" i="1" s="1"/>
  <c r="Q53" i="1"/>
  <c r="Q49" i="1"/>
  <c r="DP56" i="1" a="1"/>
  <c r="DP56" i="1" s="1"/>
  <c r="DR54" i="1" a="1"/>
  <c r="DR54" i="1" s="1"/>
  <c r="CO54" i="1"/>
  <c r="DP52" i="1" a="1"/>
  <c r="DP52" i="1" s="1"/>
  <c r="DA52" i="1" a="1"/>
  <c r="DA52" i="1" s="1"/>
  <c r="CT52" i="1" a="1"/>
  <c r="CT52" i="1" s="1"/>
  <c r="CU52" i="1" s="1"/>
  <c r="DQ51" i="1" a="1"/>
  <c r="DQ51" i="1" s="1"/>
  <c r="CW48" i="1" a="1"/>
  <c r="CW48" i="1" s="1"/>
  <c r="CX48" i="1" s="1"/>
  <c r="CW54" i="1" a="1"/>
  <c r="CW54" i="1" s="1"/>
  <c r="CX54" i="1" s="1"/>
  <c r="Q54" i="1"/>
  <c r="CW50" i="1" a="1"/>
  <c r="CW50" i="1" s="1"/>
  <c r="CX50" i="1" s="1"/>
  <c r="CT47" i="1" a="1"/>
  <c r="CT47" i="1" s="1"/>
  <c r="CU47" i="1" s="1"/>
  <c r="DA47" i="1" a="1"/>
  <c r="DA47" i="1" s="1"/>
  <c r="DB47" i="1" a="1"/>
  <c r="DB47" i="1" s="1"/>
  <c r="CN47" i="1"/>
  <c r="CW47" i="1" a="1"/>
  <c r="CW47" i="1" s="1"/>
  <c r="CX47" i="1" s="1"/>
  <c r="CT49" i="1" a="1"/>
  <c r="CT49" i="1" s="1"/>
  <c r="CU49" i="1" s="1"/>
  <c r="DA49" i="1" a="1"/>
  <c r="DA49" i="1" s="1"/>
  <c r="Q41" i="1"/>
  <c r="Q40" i="1"/>
  <c r="Q39" i="1"/>
  <c r="Q38" i="1"/>
  <c r="CZ49" i="1" a="1"/>
  <c r="CZ49" i="1" s="1"/>
  <c r="DB48" i="1" a="1"/>
  <c r="DB48" i="1" s="1"/>
  <c r="CZ55" i="1" a="1"/>
  <c r="CZ55" i="1" s="1"/>
  <c r="CQ55" i="1"/>
  <c r="DP54" i="1" a="1"/>
  <c r="DP54" i="1" s="1"/>
  <c r="DA54" i="1" a="1"/>
  <c r="DA54" i="1" s="1"/>
  <c r="CT54" i="1" a="1"/>
  <c r="CT54" i="1" s="1"/>
  <c r="CU54" i="1" s="1"/>
  <c r="CZ51" i="1" a="1"/>
  <c r="CZ51" i="1" s="1"/>
  <c r="CQ51" i="1"/>
  <c r="DA50" i="1" a="1"/>
  <c r="DA50" i="1" s="1"/>
  <c r="CT50" i="1" a="1"/>
  <c r="CT50" i="1" s="1"/>
  <c r="CU50" i="1" s="1"/>
  <c r="DO49" i="1" a="1"/>
  <c r="DO49" i="1" s="1"/>
  <c r="CO49" i="1"/>
  <c r="DA48" i="1" a="1"/>
  <c r="DA48" i="1" s="1"/>
  <c r="CP48" i="1"/>
  <c r="DO47" i="1" a="1"/>
  <c r="DO47" i="1" s="1"/>
  <c r="Q43" i="1"/>
  <c r="Q42" i="1"/>
  <c r="CR54" i="1"/>
  <c r="CW52" i="1" a="1"/>
  <c r="CW52" i="1" s="1"/>
  <c r="CX52" i="1" s="1"/>
  <c r="CN52" i="1"/>
  <c r="CP51" i="1"/>
  <c r="CR50" i="1"/>
  <c r="CN49" i="1"/>
  <c r="DP48" i="1" a="1"/>
  <c r="DP48" i="1" s="1"/>
  <c r="CO48" i="1"/>
  <c r="Q45" i="1"/>
  <c r="DA53" i="1" a="1"/>
  <c r="DA53" i="1" s="1"/>
  <c r="CW49" i="1" a="1"/>
  <c r="CW49" i="1" s="1"/>
  <c r="CX49" i="1" s="1"/>
  <c r="CZ46" i="1" a="1"/>
  <c r="CZ46" i="1" s="1"/>
  <c r="CT46" i="1" a="1"/>
  <c r="CT46" i="1" s="1"/>
  <c r="CU46" i="1" s="1"/>
  <c r="DA46" i="1" a="1"/>
  <c r="DA46" i="1" s="1"/>
  <c r="DP46" i="1" a="1"/>
  <c r="DP46" i="1" s="1"/>
  <c r="DB46" i="1" a="1"/>
  <c r="DB46" i="1" s="1"/>
  <c r="CO46" i="1"/>
  <c r="Q47" i="1"/>
  <c r="Q36" i="1"/>
  <c r="CP46" i="1"/>
  <c r="CW43" i="1" a="1"/>
  <c r="CW43" i="1" s="1"/>
  <c r="CX43" i="1" s="1"/>
  <c r="CN43" i="1"/>
  <c r="CW41" i="1" a="1"/>
  <c r="CW41" i="1" s="1"/>
  <c r="CX41" i="1" s="1"/>
  <c r="CN41" i="1"/>
  <c r="CW39" i="1" a="1"/>
  <c r="CW39" i="1" s="1"/>
  <c r="CX39" i="1" s="1"/>
  <c r="CN39" i="1"/>
  <c r="CT37" i="1" a="1"/>
  <c r="CT37" i="1" s="1"/>
  <c r="DA37" i="1" a="1"/>
  <c r="DA37" i="1" s="1"/>
  <c r="CT36" i="1" a="1"/>
  <c r="CT36" i="1" s="1"/>
  <c r="CU36" i="1" s="1"/>
  <c r="AL36" i="1"/>
  <c r="CR33" i="1"/>
  <c r="Q25" i="1"/>
  <c r="CZ45" i="1" a="1"/>
  <c r="CZ45" i="1" s="1"/>
  <c r="CQ45" i="1"/>
  <c r="DP44" i="1" a="1"/>
  <c r="DP44" i="1" s="1"/>
  <c r="DA44" i="1" a="1"/>
  <c r="DA44" i="1" s="1"/>
  <c r="CT44" i="1" a="1"/>
  <c r="CT44" i="1" s="1"/>
  <c r="CU44" i="1" s="1"/>
  <c r="DB43" i="1" a="1"/>
  <c r="DB43" i="1" s="1"/>
  <c r="CZ42" i="1" a="1"/>
  <c r="CZ42" i="1" s="1"/>
  <c r="CQ42" i="1"/>
  <c r="DB41" i="1" a="1"/>
  <c r="DB41" i="1" s="1"/>
  <c r="CZ40" i="1" a="1"/>
  <c r="CZ40" i="1" s="1"/>
  <c r="CQ40" i="1"/>
  <c r="DB39" i="1" a="1"/>
  <c r="DB39" i="1" s="1"/>
  <c r="CZ38" i="1" a="1"/>
  <c r="CZ38" i="1" s="1"/>
  <c r="CT35" i="1" a="1"/>
  <c r="CT35" i="1" s="1"/>
  <c r="CU35" i="1" s="1"/>
  <c r="DA35" i="1" a="1"/>
  <c r="DA35" i="1" s="1"/>
  <c r="CN35" i="1"/>
  <c r="CW35" i="1" a="1"/>
  <c r="CW35" i="1" s="1"/>
  <c r="CX35" i="1" s="1"/>
  <c r="DB34" i="1" a="1"/>
  <c r="DB34" i="1" s="1"/>
  <c r="CT34" i="1" a="1"/>
  <c r="CT34" i="1" s="1"/>
  <c r="CU34" i="1" s="1"/>
  <c r="DA34" i="1" a="1"/>
  <c r="DA34" i="1" s="1"/>
  <c r="Q24" i="1"/>
  <c r="W33" i="1"/>
  <c r="W31" i="1"/>
  <c r="CZ29" i="1" a="1"/>
  <c r="CZ29" i="1" s="1"/>
  <c r="DB29" i="1" a="1"/>
  <c r="DB29" i="1" s="1"/>
  <c r="CO29" i="1"/>
  <c r="DP47" i="1" a="1"/>
  <c r="DP47" i="1" s="1"/>
  <c r="DR45" i="1" a="1"/>
  <c r="DR45" i="1" s="1"/>
  <c r="CZ44" i="1" a="1"/>
  <c r="CZ44" i="1" s="1"/>
  <c r="DA43" i="1" a="1"/>
  <c r="DA43" i="1" s="1"/>
  <c r="DA41" i="1" a="1"/>
  <c r="DA41" i="1" s="1"/>
  <c r="DA39" i="1" a="1"/>
  <c r="DA39" i="1" s="1"/>
  <c r="CZ36" i="1" a="1"/>
  <c r="CZ36" i="1" s="1"/>
  <c r="DB35" i="1" a="1"/>
  <c r="DB35" i="1" s="1"/>
  <c r="DB32" i="1" a="1"/>
  <c r="DB32" i="1" s="1"/>
  <c r="CT32" i="1" a="1"/>
  <c r="CT32" i="1" s="1"/>
  <c r="DA32" i="1" a="1"/>
  <c r="DA32" i="1" s="1"/>
  <c r="CT29" i="1" a="1"/>
  <c r="CT29" i="1" s="1"/>
  <c r="CU29" i="1" s="1"/>
  <c r="W27" i="1"/>
  <c r="CW45" i="1" a="1"/>
  <c r="CW45" i="1" s="1"/>
  <c r="CX45" i="1" s="1"/>
  <c r="CN45" i="1"/>
  <c r="CP44" i="1"/>
  <c r="CW42" i="1" a="1"/>
  <c r="CW42" i="1" s="1"/>
  <c r="CX42" i="1" s="1"/>
  <c r="CN42" i="1"/>
  <c r="CW40" i="1" a="1"/>
  <c r="CW40" i="1" s="1"/>
  <c r="CX40" i="1" s="1"/>
  <c r="CN40" i="1"/>
  <c r="CW38" i="1" a="1"/>
  <c r="CW38" i="1" s="1"/>
  <c r="CX38" i="1" s="1"/>
  <c r="CN38" i="1"/>
  <c r="CW37" i="1" a="1"/>
  <c r="CW37" i="1" s="1"/>
  <c r="CX37" i="1" s="1"/>
  <c r="CN36" i="1"/>
  <c r="CN34" i="1"/>
  <c r="CO44" i="1"/>
  <c r="CZ43" i="1" a="1"/>
  <c r="CZ43" i="1" s="1"/>
  <c r="CQ43" i="1"/>
  <c r="CZ41" i="1" a="1"/>
  <c r="CZ41" i="1" s="1"/>
  <c r="CZ39" i="1" a="1"/>
  <c r="CZ39" i="1" s="1"/>
  <c r="DB38" i="1" a="1"/>
  <c r="DB38" i="1" s="1"/>
  <c r="CW36" i="1" a="1"/>
  <c r="CW36" i="1" s="1"/>
  <c r="CX36" i="1" s="1"/>
  <c r="CZ33" i="1" a="1"/>
  <c r="CZ33" i="1" s="1"/>
  <c r="CO33" i="1"/>
  <c r="CZ31" i="1" a="1"/>
  <c r="CZ31" i="1" s="1"/>
  <c r="DB31" i="1" a="1"/>
  <c r="DB31" i="1" s="1"/>
  <c r="CO31" i="1"/>
  <c r="CT33" i="1" a="1"/>
  <c r="CT33" i="1" s="1"/>
  <c r="CU33" i="1" s="1"/>
  <c r="W30" i="1"/>
  <c r="DA45" i="1" a="1"/>
  <c r="DA45" i="1" s="1"/>
  <c r="DA42" i="1" a="1"/>
  <c r="DA42" i="1" s="1"/>
  <c r="DA40" i="1" a="1"/>
  <c r="DA40" i="1" s="1"/>
  <c r="DA38" i="1" a="1"/>
  <c r="DA38" i="1" s="1"/>
  <c r="CZ34" i="1" a="1"/>
  <c r="CZ34" i="1" s="1"/>
  <c r="W29" i="1"/>
  <c r="CT18" i="1" a="1"/>
  <c r="CT18" i="1" s="1"/>
  <c r="CU18" i="1" s="1"/>
  <c r="Q18" i="1"/>
  <c r="CT15" i="1" a="1"/>
  <c r="CT15" i="1" s="1"/>
  <c r="CU15" i="1" s="1"/>
  <c r="Q12" i="1"/>
  <c r="Q8" i="1"/>
  <c r="CO7" i="1"/>
  <c r="CZ7" i="1" a="1"/>
  <c r="CZ7" i="1" s="1"/>
  <c r="CO5" i="1"/>
  <c r="CZ5" i="1" a="1"/>
  <c r="CZ5" i="1" s="1"/>
  <c r="CW4" i="1" a="1"/>
  <c r="CW4" i="1" s="1"/>
  <c r="CX4" i="1" s="1"/>
  <c r="DA30" i="1" a="1"/>
  <c r="DA30" i="1" s="1"/>
  <c r="CT30" i="1" a="1"/>
  <c r="CT30" i="1" s="1"/>
  <c r="CU30" i="1" s="1"/>
  <c r="DA28" i="1" a="1"/>
  <c r="DA28" i="1" s="1"/>
  <c r="CT28" i="1" a="1"/>
  <c r="CT28" i="1" s="1"/>
  <c r="CU28" i="1" s="1"/>
  <c r="CO27" i="1"/>
  <c r="DA26" i="1" a="1"/>
  <c r="DA26" i="1" s="1"/>
  <c r="CT26" i="1" a="1"/>
  <c r="CT26" i="1" s="1"/>
  <c r="CU26" i="1" s="1"/>
  <c r="CN24" i="1"/>
  <c r="CO17" i="1"/>
  <c r="CZ17" i="1" a="1"/>
  <c r="CZ17" i="1" s="1"/>
  <c r="W13" i="1"/>
  <c r="CO11" i="1"/>
  <c r="CZ11" i="1" a="1"/>
  <c r="CZ11" i="1" s="1"/>
  <c r="W9" i="1"/>
  <c r="Q6" i="1"/>
  <c r="CT5" i="1" a="1"/>
  <c r="CT5" i="1" s="1"/>
  <c r="CU5" i="1" s="1"/>
  <c r="Q4" i="1"/>
  <c r="CW33" i="1" a="1"/>
  <c r="CW33" i="1" s="1"/>
  <c r="CX33" i="1" s="1"/>
  <c r="CN33" i="1"/>
  <c r="CW31" i="1" a="1"/>
  <c r="CW31" i="1" s="1"/>
  <c r="CX31" i="1" s="1"/>
  <c r="CN31" i="1"/>
  <c r="CW29" i="1" a="1"/>
  <c r="CW29" i="1" s="1"/>
  <c r="CX29" i="1" s="1"/>
  <c r="CN29" i="1"/>
  <c r="CW27" i="1" a="1"/>
  <c r="CW27" i="1" s="1"/>
  <c r="CX27" i="1" s="1"/>
  <c r="CN27" i="1"/>
  <c r="CW25" i="1" a="1"/>
  <c r="CW25" i="1" s="1"/>
  <c r="CX25" i="1" s="1"/>
  <c r="CW24" i="1" a="1"/>
  <c r="CW24" i="1" s="1"/>
  <c r="CX24" i="1" s="1"/>
  <c r="CZ19" i="1" a="1"/>
  <c r="CZ19" i="1" s="1"/>
  <c r="CT19" i="1" a="1"/>
  <c r="CT19" i="1" s="1"/>
  <c r="DA19" i="1" a="1"/>
  <c r="DA19" i="1" s="1"/>
  <c r="DB19" i="1" a="1"/>
  <c r="DB19" i="1" s="1"/>
  <c r="CN19" i="1"/>
  <c r="CW19" i="1" a="1"/>
  <c r="CW19" i="1" s="1"/>
  <c r="CX19" i="1" s="1"/>
  <c r="CT17" i="1" a="1"/>
  <c r="CT17" i="1" s="1"/>
  <c r="CU17" i="1" s="1"/>
  <c r="CT11" i="1" a="1"/>
  <c r="CT11" i="1" s="1"/>
  <c r="CU11" i="1" s="1"/>
  <c r="DB27" i="1" a="1"/>
  <c r="DB27" i="1" s="1"/>
  <c r="DB25" i="1" a="1"/>
  <c r="DB25" i="1" s="1"/>
  <c r="CT23" i="1" a="1"/>
  <c r="CT23" i="1" s="1"/>
  <c r="CU23" i="1" s="1"/>
  <c r="DA23" i="1" a="1"/>
  <c r="DA23" i="1" s="1"/>
  <c r="CN23" i="1"/>
  <c r="CW23" i="1" a="1"/>
  <c r="CW23" i="1" s="1"/>
  <c r="CX23" i="1" s="1"/>
  <c r="CT22" i="1" a="1"/>
  <c r="CT22" i="1" s="1"/>
  <c r="CU22" i="1" s="1"/>
  <c r="DA22" i="1" a="1"/>
  <c r="DA22" i="1" s="1"/>
  <c r="Q14" i="1"/>
  <c r="DB24" i="1" a="1"/>
  <c r="DB24" i="1" s="1"/>
  <c r="DB22" i="1" a="1"/>
  <c r="DB22" i="1" s="1"/>
  <c r="W15" i="1"/>
  <c r="CO13" i="1"/>
  <c r="CZ13" i="1" a="1"/>
  <c r="CZ13" i="1" s="1"/>
  <c r="Q10" i="1"/>
  <c r="W7" i="1"/>
  <c r="DA33" i="1" a="1"/>
  <c r="DA33" i="1" s="1"/>
  <c r="DA31" i="1" a="1"/>
  <c r="DA31" i="1" s="1"/>
  <c r="DA29" i="1" a="1"/>
  <c r="DA29" i="1" s="1"/>
  <c r="DA27" i="1" a="1"/>
  <c r="DA27" i="1" s="1"/>
  <c r="DA25" i="1" a="1"/>
  <c r="DA25" i="1" s="1"/>
  <c r="CT25" i="1" a="1"/>
  <c r="CT25" i="1" s="1"/>
  <c r="CU25" i="1" s="1"/>
  <c r="CT24" i="1" a="1"/>
  <c r="CT24" i="1" s="1"/>
  <c r="CU24" i="1" s="1"/>
  <c r="CW20" i="1" a="1"/>
  <c r="CW20" i="1" s="1"/>
  <c r="CX20" i="1" s="1"/>
  <c r="CT13" i="1" a="1"/>
  <c r="CT13" i="1" s="1"/>
  <c r="CU13" i="1" s="1"/>
  <c r="W11" i="1"/>
  <c r="CO9" i="1"/>
  <c r="CZ9" i="1" a="1"/>
  <c r="CZ9" i="1" s="1"/>
  <c r="CT21" i="1" a="1"/>
  <c r="CT21" i="1" s="1"/>
  <c r="DA21" i="1" a="1"/>
  <c r="DA21" i="1" s="1"/>
  <c r="DB21" i="1" a="1"/>
  <c r="DB21" i="1" s="1"/>
  <c r="CN21" i="1"/>
  <c r="CW21" i="1" a="1"/>
  <c r="CW21" i="1" s="1"/>
  <c r="CX21" i="1" s="1"/>
  <c r="Q20" i="1"/>
  <c r="W17" i="1"/>
  <c r="Q16" i="1"/>
  <c r="CQ4" i="1"/>
  <c r="CT4" i="1" a="1"/>
  <c r="CT4" i="1" s="1"/>
  <c r="CU4" i="1" s="1"/>
  <c r="DA4" i="1" a="1"/>
  <c r="DA4" i="1" s="1"/>
  <c r="CZ25" i="1" a="1"/>
  <c r="CZ25" i="1" s="1"/>
  <c r="CO15" i="1"/>
  <c r="CZ15" i="1" a="1"/>
  <c r="CZ15" i="1" s="1"/>
  <c r="Q5" i="1"/>
  <c r="DB4" i="1" a="1"/>
  <c r="DB4" i="1" s="1"/>
  <c r="DA20" i="1" a="1"/>
  <c r="DA20" i="1" s="1"/>
  <c r="DA18" i="1" a="1"/>
  <c r="DA18" i="1" s="1"/>
  <c r="DA16" i="1" a="1"/>
  <c r="DA16" i="1" s="1"/>
  <c r="DA14" i="1" a="1"/>
  <c r="DA14" i="1" s="1"/>
  <c r="CT14" i="1" a="1"/>
  <c r="CT14" i="1" s="1"/>
  <c r="CU14" i="1" s="1"/>
  <c r="DA12" i="1" a="1"/>
  <c r="DA12" i="1" s="1"/>
  <c r="CT12" i="1" a="1"/>
  <c r="CT12" i="1" s="1"/>
  <c r="CU12" i="1" s="1"/>
  <c r="DA10" i="1" a="1"/>
  <c r="DA10" i="1" s="1"/>
  <c r="CT10" i="1" a="1"/>
  <c r="CT10" i="1" s="1"/>
  <c r="CU10" i="1" s="1"/>
  <c r="DA8" i="1" a="1"/>
  <c r="DA8" i="1" s="1"/>
  <c r="CT8" i="1" a="1"/>
  <c r="CT8" i="1" s="1"/>
  <c r="CU8" i="1" s="1"/>
  <c r="DA6" i="1" a="1"/>
  <c r="DA6" i="1" s="1"/>
  <c r="CT6" i="1" a="1"/>
  <c r="CT6" i="1" s="1"/>
  <c r="CU6" i="1" s="1"/>
  <c r="CZ4" i="1" a="1"/>
  <c r="CZ4" i="1" s="1"/>
  <c r="CW17" i="1" a="1"/>
  <c r="CW17" i="1" s="1"/>
  <c r="CX17" i="1" s="1"/>
  <c r="CN17" i="1"/>
  <c r="CW15" i="1" a="1"/>
  <c r="CW15" i="1" s="1"/>
  <c r="CX15" i="1" s="1"/>
  <c r="CN15" i="1"/>
  <c r="CW13" i="1" a="1"/>
  <c r="CW13" i="1" s="1"/>
  <c r="CX13" i="1" s="1"/>
  <c r="CN13" i="1"/>
  <c r="CW11" i="1" a="1"/>
  <c r="CW11" i="1" s="1"/>
  <c r="CX11" i="1" s="1"/>
  <c r="CN11" i="1"/>
  <c r="CW9" i="1" a="1"/>
  <c r="CW9" i="1" s="1"/>
  <c r="CX9" i="1" s="1"/>
  <c r="CN9" i="1"/>
  <c r="CW7" i="1" a="1"/>
  <c r="CW7" i="1" s="1"/>
  <c r="CX7" i="1" s="1"/>
  <c r="CN7" i="1"/>
  <c r="CW5" i="1" a="1"/>
  <c r="CW5" i="1" s="1"/>
  <c r="CX5" i="1" s="1"/>
  <c r="CN5" i="1"/>
  <c r="CP4" i="1"/>
  <c r="CZ20" i="1" a="1"/>
  <c r="CZ20" i="1" s="1"/>
  <c r="CZ18" i="1" a="1"/>
  <c r="CZ18" i="1" s="1"/>
  <c r="DB17" i="1" a="1"/>
  <c r="DB17" i="1" s="1"/>
  <c r="CZ16" i="1" a="1"/>
  <c r="CZ16" i="1" s="1"/>
  <c r="DB15" i="1" a="1"/>
  <c r="DB15" i="1" s="1"/>
  <c r="DB13" i="1" a="1"/>
  <c r="DB13" i="1" s="1"/>
  <c r="DB11" i="1" a="1"/>
  <c r="DB11" i="1" s="1"/>
  <c r="DB9" i="1" a="1"/>
  <c r="DB9" i="1" s="1"/>
  <c r="DB7" i="1" a="1"/>
  <c r="DB7" i="1" s="1"/>
  <c r="CZ6" i="1" a="1"/>
  <c r="CZ6" i="1" s="1"/>
  <c r="DB5" i="1" a="1"/>
  <c r="DB5" i="1" s="1"/>
  <c r="CO4" i="1"/>
  <c r="DA17" i="1" a="1"/>
  <c r="DA17" i="1" s="1"/>
  <c r="DA15" i="1" a="1"/>
  <c r="DA15" i="1" s="1"/>
  <c r="DA13" i="1" a="1"/>
  <c r="DA13" i="1" s="1"/>
  <c r="DA11" i="1" a="1"/>
  <c r="DA11" i="1" s="1"/>
  <c r="DA9" i="1" a="1"/>
  <c r="DA9" i="1" s="1"/>
  <c r="DA7" i="1" a="1"/>
  <c r="DA7" i="1" s="1"/>
  <c r="DA5" i="1" a="1"/>
  <c r="DA5" i="1" s="1"/>
  <c r="AL212" i="1" l="1"/>
  <c r="AL269" i="1"/>
  <c r="DB196" i="1" a="1"/>
  <c r="DB196" i="1" s="1"/>
  <c r="CT113" i="1" a="1"/>
  <c r="CT113" i="1" s="1"/>
  <c r="CU113" i="1" s="1"/>
  <c r="DB175" i="1" a="1"/>
  <c r="DB175" i="1" s="1"/>
  <c r="AL276" i="1"/>
  <c r="DA292" i="1" a="1"/>
  <c r="DA292" i="1" s="1"/>
  <c r="AL277" i="1"/>
  <c r="AL90" i="1"/>
  <c r="AL244" i="1"/>
  <c r="AL153" i="1"/>
  <c r="DB133" i="1" a="1"/>
  <c r="DB133" i="1" s="1"/>
  <c r="DB172" i="1" a="1"/>
  <c r="DB172" i="1" s="1"/>
  <c r="AL202" i="1"/>
  <c r="CW234" i="1" a="1"/>
  <c r="CW234" i="1" s="1"/>
  <c r="CX234" i="1" s="1"/>
  <c r="AL208" i="1"/>
  <c r="AL132" i="1"/>
  <c r="CW153" i="1" a="1"/>
  <c r="CW153" i="1" s="1"/>
  <c r="CX153" i="1" s="1"/>
  <c r="AL252" i="1"/>
  <c r="DA265" i="1" a="1"/>
  <c r="DA265" i="1" s="1"/>
  <c r="CT139" i="1" a="1"/>
  <c r="CT139" i="1" s="1"/>
  <c r="CU139" i="1" s="1"/>
  <c r="AL129" i="1"/>
  <c r="DA130" i="1" a="1"/>
  <c r="DA130" i="1" s="1"/>
  <c r="AL157" i="1"/>
  <c r="CQ144" i="1"/>
  <c r="DA181" i="1" a="1"/>
  <c r="DA181" i="1" s="1"/>
  <c r="CZ206" i="1" a="1"/>
  <c r="CZ206" i="1" s="1"/>
  <c r="CW206" i="1" a="1"/>
  <c r="CW206" i="1" s="1"/>
  <c r="CX206" i="1" s="1"/>
  <c r="DB265" i="1" a="1"/>
  <c r="DB265" i="1" s="1"/>
  <c r="CZ101" i="1" a="1"/>
  <c r="CZ101" i="1" s="1"/>
  <c r="DA134" i="1" a="1"/>
  <c r="DA134" i="1" s="1"/>
  <c r="DB206" i="1" a="1"/>
  <c r="DB206" i="1" s="1"/>
  <c r="CZ262" i="1" a="1"/>
  <c r="CZ262" i="1" s="1"/>
  <c r="DQ93" i="1" a="1"/>
  <c r="DQ93" i="1" s="1"/>
  <c r="CN101" i="1"/>
  <c r="AL160" i="1"/>
  <c r="DB180" i="1" a="1"/>
  <c r="DB180" i="1" s="1"/>
  <c r="DA206" i="1" a="1"/>
  <c r="DA206" i="1" s="1"/>
  <c r="AL263" i="1"/>
  <c r="AL233" i="1"/>
  <c r="CT292" i="1" a="1"/>
  <c r="CT292" i="1" s="1"/>
  <c r="CU292" i="1" s="1"/>
  <c r="DA303" i="1" a="1"/>
  <c r="DA303" i="1" s="1"/>
  <c r="CP96" i="1"/>
  <c r="AL102" i="1"/>
  <c r="AL125" i="1"/>
  <c r="DB140" i="1" a="1"/>
  <c r="DB140" i="1" s="1"/>
  <c r="CT173" i="1" a="1"/>
  <c r="CT173" i="1" s="1"/>
  <c r="CU173" i="1" s="1"/>
  <c r="CT206" i="1" a="1"/>
  <c r="CT206" i="1" s="1"/>
  <c r="CU206" i="1" s="1"/>
  <c r="DB101" i="1" a="1"/>
  <c r="DB101" i="1" s="1"/>
  <c r="DO148" i="1" a="1"/>
  <c r="DO148" i="1" s="1"/>
  <c r="AL167" i="1"/>
  <c r="DA264" i="1" a="1"/>
  <c r="DA264" i="1" s="1"/>
  <c r="CT149" i="1" a="1"/>
  <c r="CT149" i="1" s="1"/>
  <c r="CU149" i="1" s="1"/>
  <c r="CW262" i="1" a="1"/>
  <c r="CW262" i="1" s="1"/>
  <c r="CX262" i="1" s="1"/>
  <c r="DA114" i="1" a="1"/>
  <c r="DA114" i="1" s="1"/>
  <c r="CZ127" i="1" a="1"/>
  <c r="CZ127" i="1" s="1"/>
  <c r="CZ141" i="1" a="1"/>
  <c r="CZ141" i="1" s="1"/>
  <c r="AL114" i="1"/>
  <c r="DB143" i="1" a="1"/>
  <c r="DB143" i="1" s="1"/>
  <c r="CW176" i="1" a="1"/>
  <c r="CW176" i="1" s="1"/>
  <c r="CX176" i="1" s="1"/>
  <c r="AL213" i="1"/>
  <c r="AL251" i="1"/>
  <c r="CZ292" i="1" a="1"/>
  <c r="CZ292" i="1" s="1"/>
  <c r="DA139" i="1" a="1"/>
  <c r="DA139" i="1" s="1"/>
  <c r="AL159" i="1"/>
  <c r="AL166" i="1"/>
  <c r="AL229" i="1"/>
  <c r="DB254" i="1" a="1"/>
  <c r="DB254" i="1" s="1"/>
  <c r="AL98" i="1"/>
  <c r="CW101" i="1" a="1"/>
  <c r="CW101" i="1" s="1"/>
  <c r="CX101" i="1" s="1"/>
  <c r="DA111" i="1" a="1"/>
  <c r="DA111" i="1" s="1"/>
  <c r="DB129" i="1" a="1"/>
  <c r="DB129" i="1" s="1"/>
  <c r="AL151" i="1"/>
  <c r="DB184" i="1" a="1"/>
  <c r="DB184" i="1" s="1"/>
  <c r="CW188" i="1" a="1"/>
  <c r="CW188" i="1" s="1"/>
  <c r="CX188" i="1" s="1"/>
  <c r="AL215" i="1"/>
  <c r="CT91" i="1" a="1"/>
  <c r="CT91" i="1" s="1"/>
  <c r="CU91" i="1" s="1"/>
  <c r="AL216" i="1"/>
  <c r="CT228" i="1" a="1"/>
  <c r="CT228" i="1" s="1"/>
  <c r="CU228" i="1" s="1"/>
  <c r="DB234" i="1" a="1"/>
  <c r="DB234" i="1" s="1"/>
  <c r="AL225" i="1"/>
  <c r="CW196" i="1" a="1"/>
  <c r="CW196" i="1" s="1"/>
  <c r="CX196" i="1" s="1"/>
  <c r="CZ175" i="1" a="1"/>
  <c r="CZ175" i="1" s="1"/>
  <c r="AL197" i="1"/>
  <c r="CZ242" i="1" a="1"/>
  <c r="CZ242" i="1" s="1"/>
  <c r="CT272" i="1" a="1"/>
  <c r="CT272" i="1" s="1"/>
  <c r="DA175" i="1" a="1"/>
  <c r="DA175" i="1" s="1"/>
  <c r="AL239" i="1"/>
  <c r="CT284" i="1" a="1"/>
  <c r="CT284" i="1" s="1"/>
  <c r="CW91" i="1" a="1"/>
  <c r="CW91" i="1" s="1"/>
  <c r="CX91" i="1" s="1"/>
  <c r="AL101" i="1"/>
  <c r="AL130" i="1"/>
  <c r="DB142" i="1" a="1"/>
  <c r="DB142" i="1" s="1"/>
  <c r="CT175" i="1" a="1"/>
  <c r="CT175" i="1" s="1"/>
  <c r="CU175" i="1" s="1"/>
  <c r="DB176" i="1" a="1"/>
  <c r="DB176" i="1" s="1"/>
  <c r="CT94" i="1" a="1"/>
  <c r="CT94" i="1" s="1"/>
  <c r="CU94" i="1" s="1"/>
  <c r="DB147" i="1" a="1"/>
  <c r="DB147" i="1" s="1"/>
  <c r="DA149" i="1" a="1"/>
  <c r="DA149" i="1" s="1"/>
  <c r="CW180" i="1" a="1"/>
  <c r="CW180" i="1" s="1"/>
  <c r="CX180" i="1" s="1"/>
  <c r="AL158" i="1"/>
  <c r="AL203" i="1"/>
  <c r="CW254" i="1" a="1"/>
  <c r="CW254" i="1" s="1"/>
  <c r="CX254" i="1" s="1"/>
  <c r="DQ141" i="1" a="1"/>
  <c r="DQ141" i="1" s="1"/>
  <c r="CP141" i="1"/>
  <c r="AL196" i="1"/>
  <c r="AL268" i="1"/>
  <c r="DO114" i="1" a="1"/>
  <c r="DO114" i="1" s="1"/>
  <c r="CN114" i="1"/>
  <c r="DQ148" i="1" a="1"/>
  <c r="DQ148" i="1" s="1"/>
  <c r="CP148" i="1"/>
  <c r="DO136" i="1" a="1"/>
  <c r="DO136" i="1" s="1"/>
  <c r="CN136" i="1"/>
  <c r="DO143" i="1" a="1"/>
  <c r="DO143" i="1" s="1"/>
  <c r="CN143" i="1"/>
  <c r="CN137" i="1"/>
  <c r="DO137" i="1" a="1"/>
  <c r="DO137" i="1" s="1"/>
  <c r="CP115" i="1"/>
  <c r="DQ115" i="1" a="1"/>
  <c r="DQ115" i="1" s="1"/>
  <c r="CQ104" i="1"/>
  <c r="DR104" i="1" a="1"/>
  <c r="DR104" i="1" s="1"/>
  <c r="CP116" i="1"/>
  <c r="DQ116" i="1" a="1"/>
  <c r="DQ116" i="1" s="1"/>
  <c r="CP149" i="1"/>
  <c r="DQ149" i="1" a="1"/>
  <c r="DQ149" i="1" s="1"/>
  <c r="DA91" i="1" a="1"/>
  <c r="DA91" i="1" s="1"/>
  <c r="CT169" i="1" a="1"/>
  <c r="CT169" i="1" s="1"/>
  <c r="CU169" i="1" s="1"/>
  <c r="CZ188" i="1" a="1"/>
  <c r="CZ188" i="1" s="1"/>
  <c r="CW210" i="1" a="1"/>
  <c r="CW210" i="1" s="1"/>
  <c r="CX210" i="1" s="1"/>
  <c r="CN134" i="1"/>
  <c r="DO134" i="1" a="1"/>
  <c r="DO134" i="1" s="1"/>
  <c r="CN145" i="1"/>
  <c r="DO145" i="1" a="1"/>
  <c r="DO145" i="1" s="1"/>
  <c r="CO97" i="1"/>
  <c r="DP97" i="1" a="1"/>
  <c r="DP97" i="1" s="1"/>
  <c r="CZ91" i="1" a="1"/>
  <c r="CZ91" i="1" s="1"/>
  <c r="DA133" i="1" a="1"/>
  <c r="DA133" i="1" s="1"/>
  <c r="AL120" i="1"/>
  <c r="DA281" i="1" a="1"/>
  <c r="DA281" i="1" s="1"/>
  <c r="DQ122" i="1" a="1"/>
  <c r="DQ122" i="1" s="1"/>
  <c r="CP122" i="1"/>
  <c r="DR118" i="1" a="1"/>
  <c r="DR118" i="1" s="1"/>
  <c r="CQ118" i="1"/>
  <c r="DQ142" i="1" a="1"/>
  <c r="DQ142" i="1" s="1"/>
  <c r="CP142" i="1"/>
  <c r="DP104" i="1" a="1"/>
  <c r="DP104" i="1" s="1"/>
  <c r="CO104" i="1"/>
  <c r="AL221" i="1"/>
  <c r="AL284" i="1"/>
  <c r="DR127" i="1" a="1"/>
  <c r="DR127" i="1" s="1"/>
  <c r="CQ127" i="1"/>
  <c r="CN139" i="1"/>
  <c r="DO139" i="1" a="1"/>
  <c r="DO139" i="1" s="1"/>
  <c r="AL112" i="1"/>
  <c r="DB139" i="1" a="1"/>
  <c r="DB139" i="1" s="1"/>
  <c r="AL142" i="1"/>
  <c r="CZ142" i="1" a="1"/>
  <c r="CZ142" i="1" s="1"/>
  <c r="CW184" i="1" a="1"/>
  <c r="CW184" i="1" s="1"/>
  <c r="CX184" i="1" s="1"/>
  <c r="CW238" i="1" a="1"/>
  <c r="CW238" i="1" s="1"/>
  <c r="CX238" i="1" s="1"/>
  <c r="AL302" i="1"/>
  <c r="CO96" i="1"/>
  <c r="DP96" i="1" a="1"/>
  <c r="DP96" i="1" s="1"/>
  <c r="DR125" i="1" a="1"/>
  <c r="DR125" i="1" s="1"/>
  <c r="CQ125" i="1"/>
  <c r="CP118" i="1"/>
  <c r="DQ118" i="1" a="1"/>
  <c r="DQ118" i="1" s="1"/>
  <c r="AL145" i="1"/>
  <c r="CR90" i="1"/>
  <c r="DS90" i="1" a="1"/>
  <c r="DS90" i="1" s="1"/>
  <c r="CQ105" i="1"/>
  <c r="DR105" i="1" a="1"/>
  <c r="DR105" i="1" s="1"/>
  <c r="CP146" i="1"/>
  <c r="DQ146" i="1" a="1"/>
  <c r="DQ146" i="1" s="1"/>
  <c r="DA137" i="1" a="1"/>
  <c r="DA137" i="1" s="1"/>
  <c r="CW172" i="1" a="1"/>
  <c r="CW172" i="1" s="1"/>
  <c r="CX172" i="1" s="1"/>
  <c r="AL270" i="1"/>
  <c r="DA254" i="1" a="1"/>
  <c r="DA254" i="1" s="1"/>
  <c r="AL281" i="1"/>
  <c r="CZ289" i="1" a="1"/>
  <c r="CZ289" i="1" s="1"/>
  <c r="DR122" i="1" a="1"/>
  <c r="DR122" i="1" s="1"/>
  <c r="CQ122" i="1"/>
  <c r="AL143" i="1"/>
  <c r="AL194" i="1"/>
  <c r="CO99" i="1"/>
  <c r="DP99" i="1" a="1"/>
  <c r="DP99" i="1" s="1"/>
  <c r="DP105" i="1" a="1"/>
  <c r="DP105" i="1" s="1"/>
  <c r="CO105" i="1"/>
  <c r="CP119" i="1"/>
  <c r="DQ119" i="1" a="1"/>
  <c r="DQ119" i="1" s="1"/>
  <c r="CQ135" i="1"/>
  <c r="DR135" i="1" a="1"/>
  <c r="DR135" i="1" s="1"/>
  <c r="CQ115" i="1"/>
  <c r="DR115" i="1" a="1"/>
  <c r="DR115" i="1" s="1"/>
  <c r="DR124" i="1" a="1"/>
  <c r="DR124" i="1" s="1"/>
  <c r="CQ124" i="1"/>
  <c r="AL264" i="1"/>
  <c r="CZ93" i="1" a="1"/>
  <c r="CZ93" i="1" s="1"/>
  <c r="CT111" i="1" a="1"/>
  <c r="CT111" i="1" s="1"/>
  <c r="CU111" i="1" s="1"/>
  <c r="CT142" i="1" a="1"/>
  <c r="CT142" i="1" s="1"/>
  <c r="CU142" i="1" s="1"/>
  <c r="CT177" i="1" a="1"/>
  <c r="CT177" i="1" s="1"/>
  <c r="CU177" i="1" s="1"/>
  <c r="AL232" i="1"/>
  <c r="AL240" i="1"/>
  <c r="CT254" i="1" a="1"/>
  <c r="CT254" i="1" s="1"/>
  <c r="CU254" i="1" s="1"/>
  <c r="CZ286" i="1" a="1"/>
  <c r="CZ286" i="1" s="1"/>
  <c r="CQ134" i="1"/>
  <c r="DR134" i="1" a="1"/>
  <c r="DR134" i="1" s="1"/>
  <c r="CQ141" i="1"/>
  <c r="DR141" i="1" a="1"/>
  <c r="DR141" i="1" s="1"/>
  <c r="AL209" i="1"/>
  <c r="DP103" i="1" a="1"/>
  <c r="DP103" i="1" s="1"/>
  <c r="CO103" i="1"/>
  <c r="AL190" i="1"/>
  <c r="CN140" i="1"/>
  <c r="DO140" i="1" a="1"/>
  <c r="DO140" i="1" s="1"/>
  <c r="CZ125" i="1" a="1"/>
  <c r="CZ125" i="1" s="1"/>
  <c r="CQ111" i="1"/>
  <c r="DR111" i="1" a="1"/>
  <c r="DR111" i="1" s="1"/>
  <c r="DO123" i="1" a="1"/>
  <c r="DO123" i="1" s="1"/>
  <c r="CN123" i="1"/>
  <c r="CR111" i="1"/>
  <c r="DS111" i="1" a="1"/>
  <c r="DS111" i="1" s="1"/>
  <c r="DR123" i="1" a="1"/>
  <c r="DR123" i="1" s="1"/>
  <c r="CQ123" i="1"/>
  <c r="DP106" i="1" a="1"/>
  <c r="DP106" i="1" s="1"/>
  <c r="CO106" i="1"/>
  <c r="CP114" i="1"/>
  <c r="DQ114" i="1" a="1"/>
  <c r="DQ114" i="1" s="1"/>
  <c r="DQ135" i="1" a="1"/>
  <c r="DQ135" i="1" s="1"/>
  <c r="CP135" i="1"/>
  <c r="DS103" i="1" a="1"/>
  <c r="DS103" i="1" s="1"/>
  <c r="CR103" i="1"/>
  <c r="CN138" i="1"/>
  <c r="DO138" i="1" a="1"/>
  <c r="DO138" i="1" s="1"/>
  <c r="DB91" i="1" a="1"/>
  <c r="DB91" i="1" s="1"/>
  <c r="DA94" i="1" a="1"/>
  <c r="DA94" i="1" s="1"/>
  <c r="CT127" i="1" a="1"/>
  <c r="CT127" i="1" s="1"/>
  <c r="CU127" i="1" s="1"/>
  <c r="AL150" i="1"/>
  <c r="CT181" i="1" a="1"/>
  <c r="CT181" i="1" s="1"/>
  <c r="CU181" i="1" s="1"/>
  <c r="CW175" i="1" a="1"/>
  <c r="CW175" i="1" s="1"/>
  <c r="CX175" i="1" s="1"/>
  <c r="AL222" i="1"/>
  <c r="AL242" i="1"/>
  <c r="CZ268" i="1" a="1"/>
  <c r="CZ268" i="1" s="1"/>
  <c r="DA255" i="1" a="1"/>
  <c r="DA255" i="1" s="1"/>
  <c r="AL260" i="1"/>
  <c r="DA299" i="1" a="1"/>
  <c r="DA299" i="1" s="1"/>
  <c r="DR90" i="1" a="1"/>
  <c r="DR90" i="1" s="1"/>
  <c r="CQ90" i="1"/>
  <c r="CQ133" i="1"/>
  <c r="DR133" i="1" a="1"/>
  <c r="DR133" i="1" s="1"/>
  <c r="DR117" i="1" a="1"/>
  <c r="DR117" i="1" s="1"/>
  <c r="CQ117" i="1"/>
  <c r="DQ103" i="1" a="1"/>
  <c r="DQ103" i="1" s="1"/>
  <c r="CP103" i="1"/>
  <c r="AL141" i="1"/>
  <c r="CP132" i="1"/>
  <c r="DQ132" i="1" a="1"/>
  <c r="DQ132" i="1" s="1"/>
  <c r="AL134" i="1"/>
  <c r="DS102" i="1" a="1"/>
  <c r="DS102" i="1" s="1"/>
  <c r="CR102" i="1"/>
  <c r="CR105" i="1"/>
  <c r="DS105" i="1" a="1"/>
  <c r="DS105" i="1" s="1"/>
  <c r="CU55" i="1"/>
  <c r="CU68" i="1"/>
  <c r="CU77" i="1"/>
  <c r="DB90" i="1" a="1"/>
  <c r="DB90" i="1" s="1"/>
  <c r="CW90" i="1" a="1"/>
  <c r="CW90" i="1" s="1"/>
  <c r="CX90" i="1" s="1"/>
  <c r="CZ90" i="1" a="1"/>
  <c r="CZ90" i="1" s="1"/>
  <c r="DO90" i="1" a="1"/>
  <c r="DO90" i="1" s="1"/>
  <c r="DA90" i="1" a="1"/>
  <c r="DA90" i="1" s="1"/>
  <c r="CN90" i="1"/>
  <c r="CT90" i="1" a="1"/>
  <c r="CT90" i="1" s="1"/>
  <c r="CU90" i="1" s="1"/>
  <c r="Q97" i="1"/>
  <c r="DB98" i="1" a="1"/>
  <c r="DB98" i="1" s="1"/>
  <c r="CZ98" i="1" a="1"/>
  <c r="CZ98" i="1" s="1"/>
  <c r="DO98" i="1" a="1"/>
  <c r="DO98" i="1" s="1"/>
  <c r="DA98" i="1" a="1"/>
  <c r="DA98" i="1" s="1"/>
  <c r="CN98" i="1"/>
  <c r="CW98" i="1" a="1"/>
  <c r="CW98" i="1" s="1"/>
  <c r="CX98" i="1" s="1"/>
  <c r="CT98" i="1" a="1"/>
  <c r="CT98" i="1" s="1"/>
  <c r="CU98" i="1" s="1"/>
  <c r="DR95" i="1" a="1"/>
  <c r="DR95" i="1" s="1"/>
  <c r="CQ95" i="1"/>
  <c r="Q96" i="1"/>
  <c r="Q99" i="1"/>
  <c r="DS99" i="1" a="1"/>
  <c r="DS99" i="1" s="1"/>
  <c r="CR99" i="1"/>
  <c r="CO92" i="1"/>
  <c r="DP92" i="1" a="1"/>
  <c r="DP92" i="1" s="1"/>
  <c r="DB95" i="1" a="1"/>
  <c r="DB95" i="1" s="1"/>
  <c r="CN95" i="1"/>
  <c r="CW95" i="1" a="1"/>
  <c r="CW95" i="1" s="1"/>
  <c r="CX95" i="1" s="1"/>
  <c r="CZ95" i="1" a="1"/>
  <c r="CZ95" i="1" s="1"/>
  <c r="DO95" i="1" a="1"/>
  <c r="DO95" i="1" s="1"/>
  <c r="CT95" i="1" a="1"/>
  <c r="CT95" i="1" s="1"/>
  <c r="CU95" i="1" s="1"/>
  <c r="DA95" i="1" a="1"/>
  <c r="DA95" i="1" s="1"/>
  <c r="Q93" i="1"/>
  <c r="CU272" i="1"/>
  <c r="DQ90" i="1" a="1"/>
  <c r="DQ90" i="1" s="1"/>
  <c r="CP90" i="1"/>
  <c r="CR100" i="1"/>
  <c r="DS100" i="1" a="1"/>
  <c r="DS100" i="1" s="1"/>
  <c r="CO90" i="1"/>
  <c r="DP90" i="1" a="1"/>
  <c r="DP90" i="1" s="1"/>
  <c r="Q92" i="1"/>
  <c r="Q95" i="1"/>
  <c r="CU132" i="1"/>
  <c r="CU138" i="1"/>
  <c r="CU284" i="1"/>
  <c r="CU37" i="1"/>
  <c r="CU78" i="1"/>
  <c r="DB106" i="1" a="1"/>
  <c r="DB106" i="1" s="1"/>
  <c r="CN106" i="1"/>
  <c r="CW106" i="1" a="1"/>
  <c r="CW106" i="1" s="1"/>
  <c r="CX106" i="1" s="1"/>
  <c r="CZ106" i="1" a="1"/>
  <c r="CZ106" i="1" s="1"/>
  <c r="DO106" i="1" a="1"/>
  <c r="DO106" i="1" s="1"/>
  <c r="DA106" i="1" a="1"/>
  <c r="DA106" i="1" s="1"/>
  <c r="CT106" i="1" a="1"/>
  <c r="CT106" i="1" s="1"/>
  <c r="CU106" i="1" s="1"/>
  <c r="CU58" i="1"/>
  <c r="DP107" i="1" a="1"/>
  <c r="DP107" i="1" s="1"/>
  <c r="CO107" i="1"/>
  <c r="Q100" i="1"/>
  <c r="DB100" i="1" a="1"/>
  <c r="DB100" i="1" s="1"/>
  <c r="DO100" i="1" a="1"/>
  <c r="DO100" i="1" s="1"/>
  <c r="CN100" i="1"/>
  <c r="CZ100" i="1" a="1"/>
  <c r="CZ100" i="1" s="1"/>
  <c r="DA100" i="1" a="1"/>
  <c r="DA100" i="1" s="1"/>
  <c r="CW100" i="1" a="1"/>
  <c r="CW100" i="1" s="1"/>
  <c r="CX100" i="1" s="1"/>
  <c r="CT100" i="1" a="1"/>
  <c r="CT100" i="1" s="1"/>
  <c r="CU100" i="1" s="1"/>
  <c r="CN109" i="1"/>
  <c r="CW109" i="1" a="1"/>
  <c r="CW109" i="1" s="1"/>
  <c r="CX109" i="1" s="1"/>
  <c r="DO109" i="1" a="1"/>
  <c r="DO109" i="1" s="1"/>
  <c r="CZ109" i="1" a="1"/>
  <c r="CZ109" i="1" s="1"/>
  <c r="CT109" i="1" a="1"/>
  <c r="CT109" i="1" s="1"/>
  <c r="CU109" i="1" s="1"/>
  <c r="DB109" i="1" a="1"/>
  <c r="DB109" i="1" s="1"/>
  <c r="DA109" i="1" a="1"/>
  <c r="DA109" i="1" s="1"/>
  <c r="Q102" i="1"/>
  <c r="CU21" i="1"/>
  <c r="CU81" i="1"/>
  <c r="DR99" i="1" a="1"/>
  <c r="DR99" i="1" s="1"/>
  <c r="CQ99" i="1"/>
  <c r="DP108" i="1" a="1"/>
  <c r="DP108" i="1" s="1"/>
  <c r="CO108" i="1"/>
  <c r="DR97" i="1" a="1"/>
  <c r="DR97" i="1" s="1"/>
  <c r="CQ97" i="1"/>
  <c r="DS97" i="1" a="1"/>
  <c r="DS97" i="1" s="1"/>
  <c r="CR97" i="1"/>
  <c r="Q98" i="1"/>
  <c r="CU69" i="1"/>
  <c r="CQ92" i="1"/>
  <c r="DR92" i="1" a="1"/>
  <c r="DR92" i="1" s="1"/>
  <c r="CR93" i="1"/>
  <c r="DS93" i="1" a="1"/>
  <c r="DS93" i="1" s="1"/>
  <c r="CT93" i="1" a="1"/>
  <c r="CT93" i="1" s="1"/>
  <c r="CU93" i="1" s="1"/>
  <c r="CU19" i="1"/>
  <c r="CU73" i="1"/>
  <c r="CU32" i="1"/>
  <c r="CU88" i="1"/>
  <c r="CW93" i="1" a="1"/>
  <c r="CW93" i="1" s="1"/>
  <c r="CX93" i="1" s="1"/>
  <c r="DR91" i="1" a="1"/>
  <c r="DR91" i="1" s="1"/>
  <c r="CQ91" i="1"/>
  <c r="DP93" i="1" a="1"/>
  <c r="DP93" i="1" s="1"/>
  <c r="CO93" i="1"/>
  <c r="CP91" i="1"/>
  <c r="DQ91" i="1" a="1"/>
  <c r="DQ91" i="1" s="1"/>
  <c r="Q90" i="1"/>
  <c r="CQ93" i="1"/>
  <c r="DR93" i="1" a="1"/>
  <c r="DR93" i="1" s="1"/>
  <c r="AL93" i="1"/>
  <c r="CW94" i="1" a="1"/>
  <c r="CW94" i="1" s="1"/>
  <c r="CX94" i="1" s="1"/>
  <c r="CP94" i="1"/>
  <c r="DQ94" i="1" a="1"/>
  <c r="DQ94" i="1" s="1"/>
  <c r="CT105" i="1" a="1"/>
  <c r="CT105" i="1" s="1"/>
  <c r="CU105" i="1" s="1"/>
  <c r="DA105" i="1" a="1"/>
  <c r="DA105" i="1" s="1"/>
  <c r="DB105" i="1" a="1"/>
  <c r="DB105" i="1" s="1"/>
  <c r="CN105" i="1"/>
  <c r="CW105" i="1" a="1"/>
  <c r="CW105" i="1" s="1"/>
  <c r="CX105" i="1" s="1"/>
  <c r="CZ105" i="1" a="1"/>
  <c r="CZ105" i="1" s="1"/>
  <c r="DO105" i="1" a="1"/>
  <c r="DO105" i="1" s="1"/>
  <c r="DQ108" i="1" a="1"/>
  <c r="DQ108" i="1" s="1"/>
  <c r="CP108" i="1"/>
  <c r="DQ112" i="1" a="1"/>
  <c r="DQ112" i="1" s="1"/>
  <c r="CP112" i="1"/>
  <c r="DR98" i="1" a="1"/>
  <c r="DR98" i="1" s="1"/>
  <c r="CQ98" i="1"/>
  <c r="AL109" i="1"/>
  <c r="AL92" i="1"/>
  <c r="CO101" i="1"/>
  <c r="DP101" i="1" a="1"/>
  <c r="DP101" i="1" s="1"/>
  <c r="CO111" i="1"/>
  <c r="DP111" i="1" a="1"/>
  <c r="DP111" i="1" s="1"/>
  <c r="DB111" i="1" a="1"/>
  <c r="DB111" i="1" s="1"/>
  <c r="CW111" i="1" a="1"/>
  <c r="CW111" i="1" s="1"/>
  <c r="CX111" i="1" s="1"/>
  <c r="CP126" i="1"/>
  <c r="DQ126" i="1" a="1"/>
  <c r="DQ126" i="1" s="1"/>
  <c r="Q112" i="1"/>
  <c r="DB115" i="1" a="1"/>
  <c r="DB115" i="1" s="1"/>
  <c r="Q123" i="1"/>
  <c r="Q108" i="1"/>
  <c r="CR124" i="1"/>
  <c r="DS124" i="1" a="1"/>
  <c r="DS124" i="1" s="1"/>
  <c r="DS127" i="1" a="1"/>
  <c r="DS127" i="1" s="1"/>
  <c r="CR127" i="1"/>
  <c r="CZ137" i="1" a="1"/>
  <c r="CZ137" i="1" s="1"/>
  <c r="DP137" i="1" a="1"/>
  <c r="DP137" i="1" s="1"/>
  <c r="CO137" i="1"/>
  <c r="CW137" i="1" a="1"/>
  <c r="CW137" i="1" s="1"/>
  <c r="CX137" i="1" s="1"/>
  <c r="CZ139" i="1" a="1"/>
  <c r="CZ139" i="1" s="1"/>
  <c r="DP139" i="1" a="1"/>
  <c r="DP139" i="1" s="1"/>
  <c r="CO139" i="1"/>
  <c r="CW139" i="1" a="1"/>
  <c r="CW139" i="1" s="1"/>
  <c r="CX139" i="1" s="1"/>
  <c r="DQ128" i="1" a="1"/>
  <c r="DQ128" i="1" s="1"/>
  <c r="CP128" i="1"/>
  <c r="DA132" i="1" a="1"/>
  <c r="DA132" i="1" s="1"/>
  <c r="DA136" i="1" a="1"/>
  <c r="DA136" i="1" s="1"/>
  <c r="DA138" i="1" a="1"/>
  <c r="DA138" i="1" s="1"/>
  <c r="DA140" i="1" a="1"/>
  <c r="DA140" i="1" s="1"/>
  <c r="AL103" i="1"/>
  <c r="CN112" i="1"/>
  <c r="CW112" i="1" a="1"/>
  <c r="CW112" i="1" s="1"/>
  <c r="CX112" i="1" s="1"/>
  <c r="DA112" i="1" a="1"/>
  <c r="DA112" i="1" s="1"/>
  <c r="CT112" i="1" a="1"/>
  <c r="CT112" i="1" s="1"/>
  <c r="CU112" i="1" s="1"/>
  <c r="DB112" i="1" a="1"/>
  <c r="DB112" i="1" s="1"/>
  <c r="CZ112" i="1" a="1"/>
  <c r="CZ112" i="1" s="1"/>
  <c r="DO112" i="1" a="1"/>
  <c r="DO112" i="1" s="1"/>
  <c r="DA125" i="1" a="1"/>
  <c r="DA125" i="1" s="1"/>
  <c r="CT129" i="1" a="1"/>
  <c r="CT129" i="1" s="1"/>
  <c r="CU129" i="1" s="1"/>
  <c r="CN110" i="1"/>
  <c r="CW110" i="1" a="1"/>
  <c r="CW110" i="1" s="1"/>
  <c r="CX110" i="1" s="1"/>
  <c r="CT110" i="1" a="1"/>
  <c r="CT110" i="1" s="1"/>
  <c r="CU110" i="1" s="1"/>
  <c r="DB110" i="1" a="1"/>
  <c r="DB110" i="1" s="1"/>
  <c r="DO110" i="1" a="1"/>
  <c r="DO110" i="1" s="1"/>
  <c r="CZ110" i="1" a="1"/>
  <c r="CZ110" i="1" s="1"/>
  <c r="DA110" i="1" a="1"/>
  <c r="DA110" i="1" s="1"/>
  <c r="CP131" i="1"/>
  <c r="DQ131" i="1" a="1"/>
  <c r="DQ131" i="1" s="1"/>
  <c r="DB131" i="1" a="1"/>
  <c r="DB131" i="1" s="1"/>
  <c r="DS136" i="1" a="1"/>
  <c r="DS136" i="1" s="1"/>
  <c r="CR136" i="1"/>
  <c r="CT136" i="1" a="1"/>
  <c r="CT136" i="1" s="1"/>
  <c r="CO152" i="1"/>
  <c r="DP152" i="1" a="1"/>
  <c r="DP152" i="1" s="1"/>
  <c r="DR131" i="1" a="1"/>
  <c r="DR131" i="1" s="1"/>
  <c r="CQ131" i="1"/>
  <c r="AL147" i="1"/>
  <c r="CT141" i="1" a="1"/>
  <c r="CT141" i="1" s="1"/>
  <c r="CU141" i="1" s="1"/>
  <c r="DP148" i="1" a="1"/>
  <c r="DP148" i="1" s="1"/>
  <c r="CO148" i="1"/>
  <c r="CT135" i="1" a="1"/>
  <c r="CT135" i="1" s="1"/>
  <c r="DB127" i="1" a="1"/>
  <c r="DB127" i="1" s="1"/>
  <c r="CR130" i="1"/>
  <c r="DS130" i="1" a="1"/>
  <c r="DS130" i="1" s="1"/>
  <c r="CT155" i="1" a="1"/>
  <c r="CT155" i="1" s="1"/>
  <c r="CU155" i="1" s="1"/>
  <c r="DA155" i="1" a="1"/>
  <c r="DA155" i="1" s="1"/>
  <c r="CW155" i="1" a="1"/>
  <c r="CW155" i="1" s="1"/>
  <c r="CX155" i="1" s="1"/>
  <c r="CN155" i="1"/>
  <c r="CZ155" i="1" a="1"/>
  <c r="CZ155" i="1" s="1"/>
  <c r="DB155" i="1" a="1"/>
  <c r="DB155" i="1" s="1"/>
  <c r="CR128" i="1"/>
  <c r="DS128" i="1" a="1"/>
  <c r="DS128" i="1" s="1"/>
  <c r="CQ151" i="1"/>
  <c r="DR151" i="1" a="1"/>
  <c r="DR151" i="1" s="1"/>
  <c r="Q160" i="1"/>
  <c r="Q154" i="1"/>
  <c r="CW148" i="1" a="1"/>
  <c r="CW148" i="1" s="1"/>
  <c r="CX148" i="1" s="1"/>
  <c r="CT168" i="1" a="1"/>
  <c r="CT168" i="1" s="1"/>
  <c r="CU168" i="1" s="1"/>
  <c r="Q164" i="1"/>
  <c r="DA169" i="1" a="1"/>
  <c r="DA169" i="1" s="1"/>
  <c r="Q169" i="1"/>
  <c r="Q177" i="1"/>
  <c r="CZ163" i="1" a="1"/>
  <c r="CZ163" i="1" s="1"/>
  <c r="CT163" i="1" a="1"/>
  <c r="CT163" i="1" s="1"/>
  <c r="CU163" i="1" s="1"/>
  <c r="DA163" i="1" a="1"/>
  <c r="DA163" i="1" s="1"/>
  <c r="DB163" i="1" a="1"/>
  <c r="DB163" i="1" s="1"/>
  <c r="CN163" i="1"/>
  <c r="CW163" i="1" a="1"/>
  <c r="CW163" i="1" s="1"/>
  <c r="CX163" i="1" s="1"/>
  <c r="Q194" i="1"/>
  <c r="DB158" i="1" a="1"/>
  <c r="DB158" i="1" s="1"/>
  <c r="CN158" i="1"/>
  <c r="CW158" i="1" a="1"/>
  <c r="CW158" i="1" s="1"/>
  <c r="CX158" i="1" s="1"/>
  <c r="CZ158" i="1" a="1"/>
  <c r="CZ158" i="1" s="1"/>
  <c r="CT158" i="1" a="1"/>
  <c r="CT158" i="1" s="1"/>
  <c r="CU158" i="1" s="1"/>
  <c r="DA158" i="1" a="1"/>
  <c r="DA158" i="1" s="1"/>
  <c r="DB166" i="1" a="1"/>
  <c r="DB166" i="1" s="1"/>
  <c r="CZ166" i="1" a="1"/>
  <c r="CZ166" i="1" s="1"/>
  <c r="CT166" i="1" a="1"/>
  <c r="CT166" i="1" s="1"/>
  <c r="CU166" i="1" s="1"/>
  <c r="DA166" i="1" a="1"/>
  <c r="DA166" i="1" s="1"/>
  <c r="CW166" i="1" a="1"/>
  <c r="CW166" i="1" s="1"/>
  <c r="CX166" i="1" s="1"/>
  <c r="CN166" i="1"/>
  <c r="CT171" i="1" a="1"/>
  <c r="CT171" i="1" s="1"/>
  <c r="CU171" i="1" s="1"/>
  <c r="Q165" i="1"/>
  <c r="AL176" i="1"/>
  <c r="CW189" i="1" a="1"/>
  <c r="CW189" i="1" s="1"/>
  <c r="CX189" i="1" s="1"/>
  <c r="CZ209" i="1" a="1"/>
  <c r="CZ209" i="1" s="1"/>
  <c r="CT209" i="1" a="1"/>
  <c r="CT209" i="1" s="1"/>
  <c r="CU209" i="1" s="1"/>
  <c r="DA209" i="1" a="1"/>
  <c r="DA209" i="1" s="1"/>
  <c r="DB209" i="1" a="1"/>
  <c r="DB209" i="1" s="1"/>
  <c r="CN209" i="1"/>
  <c r="CW209" i="1" a="1"/>
  <c r="CW209" i="1" s="1"/>
  <c r="CX209" i="1" s="1"/>
  <c r="DB211" i="1" a="1"/>
  <c r="DB211" i="1" s="1"/>
  <c r="CN211" i="1"/>
  <c r="CW211" i="1" a="1"/>
  <c r="CW211" i="1" s="1"/>
  <c r="CX211" i="1" s="1"/>
  <c r="CZ211" i="1" a="1"/>
  <c r="CZ211" i="1" s="1"/>
  <c r="CT211" i="1" a="1"/>
  <c r="CT211" i="1" s="1"/>
  <c r="CU211" i="1" s="1"/>
  <c r="DA211" i="1" a="1"/>
  <c r="DA211" i="1" s="1"/>
  <c r="CZ227" i="1" a="1"/>
  <c r="CZ227" i="1" s="1"/>
  <c r="DA227" i="1" a="1"/>
  <c r="DA227" i="1" s="1"/>
  <c r="CT227" i="1" a="1"/>
  <c r="CT227" i="1" s="1"/>
  <c r="CU227" i="1" s="1"/>
  <c r="DB227" i="1" a="1"/>
  <c r="DB227" i="1" s="1"/>
  <c r="CN227" i="1"/>
  <c r="CW227" i="1" a="1"/>
  <c r="CW227" i="1" s="1"/>
  <c r="CX227" i="1" s="1"/>
  <c r="Q198" i="1"/>
  <c r="Q197" i="1"/>
  <c r="CZ199" i="1" a="1"/>
  <c r="CZ199" i="1" s="1"/>
  <c r="CN199" i="1"/>
  <c r="DA199" i="1" a="1"/>
  <c r="DA199" i="1" s="1"/>
  <c r="DB199" i="1" a="1"/>
  <c r="DB199" i="1" s="1"/>
  <c r="CT199" i="1" a="1"/>
  <c r="CT199" i="1" s="1"/>
  <c r="CU199" i="1" s="1"/>
  <c r="CW199" i="1" a="1"/>
  <c r="CW199" i="1" s="1"/>
  <c r="CX199" i="1" s="1"/>
  <c r="Q221" i="1"/>
  <c r="CZ220" i="1" a="1"/>
  <c r="CZ220" i="1" s="1"/>
  <c r="CT220" i="1" a="1"/>
  <c r="CT220" i="1" s="1"/>
  <c r="CU220" i="1" s="1"/>
  <c r="DA220" i="1" a="1"/>
  <c r="DA220" i="1" s="1"/>
  <c r="DB220" i="1" a="1"/>
  <c r="DB220" i="1" s="1"/>
  <c r="CN220" i="1"/>
  <c r="CW220" i="1" a="1"/>
  <c r="CW220" i="1" s="1"/>
  <c r="CX220" i="1" s="1"/>
  <c r="AL205" i="1"/>
  <c r="DA210" i="1" a="1"/>
  <c r="DA210" i="1" s="1"/>
  <c r="AL226" i="1"/>
  <c r="Q218" i="1"/>
  <c r="CO234" i="1"/>
  <c r="CZ234" i="1" a="1"/>
  <c r="CZ234" i="1" s="1"/>
  <c r="CT234" i="1" a="1"/>
  <c r="CT234" i="1" s="1"/>
  <c r="CU234" i="1" s="1"/>
  <c r="DA234" i="1" a="1"/>
  <c r="DA234" i="1" s="1"/>
  <c r="DB246" i="1" a="1"/>
  <c r="DB246" i="1" s="1"/>
  <c r="CT246" i="1" a="1"/>
  <c r="CT246" i="1" s="1"/>
  <c r="CU246" i="1" s="1"/>
  <c r="CW246" i="1" a="1"/>
  <c r="CW246" i="1" s="1"/>
  <c r="CX246" i="1" s="1"/>
  <c r="CN246" i="1"/>
  <c r="CZ246" i="1" a="1"/>
  <c r="CZ246" i="1" s="1"/>
  <c r="DA246" i="1" a="1"/>
  <c r="DA246" i="1" s="1"/>
  <c r="DA228" i="1" a="1"/>
  <c r="DA228" i="1" s="1"/>
  <c r="Q251" i="1"/>
  <c r="CN257" i="1"/>
  <c r="CW257" i="1" a="1"/>
  <c r="CW257" i="1" s="1"/>
  <c r="CX257" i="1" s="1"/>
  <c r="CZ257" i="1" a="1"/>
  <c r="CZ257" i="1" s="1"/>
  <c r="DA257" i="1" a="1"/>
  <c r="DA257" i="1" s="1"/>
  <c r="DB257" i="1" a="1"/>
  <c r="DB257" i="1" s="1"/>
  <c r="CT257" i="1" a="1"/>
  <c r="CT257" i="1" s="1"/>
  <c r="CU257" i="1" s="1"/>
  <c r="CP229" i="1"/>
  <c r="CT229" i="1" a="1"/>
  <c r="CT229" i="1" s="1"/>
  <c r="CU229" i="1" s="1"/>
  <c r="CZ217" i="1" a="1"/>
  <c r="CZ217" i="1" s="1"/>
  <c r="CT217" i="1" a="1"/>
  <c r="CT217" i="1" s="1"/>
  <c r="CU217" i="1" s="1"/>
  <c r="DA217" i="1" a="1"/>
  <c r="DA217" i="1" s="1"/>
  <c r="DB217" i="1" a="1"/>
  <c r="DB217" i="1" s="1"/>
  <c r="CW217" i="1" a="1"/>
  <c r="CW217" i="1" s="1"/>
  <c r="CX217" i="1" s="1"/>
  <c r="CN217" i="1"/>
  <c r="CT237" i="1" a="1"/>
  <c r="CT237" i="1" s="1"/>
  <c r="CU237" i="1" s="1"/>
  <c r="AL262" i="1"/>
  <c r="DB264" i="1" a="1"/>
  <c r="DB264" i="1" s="1"/>
  <c r="CW264" i="1" a="1"/>
  <c r="CW264" i="1" s="1"/>
  <c r="CX264" i="1" s="1"/>
  <c r="CP264" i="1"/>
  <c r="DA268" i="1" a="1"/>
  <c r="DA268" i="1" s="1"/>
  <c r="CZ275" i="1" a="1"/>
  <c r="CZ275" i="1" s="1"/>
  <c r="CT275" i="1" a="1"/>
  <c r="CT275" i="1" s="1"/>
  <c r="CU275" i="1" s="1"/>
  <c r="DA275" i="1" a="1"/>
  <c r="DA275" i="1" s="1"/>
  <c r="CN275" i="1"/>
  <c r="CW275" i="1" a="1"/>
  <c r="CW275" i="1" s="1"/>
  <c r="CX275" i="1" s="1"/>
  <c r="DB275" i="1" a="1"/>
  <c r="DB275" i="1" s="1"/>
  <c r="DA280" i="1" a="1"/>
  <c r="DA280" i="1" s="1"/>
  <c r="CZ291" i="1" a="1"/>
  <c r="CZ291" i="1" s="1"/>
  <c r="CN291" i="1"/>
  <c r="CW291" i="1" a="1"/>
  <c r="CW291" i="1" s="1"/>
  <c r="CX291" i="1" s="1"/>
  <c r="DA291" i="1" a="1"/>
  <c r="DA291" i="1" s="1"/>
  <c r="DB291" i="1" a="1"/>
  <c r="DB291" i="1" s="1"/>
  <c r="CT291" i="1" a="1"/>
  <c r="CT291" i="1" s="1"/>
  <c r="CU291" i="1" s="1"/>
  <c r="AL255" i="1"/>
  <c r="DB255" i="1" a="1"/>
  <c r="DB255" i="1" s="1"/>
  <c r="AL261" i="1"/>
  <c r="DB266" i="1" a="1"/>
  <c r="DB266" i="1" s="1"/>
  <c r="CN266" i="1"/>
  <c r="CW266" i="1" a="1"/>
  <c r="CW266" i="1" s="1"/>
  <c r="CX266" i="1" s="1"/>
  <c r="CZ266" i="1" a="1"/>
  <c r="CZ266" i="1" s="1"/>
  <c r="CT266" i="1" a="1"/>
  <c r="CT266" i="1" s="1"/>
  <c r="CU266" i="1" s="1"/>
  <c r="DA266" i="1" a="1"/>
  <c r="DA266" i="1" s="1"/>
  <c r="Q253" i="1"/>
  <c r="Q263" i="1"/>
  <c r="CO265" i="1"/>
  <c r="CZ265" i="1" a="1"/>
  <c r="CZ265" i="1" s="1"/>
  <c r="AL297" i="1"/>
  <c r="CZ264" i="1" a="1"/>
  <c r="CZ264" i="1" s="1"/>
  <c r="DA293" i="1" a="1"/>
  <c r="DA293" i="1" s="1"/>
  <c r="CT296" i="1" a="1"/>
  <c r="CT296" i="1" s="1"/>
  <c r="CU296" i="1" s="1"/>
  <c r="DA296" i="1" a="1"/>
  <c r="DA296" i="1" s="1"/>
  <c r="DB296" i="1" a="1"/>
  <c r="DB296" i="1" s="1"/>
  <c r="CW296" i="1" a="1"/>
  <c r="CW296" i="1" s="1"/>
  <c r="CX296" i="1" s="1"/>
  <c r="CN296" i="1"/>
  <c r="CZ296" i="1" a="1"/>
  <c r="CZ296" i="1" s="1"/>
  <c r="AL288" i="1"/>
  <c r="AL290" i="1"/>
  <c r="AL294" i="1"/>
  <c r="DB278" i="1" a="1"/>
  <c r="DB278" i="1" s="1"/>
  <c r="CN278" i="1"/>
  <c r="CW278" i="1" a="1"/>
  <c r="CW278" i="1" s="1"/>
  <c r="CX278" i="1" s="1"/>
  <c r="CZ278" i="1" a="1"/>
  <c r="CZ278" i="1" s="1"/>
  <c r="CT278" i="1" a="1"/>
  <c r="CT278" i="1" s="1"/>
  <c r="CU278" i="1" s="1"/>
  <c r="DA278" i="1" a="1"/>
  <c r="DA278" i="1" s="1"/>
  <c r="Q283" i="1"/>
  <c r="CT289" i="1" a="1"/>
  <c r="CT289" i="1" s="1"/>
  <c r="CU289" i="1" s="1"/>
  <c r="DB286" i="1" a="1"/>
  <c r="DB286" i="1" s="1"/>
  <c r="CW303" i="1" a="1"/>
  <c r="CW303" i="1" s="1"/>
  <c r="CX303" i="1" s="1"/>
  <c r="CZ269" i="1" a="1"/>
  <c r="CZ269" i="1" s="1"/>
  <c r="CZ297" i="1" a="1"/>
  <c r="CZ297" i="1" s="1"/>
  <c r="DS101" i="1" a="1"/>
  <c r="DS101" i="1" s="1"/>
  <c r="CR101" i="1"/>
  <c r="DQ95" i="1" a="1"/>
  <c r="DQ95" i="1" s="1"/>
  <c r="CP95" i="1"/>
  <c r="DP112" i="1" a="1"/>
  <c r="DP112" i="1" s="1"/>
  <c r="CO112" i="1"/>
  <c r="DA101" i="1" a="1"/>
  <c r="DA101" i="1" s="1"/>
  <c r="AL107" i="1"/>
  <c r="DP109" i="1" a="1"/>
  <c r="DP109" i="1" s="1"/>
  <c r="CO109" i="1"/>
  <c r="CZ114" i="1" a="1"/>
  <c r="CZ114" i="1" s="1"/>
  <c r="DP114" i="1" a="1"/>
  <c r="DP114" i="1" s="1"/>
  <c r="CO114" i="1"/>
  <c r="CW114" i="1" a="1"/>
  <c r="CW114" i="1" s="1"/>
  <c r="CX114" i="1" s="1"/>
  <c r="DB114" i="1" a="1"/>
  <c r="DB114" i="1" s="1"/>
  <c r="Q114" i="1"/>
  <c r="CZ122" i="1" a="1"/>
  <c r="CZ122" i="1" s="1"/>
  <c r="DP122" i="1" a="1"/>
  <c r="DP122" i="1" s="1"/>
  <c r="CO122" i="1"/>
  <c r="DB122" i="1" a="1"/>
  <c r="DB122" i="1" s="1"/>
  <c r="CW122" i="1" a="1"/>
  <c r="CW122" i="1" s="1"/>
  <c r="CX122" i="1" s="1"/>
  <c r="DP124" i="1" a="1"/>
  <c r="DP124" i="1" s="1"/>
  <c r="CO124" i="1"/>
  <c r="DB124" i="1" a="1"/>
  <c r="DB124" i="1" s="1"/>
  <c r="CW124" i="1" a="1"/>
  <c r="CW124" i="1" s="1"/>
  <c r="CX124" i="1" s="1"/>
  <c r="CZ124" i="1" a="1"/>
  <c r="CZ124" i="1" s="1"/>
  <c r="AL124" i="1"/>
  <c r="CZ134" i="1" a="1"/>
  <c r="CZ134" i="1" s="1"/>
  <c r="DP134" i="1" a="1"/>
  <c r="DP134" i="1" s="1"/>
  <c r="CW134" i="1" a="1"/>
  <c r="CW134" i="1" s="1"/>
  <c r="CX134" i="1" s="1"/>
  <c r="CO134" i="1"/>
  <c r="CT103" i="1" a="1"/>
  <c r="CT103" i="1" s="1"/>
  <c r="CU103" i="1" s="1"/>
  <c r="DA103" i="1" a="1"/>
  <c r="DA103" i="1" s="1"/>
  <c r="DB103" i="1" a="1"/>
  <c r="DB103" i="1" s="1"/>
  <c r="CN103" i="1"/>
  <c r="CW103" i="1" a="1"/>
  <c r="CW103" i="1" s="1"/>
  <c r="CX103" i="1" s="1"/>
  <c r="CZ103" i="1" a="1"/>
  <c r="CZ103" i="1" s="1"/>
  <c r="DO103" i="1" a="1"/>
  <c r="DO103" i="1" s="1"/>
  <c r="CT125" i="1" a="1"/>
  <c r="CT125" i="1" s="1"/>
  <c r="CU125" i="1" s="1"/>
  <c r="CP130" i="1"/>
  <c r="DQ130" i="1" a="1"/>
  <c r="DQ130" i="1" s="1"/>
  <c r="CW130" i="1" a="1"/>
  <c r="CW130" i="1" s="1"/>
  <c r="CX130" i="1" s="1"/>
  <c r="DP110" i="1" a="1"/>
  <c r="DP110" i="1" s="1"/>
  <c r="CO110" i="1"/>
  <c r="DS133" i="1" a="1"/>
  <c r="DS133" i="1" s="1"/>
  <c r="CR133" i="1"/>
  <c r="CR120" i="1"/>
  <c r="DS120" i="1" a="1"/>
  <c r="DS120" i="1" s="1"/>
  <c r="DA118" i="1" a="1"/>
  <c r="DA118" i="1" s="1"/>
  <c r="CT131" i="1" a="1"/>
  <c r="CT131" i="1" s="1"/>
  <c r="CU131" i="1" s="1"/>
  <c r="DP142" i="1" a="1"/>
  <c r="DP142" i="1" s="1"/>
  <c r="CO142" i="1"/>
  <c r="CO151" i="1"/>
  <c r="DP151" i="1" a="1"/>
  <c r="DP151" i="1" s="1"/>
  <c r="Q142" i="1"/>
  <c r="CR142" i="1"/>
  <c r="DS142" i="1" a="1"/>
  <c r="DS142" i="1" s="1"/>
  <c r="DA142" i="1" a="1"/>
  <c r="DA142" i="1" s="1"/>
  <c r="CR147" i="1"/>
  <c r="DS147" i="1" a="1"/>
  <c r="DS147" i="1" s="1"/>
  <c r="CR152" i="1"/>
  <c r="DS152" i="1" a="1"/>
  <c r="DS152" i="1" s="1"/>
  <c r="CZ160" i="1" a="1"/>
  <c r="CZ160" i="1" s="1"/>
  <c r="CT160" i="1" a="1"/>
  <c r="CT160" i="1" s="1"/>
  <c r="CU160" i="1" s="1"/>
  <c r="DA160" i="1" a="1"/>
  <c r="DA160" i="1" s="1"/>
  <c r="DB160" i="1" a="1"/>
  <c r="DB160" i="1" s="1"/>
  <c r="CN160" i="1"/>
  <c r="CW160" i="1" a="1"/>
  <c r="CW160" i="1" s="1"/>
  <c r="CX160" i="1" s="1"/>
  <c r="CR148" i="1"/>
  <c r="DS148" i="1" a="1"/>
  <c r="DS148" i="1" s="1"/>
  <c r="CQ150" i="1"/>
  <c r="DR150" i="1" a="1"/>
  <c r="DR150" i="1" s="1"/>
  <c r="DA148" i="1" a="1"/>
  <c r="DA148" i="1" s="1"/>
  <c r="CZ169" i="1" a="1"/>
  <c r="CZ169" i="1" s="1"/>
  <c r="CO169" i="1"/>
  <c r="CW169" i="1" a="1"/>
  <c r="CW169" i="1" s="1"/>
  <c r="CX169" i="1" s="1"/>
  <c r="DB169" i="1" a="1"/>
  <c r="DB169" i="1" s="1"/>
  <c r="DA177" i="1" a="1"/>
  <c r="DA177" i="1" s="1"/>
  <c r="Q163" i="1"/>
  <c r="CZ194" i="1" a="1"/>
  <c r="CZ194" i="1" s="1"/>
  <c r="DA194" i="1" a="1"/>
  <c r="DA194" i="1" s="1"/>
  <c r="DB194" i="1" a="1"/>
  <c r="DB194" i="1" s="1"/>
  <c r="CT194" i="1" a="1"/>
  <c r="CT194" i="1" s="1"/>
  <c r="CU194" i="1" s="1"/>
  <c r="CW194" i="1" a="1"/>
  <c r="CW194" i="1" s="1"/>
  <c r="CX194" i="1" s="1"/>
  <c r="CN194" i="1"/>
  <c r="Q168" i="1"/>
  <c r="CW171" i="1" a="1"/>
  <c r="CW171" i="1" s="1"/>
  <c r="CX171" i="1" s="1"/>
  <c r="AL175" i="1"/>
  <c r="DB183" i="1" a="1"/>
  <c r="DB183" i="1" s="1"/>
  <c r="CN183" i="1"/>
  <c r="CW183" i="1" a="1"/>
  <c r="CW183" i="1" s="1"/>
  <c r="CX183" i="1" s="1"/>
  <c r="CT183" i="1" a="1"/>
  <c r="CT183" i="1" s="1"/>
  <c r="CU183" i="1" s="1"/>
  <c r="DA183" i="1" a="1"/>
  <c r="DA183" i="1" s="1"/>
  <c r="CZ183" i="1" a="1"/>
  <c r="CZ183" i="1" s="1"/>
  <c r="Q187" i="1"/>
  <c r="Q192" i="1"/>
  <c r="Q201" i="1"/>
  <c r="CZ208" i="1" a="1"/>
  <c r="CZ208" i="1" s="1"/>
  <c r="CT208" i="1" a="1"/>
  <c r="CT208" i="1" s="1"/>
  <c r="CU208" i="1" s="1"/>
  <c r="DA208" i="1" a="1"/>
  <c r="DA208" i="1" s="1"/>
  <c r="CN208" i="1"/>
  <c r="CW208" i="1" a="1"/>
  <c r="CW208" i="1" s="1"/>
  <c r="CX208" i="1" s="1"/>
  <c r="DB208" i="1" a="1"/>
  <c r="DB208" i="1" s="1"/>
  <c r="CZ212" i="1" a="1"/>
  <c r="CZ212" i="1" s="1"/>
  <c r="CT212" i="1" a="1"/>
  <c r="CT212" i="1" s="1"/>
  <c r="CU212" i="1" s="1"/>
  <c r="DA212" i="1" a="1"/>
  <c r="DA212" i="1" s="1"/>
  <c r="CW212" i="1" a="1"/>
  <c r="CW212" i="1" s="1"/>
  <c r="CX212" i="1" s="1"/>
  <c r="DB212" i="1" a="1"/>
  <c r="DB212" i="1" s="1"/>
  <c r="CN212" i="1"/>
  <c r="CW198" i="1" a="1"/>
  <c r="CW198" i="1" s="1"/>
  <c r="CX198" i="1" s="1"/>
  <c r="CN198" i="1"/>
  <c r="DB198" i="1" a="1"/>
  <c r="DB198" i="1" s="1"/>
  <c r="CT198" i="1" a="1"/>
  <c r="CT198" i="1" s="1"/>
  <c r="CU198" i="1" s="1"/>
  <c r="DA198" i="1" a="1"/>
  <c r="DA198" i="1" s="1"/>
  <c r="CZ198" i="1" a="1"/>
  <c r="CZ198" i="1" s="1"/>
  <c r="CZ189" i="1" a="1"/>
  <c r="CZ189" i="1" s="1"/>
  <c r="Q215" i="1"/>
  <c r="DB222" i="1" a="1"/>
  <c r="DB222" i="1" s="1"/>
  <c r="CN222" i="1"/>
  <c r="CW222" i="1" a="1"/>
  <c r="CW222" i="1" s="1"/>
  <c r="CX222" i="1" s="1"/>
  <c r="CZ222" i="1" a="1"/>
  <c r="CZ222" i="1" s="1"/>
  <c r="DA222" i="1" a="1"/>
  <c r="DA222" i="1" s="1"/>
  <c r="CT222" i="1" a="1"/>
  <c r="CT222" i="1" s="1"/>
  <c r="CU222" i="1" s="1"/>
  <c r="CT210" i="1" a="1"/>
  <c r="CT210" i="1" s="1"/>
  <c r="CU210" i="1" s="1"/>
  <c r="Q235" i="1"/>
  <c r="AL207" i="1"/>
  <c r="DB249" i="1" a="1"/>
  <c r="DB249" i="1" s="1"/>
  <c r="CT249" i="1" a="1"/>
  <c r="CT249" i="1" s="1"/>
  <c r="CU249" i="1" s="1"/>
  <c r="DA249" i="1" a="1"/>
  <c r="DA249" i="1" s="1"/>
  <c r="CW249" i="1" a="1"/>
  <c r="CW249" i="1" s="1"/>
  <c r="CX249" i="1" s="1"/>
  <c r="CN249" i="1"/>
  <c r="CZ249" i="1" a="1"/>
  <c r="CZ249" i="1" s="1"/>
  <c r="AL248" i="1"/>
  <c r="CW237" i="1" a="1"/>
  <c r="CW237" i="1" s="1"/>
  <c r="CX237" i="1" s="1"/>
  <c r="AL246" i="1"/>
  <c r="CW225" i="1" a="1"/>
  <c r="CW225" i="1" s="1"/>
  <c r="CX225" i="1" s="1"/>
  <c r="DA261" i="1" a="1"/>
  <c r="DA261" i="1" s="1"/>
  <c r="CW242" i="1" a="1"/>
  <c r="CW242" i="1" s="1"/>
  <c r="CX242" i="1" s="1"/>
  <c r="DB259" i="1" a="1"/>
  <c r="DB259" i="1" s="1"/>
  <c r="CT259" i="1" a="1"/>
  <c r="CT259" i="1" s="1"/>
  <c r="CU259" i="1" s="1"/>
  <c r="CW259" i="1" a="1"/>
  <c r="CW259" i="1" s="1"/>
  <c r="CX259" i="1" s="1"/>
  <c r="CN259" i="1"/>
  <c r="CZ259" i="1" a="1"/>
  <c r="CZ259" i="1" s="1"/>
  <c r="DA259" i="1" a="1"/>
  <c r="DA259" i="1" s="1"/>
  <c r="Q269" i="1"/>
  <c r="DB284" i="1" a="1"/>
  <c r="DB284" i="1" s="1"/>
  <c r="CP284" i="1"/>
  <c r="CW284" i="1" a="1"/>
  <c r="CW284" i="1" s="1"/>
  <c r="CX284" i="1" s="1"/>
  <c r="Q275" i="1"/>
  <c r="Q260" i="1"/>
  <c r="Q266" i="1"/>
  <c r="CZ277" i="1" a="1"/>
  <c r="CZ277" i="1" s="1"/>
  <c r="CT285" i="1" a="1"/>
  <c r="CT285" i="1" s="1"/>
  <c r="CU285" i="1" s="1"/>
  <c r="DA285" i="1" a="1"/>
  <c r="DA285" i="1" s="1"/>
  <c r="DB285" i="1" a="1"/>
  <c r="DB285" i="1" s="1"/>
  <c r="CZ285" i="1" a="1"/>
  <c r="CZ285" i="1" s="1"/>
  <c r="CN285" i="1"/>
  <c r="CW285" i="1" a="1"/>
  <c r="CW285" i="1" s="1"/>
  <c r="CX285" i="1" s="1"/>
  <c r="Q293" i="1"/>
  <c r="DB273" i="1" a="1"/>
  <c r="DB273" i="1" s="1"/>
  <c r="CO281" i="1"/>
  <c r="CZ281" i="1" a="1"/>
  <c r="CZ281" i="1" s="1"/>
  <c r="CT281" i="1" a="1"/>
  <c r="CT281" i="1" s="1"/>
  <c r="CU281" i="1" s="1"/>
  <c r="CT293" i="1" a="1"/>
  <c r="CT293" i="1" s="1"/>
  <c r="CU293" i="1" s="1"/>
  <c r="CP292" i="1"/>
  <c r="CW292" i="1" a="1"/>
  <c r="CW292" i="1" s="1"/>
  <c r="CX292" i="1" s="1"/>
  <c r="CT280" i="1" a="1"/>
  <c r="CT280" i="1" s="1"/>
  <c r="AL272" i="1"/>
  <c r="DB301" i="1" a="1"/>
  <c r="DB301" i="1" s="1"/>
  <c r="CN301" i="1"/>
  <c r="CW301" i="1" a="1"/>
  <c r="CW301" i="1" s="1"/>
  <c r="CX301" i="1" s="1"/>
  <c r="CZ301" i="1" a="1"/>
  <c r="CZ301" i="1" s="1"/>
  <c r="CT301" i="1" a="1"/>
  <c r="CT301" i="1" s="1"/>
  <c r="CU301" i="1" s="1"/>
  <c r="DA301" i="1" a="1"/>
  <c r="DA301" i="1" s="1"/>
  <c r="DB303" i="1" a="1"/>
  <c r="DB303" i="1" s="1"/>
  <c r="AL282" i="1"/>
  <c r="DA119" i="1" a="1"/>
  <c r="DA119" i="1" s="1"/>
  <c r="CT119" i="1" a="1"/>
  <c r="CT119" i="1" s="1"/>
  <c r="CU119" i="1" s="1"/>
  <c r="DB119" i="1" a="1"/>
  <c r="DB119" i="1" s="1"/>
  <c r="CN119" i="1"/>
  <c r="CZ119" i="1" a="1"/>
  <c r="CZ119" i="1" s="1"/>
  <c r="CW119" i="1" a="1"/>
  <c r="CW119" i="1" s="1"/>
  <c r="CX119" i="1" s="1"/>
  <c r="DO119" i="1" a="1"/>
  <c r="DO119" i="1" s="1"/>
  <c r="CP124" i="1"/>
  <c r="DQ124" i="1" a="1"/>
  <c r="DQ124" i="1" s="1"/>
  <c r="Q127" i="1"/>
  <c r="Q111" i="1"/>
  <c r="Q118" i="1"/>
  <c r="CT114" i="1" a="1"/>
  <c r="CT114" i="1" s="1"/>
  <c r="CU114" i="1" s="1"/>
  <c r="CO121" i="1"/>
  <c r="DP121" i="1" a="1"/>
  <c r="DP121" i="1" s="1"/>
  <c r="Q131" i="1"/>
  <c r="DS138" i="1" a="1"/>
  <c r="DS138" i="1" s="1"/>
  <c r="CR138" i="1"/>
  <c r="CP120" i="1"/>
  <c r="DQ120" i="1" a="1"/>
  <c r="DQ120" i="1" s="1"/>
  <c r="CT122" i="1" a="1"/>
  <c r="CT122" i="1" s="1"/>
  <c r="CU122" i="1" s="1"/>
  <c r="DP145" i="1" a="1"/>
  <c r="DP145" i="1" s="1"/>
  <c r="CO145" i="1"/>
  <c r="DB145" i="1" a="1"/>
  <c r="DB145" i="1" s="1"/>
  <c r="CQ120" i="1"/>
  <c r="DR120" i="1" a="1"/>
  <c r="DR120" i="1" s="1"/>
  <c r="CZ118" i="1" a="1"/>
  <c r="CZ118" i="1" s="1"/>
  <c r="DP147" i="1" a="1"/>
  <c r="DP147" i="1" s="1"/>
  <c r="CO147" i="1"/>
  <c r="CW147" i="1" a="1"/>
  <c r="CW147" i="1" s="1"/>
  <c r="CX147" i="1" s="1"/>
  <c r="CR125" i="1"/>
  <c r="DS125" i="1" a="1"/>
  <c r="DS125" i="1" s="1"/>
  <c r="CQ148" i="1"/>
  <c r="DR148" i="1" a="1"/>
  <c r="DR148" i="1" s="1"/>
  <c r="CQ152" i="1"/>
  <c r="DR152" i="1" a="1"/>
  <c r="DR152" i="1" s="1"/>
  <c r="CW145" i="1" a="1"/>
  <c r="CW145" i="1" s="1"/>
  <c r="CX145" i="1" s="1"/>
  <c r="Q130" i="1"/>
  <c r="CZ147" i="1" a="1"/>
  <c r="CZ147" i="1" s="1"/>
  <c r="DB153" i="1" a="1"/>
  <c r="DB153" i="1" s="1"/>
  <c r="CT148" i="1" a="1"/>
  <c r="CT148" i="1" s="1"/>
  <c r="CU148" i="1" s="1"/>
  <c r="CZ167" i="1" a="1"/>
  <c r="CZ167" i="1" s="1"/>
  <c r="CT167" i="1" a="1"/>
  <c r="CT167" i="1" s="1"/>
  <c r="CU167" i="1" s="1"/>
  <c r="DA167" i="1" a="1"/>
  <c r="DA167" i="1" s="1"/>
  <c r="DB167" i="1" a="1"/>
  <c r="DB167" i="1" s="1"/>
  <c r="CW167" i="1" a="1"/>
  <c r="CW167" i="1" s="1"/>
  <c r="CX167" i="1" s="1"/>
  <c r="CN167" i="1"/>
  <c r="Q155" i="1"/>
  <c r="AL180" i="1"/>
  <c r="CT170" i="1" a="1"/>
  <c r="CT170" i="1" s="1"/>
  <c r="CU170" i="1" s="1"/>
  <c r="DA170" i="1" a="1"/>
  <c r="DA170" i="1" s="1"/>
  <c r="DB170" i="1" a="1"/>
  <c r="DB170" i="1" s="1"/>
  <c r="CN170" i="1"/>
  <c r="CW170" i="1" a="1"/>
  <c r="CW170" i="1" s="1"/>
  <c r="CX170" i="1" s="1"/>
  <c r="CZ170" i="1" a="1"/>
  <c r="CZ170" i="1" s="1"/>
  <c r="Q183" i="1"/>
  <c r="Q175" i="1"/>
  <c r="CN204" i="1"/>
  <c r="CZ204" i="1" a="1"/>
  <c r="CZ204" i="1" s="1"/>
  <c r="DA204" i="1" a="1"/>
  <c r="DA204" i="1" s="1"/>
  <c r="CT204" i="1" a="1"/>
  <c r="CT204" i="1" s="1"/>
  <c r="CU204" i="1" s="1"/>
  <c r="CW204" i="1" a="1"/>
  <c r="CW204" i="1" s="1"/>
  <c r="CX204" i="1" s="1"/>
  <c r="DB204" i="1" a="1"/>
  <c r="DB204" i="1" s="1"/>
  <c r="DB189" i="1" a="1"/>
  <c r="DB189" i="1" s="1"/>
  <c r="Q199" i="1"/>
  <c r="CW221" i="1" a="1"/>
  <c r="CW221" i="1" s="1"/>
  <c r="CX221" i="1" s="1"/>
  <c r="Q219" i="1"/>
  <c r="CT205" i="1" a="1"/>
  <c r="CT205" i="1" s="1"/>
  <c r="CU205" i="1" s="1"/>
  <c r="DB205" i="1" a="1"/>
  <c r="DB205" i="1" s="1"/>
  <c r="CW205" i="1" a="1"/>
  <c r="CW205" i="1" s="1"/>
  <c r="CX205" i="1" s="1"/>
  <c r="CN205" i="1"/>
  <c r="DA205" i="1" a="1"/>
  <c r="DA205" i="1" s="1"/>
  <c r="CZ205" i="1" a="1"/>
  <c r="CZ205" i="1" s="1"/>
  <c r="Q212" i="1"/>
  <c r="Q245" i="1"/>
  <c r="CZ251" i="1" a="1"/>
  <c r="CZ251" i="1" s="1"/>
  <c r="CN251" i="1"/>
  <c r="DA251" i="1" a="1"/>
  <c r="DA251" i="1" s="1"/>
  <c r="CT251" i="1" a="1"/>
  <c r="CT251" i="1" s="1"/>
  <c r="CU251" i="1" s="1"/>
  <c r="DB251" i="1" a="1"/>
  <c r="DB251" i="1" s="1"/>
  <c r="CW251" i="1" a="1"/>
  <c r="CW251" i="1" s="1"/>
  <c r="CX251" i="1" s="1"/>
  <c r="Q222" i="1"/>
  <c r="Q232" i="1"/>
  <c r="DB242" i="1" a="1"/>
  <c r="DB242" i="1" s="1"/>
  <c r="Q250" i="1"/>
  <c r="CW229" i="1" a="1"/>
  <c r="CW229" i="1" s="1"/>
  <c r="CX229" i="1" s="1"/>
  <c r="CT248" i="1" a="1"/>
  <c r="CT248" i="1" s="1"/>
  <c r="CU248" i="1" s="1"/>
  <c r="DA248" i="1" a="1"/>
  <c r="DA248" i="1" s="1"/>
  <c r="CZ248" i="1" a="1"/>
  <c r="CZ248" i="1" s="1"/>
  <c r="CW248" i="1" a="1"/>
  <c r="CW248" i="1" s="1"/>
  <c r="CX248" i="1" s="1"/>
  <c r="CN248" i="1"/>
  <c r="DB248" i="1" a="1"/>
  <c r="DB248" i="1" s="1"/>
  <c r="CT240" i="1" a="1"/>
  <c r="CT240" i="1" s="1"/>
  <c r="CU240" i="1" s="1"/>
  <c r="DA240" i="1" a="1"/>
  <c r="DA240" i="1" s="1"/>
  <c r="CN240" i="1"/>
  <c r="CW240" i="1" a="1"/>
  <c r="CW240" i="1" s="1"/>
  <c r="CX240" i="1" s="1"/>
  <c r="CZ240" i="1" a="1"/>
  <c r="CZ240" i="1" s="1"/>
  <c r="DB240" i="1" a="1"/>
  <c r="DB240" i="1" s="1"/>
  <c r="DA225" i="1" a="1"/>
  <c r="DA225" i="1" s="1"/>
  <c r="DB253" i="1" a="1"/>
  <c r="DB253" i="1" s="1"/>
  <c r="CT253" i="1" a="1"/>
  <c r="CT253" i="1" s="1"/>
  <c r="CU253" i="1" s="1"/>
  <c r="DA253" i="1" a="1"/>
  <c r="DA253" i="1" s="1"/>
  <c r="CW253" i="1" a="1"/>
  <c r="CW253" i="1" s="1"/>
  <c r="CX253" i="1" s="1"/>
  <c r="CN253" i="1"/>
  <c r="CZ253" i="1" a="1"/>
  <c r="CZ253" i="1" s="1"/>
  <c r="Q256" i="1"/>
  <c r="CZ271" i="1" a="1"/>
  <c r="CZ271" i="1" s="1"/>
  <c r="CT271" i="1" a="1"/>
  <c r="CT271" i="1" s="1"/>
  <c r="CU271" i="1" s="1"/>
  <c r="DA271" i="1" a="1"/>
  <c r="DA271" i="1" s="1"/>
  <c r="CN271" i="1"/>
  <c r="CW271" i="1" a="1"/>
  <c r="CW271" i="1" s="1"/>
  <c r="CX271" i="1" s="1"/>
  <c r="DB271" i="1" a="1"/>
  <c r="DB271" i="1" s="1"/>
  <c r="CP288" i="1"/>
  <c r="CW288" i="1" a="1"/>
  <c r="CW288" i="1" s="1"/>
  <c r="CX288" i="1" s="1"/>
  <c r="DB288" i="1" a="1"/>
  <c r="DB288" i="1" s="1"/>
  <c r="CZ245" i="1" a="1"/>
  <c r="CZ245" i="1" s="1"/>
  <c r="CQ262" i="1"/>
  <c r="CT262" i="1" a="1"/>
  <c r="CT262" i="1" s="1"/>
  <c r="CU262" i="1" s="1"/>
  <c r="DA262" i="1" a="1"/>
  <c r="DA262" i="1" s="1"/>
  <c r="CT268" i="1" a="1"/>
  <c r="CT268" i="1" s="1"/>
  <c r="Q281" i="1"/>
  <c r="DA273" i="1" a="1"/>
  <c r="DA273" i="1" s="1"/>
  <c r="Q299" i="1"/>
  <c r="CZ288" i="1" a="1"/>
  <c r="CZ288" i="1" s="1"/>
  <c r="Q297" i="1"/>
  <c r="Q298" i="1"/>
  <c r="AL296" i="1"/>
  <c r="CT300" i="1" a="1"/>
  <c r="CT300" i="1" s="1"/>
  <c r="CU300" i="1" s="1"/>
  <c r="DA300" i="1" a="1"/>
  <c r="DA300" i="1" s="1"/>
  <c r="DB300" i="1" a="1"/>
  <c r="DB300" i="1" s="1"/>
  <c r="CN300" i="1"/>
  <c r="CW300" i="1" a="1"/>
  <c r="CW300" i="1" s="1"/>
  <c r="CX300" i="1" s="1"/>
  <c r="CZ300" i="1" a="1"/>
  <c r="CZ300" i="1" s="1"/>
  <c r="DA294" i="1" a="1"/>
  <c r="DA294" i="1" s="1"/>
  <c r="CW297" i="1" a="1"/>
  <c r="CW297" i="1" s="1"/>
  <c r="CX297" i="1" s="1"/>
  <c r="DS98" i="1" a="1"/>
  <c r="DS98" i="1" s="1"/>
  <c r="CR98" i="1"/>
  <c r="CR91" i="1"/>
  <c r="DS91" i="1" a="1"/>
  <c r="DS91" i="1" s="1"/>
  <c r="DR96" i="1" a="1"/>
  <c r="DR96" i="1" s="1"/>
  <c r="CQ96" i="1"/>
  <c r="DB97" i="1" a="1"/>
  <c r="DB97" i="1" s="1"/>
  <c r="CN97" i="1"/>
  <c r="CW97" i="1" a="1"/>
  <c r="CW97" i="1" s="1"/>
  <c r="CX97" i="1" s="1"/>
  <c r="CZ97" i="1" a="1"/>
  <c r="CZ97" i="1" s="1"/>
  <c r="DO97" i="1" a="1"/>
  <c r="DO97" i="1" s="1"/>
  <c r="DA97" i="1" a="1"/>
  <c r="DA97" i="1" s="1"/>
  <c r="CT97" i="1" a="1"/>
  <c r="CT97" i="1" s="1"/>
  <c r="CU97" i="1" s="1"/>
  <c r="DB93" i="1" a="1"/>
  <c r="DB93" i="1" s="1"/>
  <c r="CR104" i="1"/>
  <c r="DS104" i="1" a="1"/>
  <c r="DS104" i="1" s="1"/>
  <c r="Q94" i="1"/>
  <c r="AL100" i="1"/>
  <c r="DB96" i="1" a="1"/>
  <c r="DB96" i="1" s="1"/>
  <c r="CN96" i="1"/>
  <c r="CW96" i="1" a="1"/>
  <c r="CW96" i="1" s="1"/>
  <c r="CX96" i="1" s="1"/>
  <c r="CZ96" i="1" a="1"/>
  <c r="CZ96" i="1" s="1"/>
  <c r="DO96" i="1" a="1"/>
  <c r="DO96" i="1" s="1"/>
  <c r="CT96" i="1" a="1"/>
  <c r="CT96" i="1" s="1"/>
  <c r="CU96" i="1" s="1"/>
  <c r="DA96" i="1" a="1"/>
  <c r="DA96" i="1" s="1"/>
  <c r="DB99" i="1" a="1"/>
  <c r="DB99" i="1" s="1"/>
  <c r="CT99" i="1" a="1"/>
  <c r="CT99" i="1" s="1"/>
  <c r="CU99" i="1" s="1"/>
  <c r="CW99" i="1" a="1"/>
  <c r="CW99" i="1" s="1"/>
  <c r="CX99" i="1" s="1"/>
  <c r="DO99" i="1" a="1"/>
  <c r="DO99" i="1" s="1"/>
  <c r="DA99" i="1" a="1"/>
  <c r="DA99" i="1" s="1"/>
  <c r="CN99" i="1"/>
  <c r="CZ99" i="1" a="1"/>
  <c r="CZ99" i="1" s="1"/>
  <c r="Q105" i="1"/>
  <c r="DQ100" i="1" a="1"/>
  <c r="DQ100" i="1" s="1"/>
  <c r="CP100" i="1"/>
  <c r="CR108" i="1"/>
  <c r="DS108" i="1" a="1"/>
  <c r="DS108" i="1" s="1"/>
  <c r="DR112" i="1" a="1"/>
  <c r="DR112" i="1" s="1"/>
  <c r="CQ112" i="1"/>
  <c r="CQ107" i="1"/>
  <c r="DR107" i="1" a="1"/>
  <c r="DR107" i="1" s="1"/>
  <c r="CR112" i="1"/>
  <c r="DS112" i="1" a="1"/>
  <c r="DS112" i="1" s="1"/>
  <c r="Q117" i="1"/>
  <c r="DR101" i="1" a="1"/>
  <c r="DR101" i="1" s="1"/>
  <c r="CQ101" i="1"/>
  <c r="Q116" i="1"/>
  <c r="Q104" i="1"/>
  <c r="CP113" i="1"/>
  <c r="DQ113" i="1" a="1"/>
  <c r="DQ113" i="1" s="1"/>
  <c r="DP120" i="1" a="1"/>
  <c r="DP120" i="1" s="1"/>
  <c r="CO120" i="1"/>
  <c r="CT120" i="1" a="1"/>
  <c r="CT120" i="1" s="1"/>
  <c r="CU120" i="1" s="1"/>
  <c r="DB120" i="1" a="1"/>
  <c r="DB120" i="1" s="1"/>
  <c r="DA122" i="1" a="1"/>
  <c r="DA122" i="1" s="1"/>
  <c r="DQ102" i="1" a="1"/>
  <c r="DQ102" i="1" s="1"/>
  <c r="CP102" i="1"/>
  <c r="DB108" i="1" a="1"/>
  <c r="DB108" i="1" s="1"/>
  <c r="CN108" i="1"/>
  <c r="CW108" i="1" a="1"/>
  <c r="CW108" i="1" s="1"/>
  <c r="CX108" i="1" s="1"/>
  <c r="DO108" i="1" a="1"/>
  <c r="DO108" i="1" s="1"/>
  <c r="CZ108" i="1" a="1"/>
  <c r="CZ108" i="1" s="1"/>
  <c r="DA108" i="1" a="1"/>
  <c r="DA108" i="1" s="1"/>
  <c r="CT108" i="1" a="1"/>
  <c r="CT108" i="1" s="1"/>
  <c r="CU108" i="1" s="1"/>
  <c r="DA120" i="1" a="1"/>
  <c r="DA120" i="1" s="1"/>
  <c r="CW125" i="1" a="1"/>
  <c r="CW125" i="1" s="1"/>
  <c r="CX125" i="1" s="1"/>
  <c r="CZ133" i="1" a="1"/>
  <c r="CZ133" i="1" s="1"/>
  <c r="DP133" i="1" a="1"/>
  <c r="DP133" i="1" s="1"/>
  <c r="CO133" i="1"/>
  <c r="CW133" i="1" a="1"/>
  <c r="CW133" i="1" s="1"/>
  <c r="CX133" i="1" s="1"/>
  <c r="CZ136" i="1" a="1"/>
  <c r="CZ136" i="1" s="1"/>
  <c r="DP136" i="1" a="1"/>
  <c r="DP136" i="1" s="1"/>
  <c r="CO136" i="1"/>
  <c r="CW136" i="1" a="1"/>
  <c r="CW136" i="1" s="1"/>
  <c r="CX136" i="1" s="1"/>
  <c r="CZ140" i="1" a="1"/>
  <c r="CZ140" i="1" s="1"/>
  <c r="DP140" i="1" a="1"/>
  <c r="DP140" i="1" s="1"/>
  <c r="CO140" i="1"/>
  <c r="CW140" i="1" a="1"/>
  <c r="CW140" i="1" s="1"/>
  <c r="CX140" i="1" s="1"/>
  <c r="DS135" i="1" a="1"/>
  <c r="DS135" i="1" s="1"/>
  <c r="CR135" i="1"/>
  <c r="DB138" i="1" a="1"/>
  <c r="DB138" i="1" s="1"/>
  <c r="DA124" i="1" a="1"/>
  <c r="DA124" i="1" s="1"/>
  <c r="DR142" i="1" a="1"/>
  <c r="DR142" i="1" s="1"/>
  <c r="CQ142" i="1"/>
  <c r="DP143" i="1" a="1"/>
  <c r="DP143" i="1" s="1"/>
  <c r="CO143" i="1"/>
  <c r="CW143" i="1" a="1"/>
  <c r="CW143" i="1" s="1"/>
  <c r="CX143" i="1" s="1"/>
  <c r="CZ143" i="1" a="1"/>
  <c r="CZ143" i="1" s="1"/>
  <c r="DA143" i="1" a="1"/>
  <c r="DA143" i="1" s="1"/>
  <c r="CZ153" i="1" a="1"/>
  <c r="CZ153" i="1" s="1"/>
  <c r="CO153" i="1"/>
  <c r="CT153" i="1" a="1"/>
  <c r="CT153" i="1" s="1"/>
  <c r="CU153" i="1" s="1"/>
  <c r="Q148" i="1"/>
  <c r="DA127" i="1" a="1"/>
  <c r="DA127" i="1" s="1"/>
  <c r="CR151" i="1"/>
  <c r="DS151" i="1" a="1"/>
  <c r="DS151" i="1" s="1"/>
  <c r="CN157" i="1"/>
  <c r="CZ157" i="1" a="1"/>
  <c r="CZ157" i="1" s="1"/>
  <c r="DA157" i="1" a="1"/>
  <c r="DA157" i="1" s="1"/>
  <c r="CT157" i="1" a="1"/>
  <c r="CT157" i="1" s="1"/>
  <c r="DB157" i="1" a="1"/>
  <c r="DB157" i="1" s="1"/>
  <c r="CW157" i="1" a="1"/>
  <c r="CW157" i="1" s="1"/>
  <c r="CX157" i="1" s="1"/>
  <c r="Q147" i="1"/>
  <c r="DR130" i="1" a="1"/>
  <c r="DR130" i="1" s="1"/>
  <c r="CQ130" i="1"/>
  <c r="AL154" i="1"/>
  <c r="CZ149" i="1" a="1"/>
  <c r="CZ149" i="1" s="1"/>
  <c r="AL164" i="1"/>
  <c r="CZ164" i="1" a="1"/>
  <c r="CZ164" i="1" s="1"/>
  <c r="CT164" i="1" a="1"/>
  <c r="CT164" i="1" s="1"/>
  <c r="CU164" i="1" s="1"/>
  <c r="DA164" i="1" a="1"/>
  <c r="DA164" i="1" s="1"/>
  <c r="DB164" i="1" a="1"/>
  <c r="DB164" i="1" s="1"/>
  <c r="CN164" i="1"/>
  <c r="CW164" i="1" a="1"/>
  <c r="CW164" i="1" s="1"/>
  <c r="CX164" i="1" s="1"/>
  <c r="CZ173" i="1" a="1"/>
  <c r="CZ173" i="1" s="1"/>
  <c r="CO173" i="1"/>
  <c r="DB173" i="1" a="1"/>
  <c r="DB173" i="1" s="1"/>
  <c r="CW173" i="1" a="1"/>
  <c r="CW173" i="1" s="1"/>
  <c r="CX173" i="1" s="1"/>
  <c r="CZ185" i="1" a="1"/>
  <c r="CZ185" i="1" s="1"/>
  <c r="CO185" i="1"/>
  <c r="CW185" i="1" a="1"/>
  <c r="CW185" i="1" s="1"/>
  <c r="CX185" i="1" s="1"/>
  <c r="DB185" i="1" a="1"/>
  <c r="DB185" i="1" s="1"/>
  <c r="DA185" i="1" a="1"/>
  <c r="DA185" i="1" s="1"/>
  <c r="CO172" i="1"/>
  <c r="CZ172" i="1" a="1"/>
  <c r="CZ172" i="1" s="1"/>
  <c r="CT172" i="1" a="1"/>
  <c r="CT172" i="1" s="1"/>
  <c r="DA172" i="1" a="1"/>
  <c r="DA172" i="1" s="1"/>
  <c r="CO180" i="1"/>
  <c r="CZ180" i="1" a="1"/>
  <c r="CZ180" i="1" s="1"/>
  <c r="DA180" i="1" a="1"/>
  <c r="DA180" i="1" s="1"/>
  <c r="CT180" i="1" a="1"/>
  <c r="CT180" i="1" s="1"/>
  <c r="CU180" i="1" s="1"/>
  <c r="AL161" i="1"/>
  <c r="Q161" i="1"/>
  <c r="Q178" i="1"/>
  <c r="AL179" i="1"/>
  <c r="CZ171" i="1" a="1"/>
  <c r="CZ171" i="1" s="1"/>
  <c r="Q158" i="1"/>
  <c r="AL172" i="1"/>
  <c r="DB171" i="1" a="1"/>
  <c r="DB171" i="1" s="1"/>
  <c r="Q182" i="1"/>
  <c r="Q186" i="1"/>
  <c r="Q191" i="1"/>
  <c r="CT165" i="1" a="1"/>
  <c r="CT165" i="1" s="1"/>
  <c r="CU165" i="1" s="1"/>
  <c r="DA165" i="1" a="1"/>
  <c r="DA165" i="1" s="1"/>
  <c r="DB165" i="1" a="1"/>
  <c r="DB165" i="1" s="1"/>
  <c r="CZ165" i="1" a="1"/>
  <c r="CZ165" i="1" s="1"/>
  <c r="CN165" i="1"/>
  <c r="CW165" i="1" a="1"/>
  <c r="CW165" i="1" s="1"/>
  <c r="CX165" i="1" s="1"/>
  <c r="AL184" i="1"/>
  <c r="CT174" i="1" a="1"/>
  <c r="CT174" i="1" s="1"/>
  <c r="CU174" i="1" s="1"/>
  <c r="DA174" i="1" a="1"/>
  <c r="DA174" i="1" s="1"/>
  <c r="DB174" i="1" a="1"/>
  <c r="DB174" i="1" s="1"/>
  <c r="CN174" i="1"/>
  <c r="CW174" i="1" a="1"/>
  <c r="CW174" i="1" s="1"/>
  <c r="CX174" i="1" s="1"/>
  <c r="CZ174" i="1" a="1"/>
  <c r="CZ174" i="1" s="1"/>
  <c r="Q188" i="1"/>
  <c r="CN200" i="1"/>
  <c r="CW200" i="1" a="1"/>
  <c r="CW200" i="1" s="1"/>
  <c r="CX200" i="1" s="1"/>
  <c r="CT200" i="1" a="1"/>
  <c r="CT200" i="1" s="1"/>
  <c r="CU200" i="1" s="1"/>
  <c r="DB200" i="1" a="1"/>
  <c r="DB200" i="1" s="1"/>
  <c r="DA200" i="1" a="1"/>
  <c r="DA200" i="1" s="1"/>
  <c r="CZ200" i="1" a="1"/>
  <c r="CZ200" i="1" s="1"/>
  <c r="Q176" i="1"/>
  <c r="CZ223" i="1" a="1"/>
  <c r="CZ223" i="1" s="1"/>
  <c r="CT223" i="1" a="1"/>
  <c r="CT223" i="1" s="1"/>
  <c r="CU223" i="1" s="1"/>
  <c r="CW223" i="1" a="1"/>
  <c r="CW223" i="1" s="1"/>
  <c r="CX223" i="1" s="1"/>
  <c r="DA223" i="1" a="1"/>
  <c r="DA223" i="1" s="1"/>
  <c r="DB223" i="1" a="1"/>
  <c r="DB223" i="1" s="1"/>
  <c r="CN223" i="1"/>
  <c r="AL214" i="1"/>
  <c r="Q216" i="1"/>
  <c r="AL238" i="1"/>
  <c r="DB221" i="1" a="1"/>
  <c r="DB221" i="1" s="1"/>
  <c r="Q239" i="1"/>
  <c r="CN226" i="1"/>
  <c r="CW226" i="1" a="1"/>
  <c r="CW226" i="1" s="1"/>
  <c r="CX226" i="1" s="1"/>
  <c r="CZ226" i="1" a="1"/>
  <c r="CZ226" i="1" s="1"/>
  <c r="CT226" i="1" a="1"/>
  <c r="CT226" i="1" s="1"/>
  <c r="CU226" i="1" s="1"/>
  <c r="DB226" i="1" a="1"/>
  <c r="DB226" i="1" s="1"/>
  <c r="DA226" i="1" a="1"/>
  <c r="DA226" i="1" s="1"/>
  <c r="DA229" i="1" a="1"/>
  <c r="DA229" i="1" s="1"/>
  <c r="CO238" i="1"/>
  <c r="CZ238" i="1" a="1"/>
  <c r="CZ238" i="1" s="1"/>
  <c r="DA238" i="1" a="1"/>
  <c r="DA238" i="1" s="1"/>
  <c r="CT238" i="1" a="1"/>
  <c r="CT238" i="1" s="1"/>
  <c r="CU238" i="1" s="1"/>
  <c r="CT252" i="1" a="1"/>
  <c r="CT252" i="1" s="1"/>
  <c r="CU252" i="1" s="1"/>
  <c r="DA252" i="1" a="1"/>
  <c r="DA252" i="1" s="1"/>
  <c r="CZ252" i="1" a="1"/>
  <c r="CZ252" i="1" s="1"/>
  <c r="CN252" i="1"/>
  <c r="DB252" i="1" a="1"/>
  <c r="DB252" i="1" s="1"/>
  <c r="CW252" i="1" a="1"/>
  <c r="CW252" i="1" s="1"/>
  <c r="CX252" i="1" s="1"/>
  <c r="CT202" i="1" a="1"/>
  <c r="CT202" i="1" s="1"/>
  <c r="CU202" i="1" s="1"/>
  <c r="DB237" i="1" a="1"/>
  <c r="DB237" i="1" s="1"/>
  <c r="CZ225" i="1" a="1"/>
  <c r="CZ225" i="1" s="1"/>
  <c r="CT258" i="1" a="1"/>
  <c r="CT258" i="1" s="1"/>
  <c r="CU258" i="1" s="1"/>
  <c r="DA258" i="1" a="1"/>
  <c r="DA258" i="1" s="1"/>
  <c r="CW258" i="1" a="1"/>
  <c r="CW258" i="1" s="1"/>
  <c r="CX258" i="1" s="1"/>
  <c r="CN258" i="1"/>
  <c r="CZ258" i="1" a="1"/>
  <c r="CZ258" i="1" s="1"/>
  <c r="DB258" i="1" a="1"/>
  <c r="DB258" i="1" s="1"/>
  <c r="AL236" i="1"/>
  <c r="AL274" i="1"/>
  <c r="DB276" i="1" a="1"/>
  <c r="DB276" i="1" s="1"/>
  <c r="CW276" i="1" a="1"/>
  <c r="CW276" i="1" s="1"/>
  <c r="CX276" i="1" s="1"/>
  <c r="CP276" i="1"/>
  <c r="DA288" i="1" a="1"/>
  <c r="DA288" i="1" s="1"/>
  <c r="Q255" i="1"/>
  <c r="Q264" i="1"/>
  <c r="AL247" i="1"/>
  <c r="AL265" i="1"/>
  <c r="AL253" i="1"/>
  <c r="Q267" i="1"/>
  <c r="CO261" i="1"/>
  <c r="CZ261" i="1" a="1"/>
  <c r="CZ261" i="1" s="1"/>
  <c r="CW281" i="1" a="1"/>
  <c r="CW281" i="1" s="1"/>
  <c r="CX281" i="1" s="1"/>
  <c r="CW269" i="1" a="1"/>
  <c r="CW269" i="1" s="1"/>
  <c r="CX269" i="1" s="1"/>
  <c r="CT273" i="1" a="1"/>
  <c r="CT273" i="1" s="1"/>
  <c r="CU273" i="1" s="1"/>
  <c r="Q289" i="1"/>
  <c r="Q291" i="1"/>
  <c r="DB299" i="1" a="1"/>
  <c r="DB299" i="1" s="1"/>
  <c r="DB292" i="1" a="1"/>
  <c r="DB292" i="1" s="1"/>
  <c r="CW277" i="1" a="1"/>
  <c r="CW277" i="1" s="1"/>
  <c r="CX277" i="1" s="1"/>
  <c r="CT299" i="1" a="1"/>
  <c r="CT299" i="1" s="1"/>
  <c r="CU299" i="1" s="1"/>
  <c r="CZ299" i="1" a="1"/>
  <c r="CZ299" i="1" s="1"/>
  <c r="DB297" i="1" a="1"/>
  <c r="DB297" i="1" s="1"/>
  <c r="CO94" i="1"/>
  <c r="DP94" i="1" a="1"/>
  <c r="DP94" i="1" s="1"/>
  <c r="AL95" i="1"/>
  <c r="CZ113" i="1" a="1"/>
  <c r="CZ113" i="1" s="1"/>
  <c r="DP113" i="1" a="1"/>
  <c r="DP113" i="1" s="1"/>
  <c r="CO113" i="1"/>
  <c r="DB113" i="1" a="1"/>
  <c r="DB113" i="1" s="1"/>
  <c r="CW113" i="1" a="1"/>
  <c r="CW113" i="1" s="1"/>
  <c r="CX113" i="1" s="1"/>
  <c r="DQ98" i="1" a="1"/>
  <c r="DQ98" i="1" s="1"/>
  <c r="CP98" i="1"/>
  <c r="DA113" i="1" a="1"/>
  <c r="DA113" i="1" s="1"/>
  <c r="DQ101" i="1" a="1"/>
  <c r="DQ101" i="1" s="1"/>
  <c r="CP101" i="1"/>
  <c r="CR109" i="1"/>
  <c r="DS109" i="1" a="1"/>
  <c r="DS109" i="1" s="1"/>
  <c r="AL106" i="1"/>
  <c r="AL115" i="1"/>
  <c r="Q125" i="1"/>
  <c r="CO102" i="1"/>
  <c r="DP102" i="1" a="1"/>
  <c r="DP102" i="1" s="1"/>
  <c r="CZ115" i="1" a="1"/>
  <c r="CZ115" i="1" s="1"/>
  <c r="Q128" i="1"/>
  <c r="CZ120" i="1" a="1"/>
  <c r="CZ120" i="1" s="1"/>
  <c r="CT128" i="1" a="1"/>
  <c r="CT128" i="1" s="1"/>
  <c r="CU128" i="1" s="1"/>
  <c r="DA128" i="1" a="1"/>
  <c r="DA128" i="1" s="1"/>
  <c r="DB128" i="1" a="1"/>
  <c r="DB128" i="1" s="1"/>
  <c r="CW128" i="1" a="1"/>
  <c r="CW128" i="1" s="1"/>
  <c r="CX128" i="1" s="1"/>
  <c r="CN128" i="1"/>
  <c r="CZ128" i="1" a="1"/>
  <c r="CZ128" i="1" s="1"/>
  <c r="DO128" i="1" a="1"/>
  <c r="DO128" i="1" s="1"/>
  <c r="DA135" i="1" a="1"/>
  <c r="DA135" i="1" s="1"/>
  <c r="CT124" i="1" a="1"/>
  <c r="CT124" i="1" s="1"/>
  <c r="CU124" i="1" s="1"/>
  <c r="DS139" i="1" a="1"/>
  <c r="DS139" i="1" s="1"/>
  <c r="CR139" i="1"/>
  <c r="DS140" i="1" a="1"/>
  <c r="DS140" i="1" s="1"/>
  <c r="CR140" i="1"/>
  <c r="CR141" i="1"/>
  <c r="DS141" i="1" a="1"/>
  <c r="DS141" i="1" s="1"/>
  <c r="CW131" i="1" a="1"/>
  <c r="CW131" i="1" s="1"/>
  <c r="CX131" i="1" s="1"/>
  <c r="DB130" i="1" a="1"/>
  <c r="DB130" i="1" s="1"/>
  <c r="CT137" i="1" a="1"/>
  <c r="CT137" i="1" s="1"/>
  <c r="CT143" i="1" a="1"/>
  <c r="CT143" i="1" s="1"/>
  <c r="CT146" i="1" a="1"/>
  <c r="CT146" i="1" s="1"/>
  <c r="CU146" i="1" s="1"/>
  <c r="DA146" i="1" a="1"/>
  <c r="DA146" i="1" s="1"/>
  <c r="CN146" i="1"/>
  <c r="CZ146" i="1" a="1"/>
  <c r="CZ146" i="1" s="1"/>
  <c r="DB146" i="1" a="1"/>
  <c r="DB146" i="1" s="1"/>
  <c r="CW146" i="1" a="1"/>
  <c r="CW146" i="1" s="1"/>
  <c r="CX146" i="1" s="1"/>
  <c r="DO146" i="1" a="1"/>
  <c r="DO146" i="1" s="1"/>
  <c r="CT133" i="1" a="1"/>
  <c r="CT133" i="1" s="1"/>
  <c r="AL144" i="1"/>
  <c r="CR150" i="1"/>
  <c r="DS150" i="1" a="1"/>
  <c r="DS150" i="1" s="1"/>
  <c r="DA173" i="1" a="1"/>
  <c r="DA173" i="1" s="1"/>
  <c r="Q173" i="1"/>
  <c r="Q181" i="1"/>
  <c r="Q185" i="1"/>
  <c r="DB156" i="1" a="1"/>
  <c r="DB156" i="1" s="1"/>
  <c r="CN156" i="1"/>
  <c r="CW156" i="1" a="1"/>
  <c r="CW156" i="1" s="1"/>
  <c r="CX156" i="1" s="1"/>
  <c r="CT156" i="1" a="1"/>
  <c r="CT156" i="1" s="1"/>
  <c r="CU156" i="1" s="1"/>
  <c r="CZ156" i="1" a="1"/>
  <c r="CZ156" i="1" s="1"/>
  <c r="DA156" i="1" a="1"/>
  <c r="DA156" i="1" s="1"/>
  <c r="Q179" i="1"/>
  <c r="AL188" i="1"/>
  <c r="CN191" i="1"/>
  <c r="CW191" i="1" a="1"/>
  <c r="CW191" i="1" s="1"/>
  <c r="CX191" i="1" s="1"/>
  <c r="CT191" i="1" a="1"/>
  <c r="CT191" i="1" s="1"/>
  <c r="CU191" i="1" s="1"/>
  <c r="DA191" i="1" a="1"/>
  <c r="DA191" i="1" s="1"/>
  <c r="CZ191" i="1" a="1"/>
  <c r="CZ191" i="1" s="1"/>
  <c r="DB191" i="1" a="1"/>
  <c r="DB191" i="1" s="1"/>
  <c r="AL171" i="1"/>
  <c r="AL183" i="1"/>
  <c r="Q189" i="1"/>
  <c r="AL195" i="1"/>
  <c r="Q209" i="1"/>
  <c r="AL206" i="1"/>
  <c r="DA189" i="1" a="1"/>
  <c r="DA189" i="1" s="1"/>
  <c r="Q193" i="1"/>
  <c r="AL220" i="1"/>
  <c r="AL228" i="1"/>
  <c r="AL218" i="1"/>
  <c r="DA221" i="1" a="1"/>
  <c r="DA221" i="1" s="1"/>
  <c r="Q205" i="1"/>
  <c r="Q220" i="1"/>
  <c r="AL210" i="1"/>
  <c r="CZ224" i="1" a="1"/>
  <c r="CZ224" i="1" s="1"/>
  <c r="CT224" i="1" a="1"/>
  <c r="CT224" i="1" s="1"/>
  <c r="CU224" i="1" s="1"/>
  <c r="DA224" i="1" a="1"/>
  <c r="DA224" i="1" s="1"/>
  <c r="DB224" i="1" a="1"/>
  <c r="DB224" i="1" s="1"/>
  <c r="CW224" i="1" a="1"/>
  <c r="CW224" i="1" s="1"/>
  <c r="CX224" i="1" s="1"/>
  <c r="CN224" i="1"/>
  <c r="Q223" i="1"/>
  <c r="Q246" i="1"/>
  <c r="CZ229" i="1" a="1"/>
  <c r="CZ229" i="1" s="1"/>
  <c r="AL256" i="1"/>
  <c r="Q240" i="1"/>
  <c r="DB202" i="1" a="1"/>
  <c r="DB202" i="1" s="1"/>
  <c r="Q211" i="1"/>
  <c r="Q217" i="1"/>
  <c r="Q273" i="1"/>
  <c r="CZ267" i="1" a="1"/>
  <c r="CZ267" i="1" s="1"/>
  <c r="CT267" i="1" a="1"/>
  <c r="CT267" i="1" s="1"/>
  <c r="CU267" i="1" s="1"/>
  <c r="DA267" i="1" a="1"/>
  <c r="DA267" i="1" s="1"/>
  <c r="CN267" i="1"/>
  <c r="CW267" i="1" a="1"/>
  <c r="CW267" i="1" s="1"/>
  <c r="CX267" i="1" s="1"/>
  <c r="DB267" i="1" a="1"/>
  <c r="DB267" i="1" s="1"/>
  <c r="DA276" i="1" a="1"/>
  <c r="DA276" i="1" s="1"/>
  <c r="CZ279" i="1" a="1"/>
  <c r="CZ279" i="1" s="1"/>
  <c r="CT279" i="1" a="1"/>
  <c r="CT279" i="1" s="1"/>
  <c r="CU279" i="1" s="1"/>
  <c r="DA279" i="1" a="1"/>
  <c r="DA279" i="1" s="1"/>
  <c r="CN279" i="1"/>
  <c r="CW279" i="1" a="1"/>
  <c r="CW279" i="1" s="1"/>
  <c r="CX279" i="1" s="1"/>
  <c r="DB279" i="1" a="1"/>
  <c r="DB279" i="1" s="1"/>
  <c r="CZ255" i="1" a="1"/>
  <c r="CZ255" i="1" s="1"/>
  <c r="CO255" i="1"/>
  <c r="CW245" i="1" a="1"/>
  <c r="CW245" i="1" s="1"/>
  <c r="CX245" i="1" s="1"/>
  <c r="Q248" i="1"/>
  <c r="Q262" i="1"/>
  <c r="Q270" i="1"/>
  <c r="Q274" i="1"/>
  <c r="DB277" i="1" a="1"/>
  <c r="DB277" i="1" s="1"/>
  <c r="AL298" i="1"/>
  <c r="CT276" i="1" a="1"/>
  <c r="CT276" i="1" s="1"/>
  <c r="DB290" i="1" a="1"/>
  <c r="DB290" i="1" s="1"/>
  <c r="CN290" i="1"/>
  <c r="CW290" i="1" a="1"/>
  <c r="CW290" i="1" s="1"/>
  <c r="CX290" i="1" s="1"/>
  <c r="CT290" i="1" a="1"/>
  <c r="CT290" i="1" s="1"/>
  <c r="CU290" i="1" s="1"/>
  <c r="CZ290" i="1" a="1"/>
  <c r="CZ290" i="1" s="1"/>
  <c r="DA290" i="1" a="1"/>
  <c r="DA290" i="1" s="1"/>
  <c r="AL278" i="1"/>
  <c r="DB262" i="1" a="1"/>
  <c r="DB262" i="1" s="1"/>
  <c r="CW293" i="1" a="1"/>
  <c r="CW293" i="1" s="1"/>
  <c r="CX293" i="1" s="1"/>
  <c r="CO293" i="1"/>
  <c r="Q282" i="1"/>
  <c r="AL299" i="1"/>
  <c r="CT297" i="1" a="1"/>
  <c r="CT297" i="1" s="1"/>
  <c r="CU297" i="1" s="1"/>
  <c r="DQ107" i="1" a="1"/>
  <c r="DQ107" i="1" s="1"/>
  <c r="CP107" i="1"/>
  <c r="CR92" i="1"/>
  <c r="DS92" i="1" a="1"/>
  <c r="DS92" i="1" s="1"/>
  <c r="Q119" i="1"/>
  <c r="DR109" i="1" a="1"/>
  <c r="DR109" i="1" s="1"/>
  <c r="CQ109" i="1"/>
  <c r="CZ123" i="1" a="1"/>
  <c r="CZ123" i="1" s="1"/>
  <c r="DP123" i="1" a="1"/>
  <c r="DP123" i="1" s="1"/>
  <c r="CO123" i="1"/>
  <c r="CW123" i="1" a="1"/>
  <c r="CW123" i="1" s="1"/>
  <c r="CX123" i="1" s="1"/>
  <c r="DB123" i="1" a="1"/>
  <c r="DB123" i="1" s="1"/>
  <c r="CQ106" i="1"/>
  <c r="DR106" i="1" a="1"/>
  <c r="DR106" i="1" s="1"/>
  <c r="CQ113" i="1"/>
  <c r="DR113" i="1" a="1"/>
  <c r="DR113" i="1" s="1"/>
  <c r="CP125" i="1"/>
  <c r="DQ125" i="1" a="1"/>
  <c r="DQ125" i="1" s="1"/>
  <c r="Q110" i="1"/>
  <c r="CT117" i="1" a="1"/>
  <c r="CT117" i="1" s="1"/>
  <c r="CU117" i="1" s="1"/>
  <c r="DA117" i="1" a="1"/>
  <c r="DA117" i="1" s="1"/>
  <c r="CZ117" i="1" a="1"/>
  <c r="CZ117" i="1" s="1"/>
  <c r="DB117" i="1" a="1"/>
  <c r="DB117" i="1" s="1"/>
  <c r="CN117" i="1"/>
  <c r="CW117" i="1" a="1"/>
  <c r="CW117" i="1" s="1"/>
  <c r="CX117" i="1" s="1"/>
  <c r="DO117" i="1" a="1"/>
  <c r="DO117" i="1" s="1"/>
  <c r="DS131" i="1" a="1"/>
  <c r="DS131" i="1" s="1"/>
  <c r="CR131" i="1"/>
  <c r="DQ127" i="1" a="1"/>
  <c r="DQ127" i="1" s="1"/>
  <c r="CP127" i="1"/>
  <c r="CZ132" i="1" a="1"/>
  <c r="CZ132" i="1" s="1"/>
  <c r="DP132" i="1" a="1"/>
  <c r="DP132" i="1" s="1"/>
  <c r="DB132" i="1" a="1"/>
  <c r="DB132" i="1" s="1"/>
  <c r="CW132" i="1" a="1"/>
  <c r="CW132" i="1" s="1"/>
  <c r="CX132" i="1" s="1"/>
  <c r="CO132" i="1"/>
  <c r="CZ138" i="1" a="1"/>
  <c r="CZ138" i="1" s="1"/>
  <c r="DP138" i="1" a="1"/>
  <c r="DP138" i="1" s="1"/>
  <c r="CO138" i="1"/>
  <c r="CW138" i="1" a="1"/>
  <c r="CW138" i="1" s="1"/>
  <c r="CX138" i="1" s="1"/>
  <c r="DS114" i="1" a="1"/>
  <c r="DS114" i="1" s="1"/>
  <c r="CR114" i="1"/>
  <c r="CP129" i="1"/>
  <c r="DQ129" i="1" a="1"/>
  <c r="DQ129" i="1" s="1"/>
  <c r="CW129" i="1" a="1"/>
  <c r="CW129" i="1" s="1"/>
  <c r="CX129" i="1" s="1"/>
  <c r="AL131" i="1"/>
  <c r="Q103" i="1"/>
  <c r="CR116" i="1"/>
  <c r="DS116" i="1" a="1"/>
  <c r="DS116" i="1" s="1"/>
  <c r="DS137" i="1" a="1"/>
  <c r="DS137" i="1" s="1"/>
  <c r="CR137" i="1"/>
  <c r="DS122" i="1" a="1"/>
  <c r="DS122" i="1" s="1"/>
  <c r="CR122" i="1"/>
  <c r="DP126" i="1" a="1"/>
  <c r="DP126" i="1" s="1"/>
  <c r="CO126" i="1"/>
  <c r="DP144" i="1" a="1"/>
  <c r="DP144" i="1" s="1"/>
  <c r="CO144" i="1"/>
  <c r="T149" i="1"/>
  <c r="CT134" i="1" a="1"/>
  <c r="CT134" i="1" s="1"/>
  <c r="CT144" i="1" a="1"/>
  <c r="CT144" i="1" s="1"/>
  <c r="CU144" i="1" s="1"/>
  <c r="DA144" i="1" a="1"/>
  <c r="DA144" i="1" s="1"/>
  <c r="DB144" i="1" a="1"/>
  <c r="DB144" i="1" s="1"/>
  <c r="CW144" i="1" a="1"/>
  <c r="CW144" i="1" s="1"/>
  <c r="CX144" i="1" s="1"/>
  <c r="DO144" i="1" a="1"/>
  <c r="DO144" i="1" s="1"/>
  <c r="CZ144" i="1" a="1"/>
  <c r="CZ144" i="1" s="1"/>
  <c r="CN144" i="1"/>
  <c r="DA131" i="1" a="1"/>
  <c r="DA131" i="1" s="1"/>
  <c r="DA147" i="1" a="1"/>
  <c r="DA147" i="1" s="1"/>
  <c r="Q150" i="1"/>
  <c r="Q152" i="1"/>
  <c r="DB148" i="1" a="1"/>
  <c r="DB148" i="1" s="1"/>
  <c r="CZ177" i="1" a="1"/>
  <c r="CZ177" i="1" s="1"/>
  <c r="CO177" i="1"/>
  <c r="CW177" i="1" a="1"/>
  <c r="CW177" i="1" s="1"/>
  <c r="CX177" i="1" s="1"/>
  <c r="DB177" i="1" a="1"/>
  <c r="DB177" i="1" s="1"/>
  <c r="CW142" i="1" a="1"/>
  <c r="CW142" i="1" s="1"/>
  <c r="CX142" i="1" s="1"/>
  <c r="Q162" i="1"/>
  <c r="CW168" i="1" a="1"/>
  <c r="CW168" i="1" s="1"/>
  <c r="CX168" i="1" s="1"/>
  <c r="CP168" i="1"/>
  <c r="Q184" i="1"/>
  <c r="Q190" i="1"/>
  <c r="Q171" i="1"/>
  <c r="Q195" i="1"/>
  <c r="CN195" i="1"/>
  <c r="CW195" i="1" a="1"/>
  <c r="CW195" i="1" s="1"/>
  <c r="CX195" i="1" s="1"/>
  <c r="CT195" i="1" a="1"/>
  <c r="CT195" i="1" s="1"/>
  <c r="CU195" i="1" s="1"/>
  <c r="DA195" i="1" a="1"/>
  <c r="DA195" i="1" s="1"/>
  <c r="CZ195" i="1" a="1"/>
  <c r="CZ195" i="1" s="1"/>
  <c r="DB195" i="1" a="1"/>
  <c r="DB195" i="1" s="1"/>
  <c r="CT185" i="1" a="1"/>
  <c r="CT185" i="1" s="1"/>
  <c r="CU185" i="1" s="1"/>
  <c r="T196" i="1"/>
  <c r="CN187" i="1"/>
  <c r="CW187" i="1" a="1"/>
  <c r="CW187" i="1" s="1"/>
  <c r="CX187" i="1" s="1"/>
  <c r="CT187" i="1" a="1"/>
  <c r="CT187" i="1" s="1"/>
  <c r="CU187" i="1" s="1"/>
  <c r="DA187" i="1" a="1"/>
  <c r="DA187" i="1" s="1"/>
  <c r="CZ187" i="1" a="1"/>
  <c r="CZ187" i="1" s="1"/>
  <c r="DB187" i="1" a="1"/>
  <c r="DB187" i="1" s="1"/>
  <c r="AL187" i="1"/>
  <c r="CZ231" i="1" a="1"/>
  <c r="CZ231" i="1" s="1"/>
  <c r="DB231" i="1" a="1"/>
  <c r="DB231" i="1" s="1"/>
  <c r="CW231" i="1" a="1"/>
  <c r="CW231" i="1" s="1"/>
  <c r="CX231" i="1" s="1"/>
  <c r="CN231" i="1"/>
  <c r="CT231" i="1" a="1"/>
  <c r="CT231" i="1" s="1"/>
  <c r="CU231" i="1" s="1"/>
  <c r="DA231" i="1" a="1"/>
  <c r="DA231" i="1" s="1"/>
  <c r="CT189" i="1" a="1"/>
  <c r="CT189" i="1" s="1"/>
  <c r="CU189" i="1" s="1"/>
  <c r="AL193" i="1"/>
  <c r="Q214" i="1"/>
  <c r="CT221" i="1" a="1"/>
  <c r="CT221" i="1" s="1"/>
  <c r="CU221" i="1" s="1"/>
  <c r="Q229" i="1"/>
  <c r="CO228" i="1"/>
  <c r="CW228" i="1" a="1"/>
  <c r="CW228" i="1" s="1"/>
  <c r="CX228" i="1" s="1"/>
  <c r="CT232" i="1" a="1"/>
  <c r="CT232" i="1" s="1"/>
  <c r="CU232" i="1" s="1"/>
  <c r="DA232" i="1" a="1"/>
  <c r="DA232" i="1" s="1"/>
  <c r="DB232" i="1" a="1"/>
  <c r="DB232" i="1" s="1"/>
  <c r="CN232" i="1"/>
  <c r="CW232" i="1" a="1"/>
  <c r="CW232" i="1" s="1"/>
  <c r="CX232" i="1" s="1"/>
  <c r="CZ232" i="1" a="1"/>
  <c r="CZ232" i="1" s="1"/>
  <c r="Q230" i="1"/>
  <c r="CT225" i="1" a="1"/>
  <c r="CT225" i="1" s="1"/>
  <c r="CU225" i="1" s="1"/>
  <c r="CT236" i="1" a="1"/>
  <c r="CT236" i="1" s="1"/>
  <c r="CU236" i="1" s="1"/>
  <c r="DA236" i="1" a="1"/>
  <c r="DA236" i="1" s="1"/>
  <c r="CN236" i="1"/>
  <c r="CW236" i="1" a="1"/>
  <c r="CW236" i="1" s="1"/>
  <c r="CX236" i="1" s="1"/>
  <c r="CZ236" i="1" a="1"/>
  <c r="CZ236" i="1" s="1"/>
  <c r="DB236" i="1" a="1"/>
  <c r="DB236" i="1" s="1"/>
  <c r="Q237" i="1"/>
  <c r="CO242" i="1"/>
  <c r="CT242" i="1" a="1"/>
  <c r="CT242" i="1" s="1"/>
  <c r="CU242" i="1" s="1"/>
  <c r="DA242" i="1" a="1"/>
  <c r="DA242" i="1" s="1"/>
  <c r="DB228" i="1" a="1"/>
  <c r="DB228" i="1" s="1"/>
  <c r="DA202" i="1" a="1"/>
  <c r="DA202" i="1" s="1"/>
  <c r="DB225" i="1" a="1"/>
  <c r="DB225" i="1" s="1"/>
  <c r="Q265" i="1"/>
  <c r="DB233" i="1" a="1"/>
  <c r="DB233" i="1" s="1"/>
  <c r="CN233" i="1"/>
  <c r="CW233" i="1" a="1"/>
  <c r="CW233" i="1" s="1"/>
  <c r="CX233" i="1" s="1"/>
  <c r="CT233" i="1" a="1"/>
  <c r="CT233" i="1" s="1"/>
  <c r="CU233" i="1" s="1"/>
  <c r="DA233" i="1" a="1"/>
  <c r="DA233" i="1" s="1"/>
  <c r="CZ233" i="1" a="1"/>
  <c r="CZ233" i="1" s="1"/>
  <c r="Q233" i="1"/>
  <c r="Q257" i="1"/>
  <c r="CZ263" i="1" a="1"/>
  <c r="CZ263" i="1" s="1"/>
  <c r="CT263" i="1" a="1"/>
  <c r="CT263" i="1" s="1"/>
  <c r="CU263" i="1" s="1"/>
  <c r="DA263" i="1" a="1"/>
  <c r="DA263" i="1" s="1"/>
  <c r="DB263" i="1" a="1"/>
  <c r="DB263" i="1" s="1"/>
  <c r="CN263" i="1"/>
  <c r="CW263" i="1" a="1"/>
  <c r="CW263" i="1" s="1"/>
  <c r="CX263" i="1" s="1"/>
  <c r="DB272" i="1" a="1"/>
  <c r="DB272" i="1" s="1"/>
  <c r="CW272" i="1" a="1"/>
  <c r="CW272" i="1" s="1"/>
  <c r="CX272" i="1" s="1"/>
  <c r="CP272" i="1"/>
  <c r="CW261" i="1" a="1"/>
  <c r="CW261" i="1" s="1"/>
  <c r="CX261" i="1" s="1"/>
  <c r="Q247" i="1"/>
  <c r="CZ247" i="1" a="1"/>
  <c r="CZ247" i="1" s="1"/>
  <c r="CN247" i="1"/>
  <c r="DA247" i="1" a="1"/>
  <c r="DA247" i="1" s="1"/>
  <c r="CT247" i="1" a="1"/>
  <c r="CT247" i="1" s="1"/>
  <c r="CU247" i="1" s="1"/>
  <c r="DB247" i="1" a="1"/>
  <c r="DB247" i="1" s="1"/>
  <c r="CW247" i="1" a="1"/>
  <c r="CW247" i="1" s="1"/>
  <c r="CX247" i="1" s="1"/>
  <c r="DB274" i="1" a="1"/>
  <c r="DB274" i="1" s="1"/>
  <c r="CN274" i="1"/>
  <c r="CW274" i="1" a="1"/>
  <c r="CW274" i="1" s="1"/>
  <c r="CX274" i="1" s="1"/>
  <c r="CZ274" i="1" a="1"/>
  <c r="CZ274" i="1" s="1"/>
  <c r="CT274" i="1" a="1"/>
  <c r="CT274" i="1" s="1"/>
  <c r="CU274" i="1" s="1"/>
  <c r="DA274" i="1" a="1"/>
  <c r="DA274" i="1" s="1"/>
  <c r="DA245" i="1" a="1"/>
  <c r="DA245" i="1" s="1"/>
  <c r="Q271" i="1"/>
  <c r="DB269" i="1" a="1"/>
  <c r="DB269" i="1" s="1"/>
  <c r="DA277" i="1" a="1"/>
  <c r="DA277" i="1" s="1"/>
  <c r="CZ276" i="1" a="1"/>
  <c r="CZ276" i="1" s="1"/>
  <c r="Q303" i="1"/>
  <c r="CZ293" i="1" a="1"/>
  <c r="CZ293" i="1" s="1"/>
  <c r="AL300" i="1"/>
  <c r="CW299" i="1" a="1"/>
  <c r="CW299" i="1" s="1"/>
  <c r="CX299" i="1" s="1"/>
  <c r="Q302" i="1"/>
  <c r="AL280" i="1"/>
  <c r="DB282" i="1" a="1"/>
  <c r="DB282" i="1" s="1"/>
  <c r="CN282" i="1"/>
  <c r="CW282" i="1" a="1"/>
  <c r="CW282" i="1" s="1"/>
  <c r="CX282" i="1" s="1"/>
  <c r="CZ282" i="1" a="1"/>
  <c r="CZ282" i="1" s="1"/>
  <c r="DA282" i="1" a="1"/>
  <c r="DA282" i="1" s="1"/>
  <c r="CT282" i="1" a="1"/>
  <c r="CT282" i="1" s="1"/>
  <c r="CU282" i="1" s="1"/>
  <c r="AL292" i="1"/>
  <c r="CW294" i="1" a="1"/>
  <c r="CW294" i="1" s="1"/>
  <c r="CX294" i="1" s="1"/>
  <c r="CT294" i="1" a="1"/>
  <c r="CT294" i="1" s="1"/>
  <c r="CU294" i="1" s="1"/>
  <c r="DP115" i="1" a="1"/>
  <c r="DP115" i="1" s="1"/>
  <c r="CW115" i="1" a="1"/>
  <c r="CW115" i="1" s="1"/>
  <c r="CX115" i="1" s="1"/>
  <c r="CO115" i="1"/>
  <c r="DR108" i="1" a="1"/>
  <c r="DR108" i="1" s="1"/>
  <c r="CQ108" i="1"/>
  <c r="DB107" i="1" a="1"/>
  <c r="DB107" i="1" s="1"/>
  <c r="CN107" i="1"/>
  <c r="CW107" i="1" a="1"/>
  <c r="CW107" i="1" s="1"/>
  <c r="CX107" i="1" s="1"/>
  <c r="CZ107" i="1" a="1"/>
  <c r="CZ107" i="1" s="1"/>
  <c r="DO107" i="1" a="1"/>
  <c r="DO107" i="1" s="1"/>
  <c r="DA107" i="1" a="1"/>
  <c r="DA107" i="1" s="1"/>
  <c r="CT107" i="1" a="1"/>
  <c r="CT107" i="1" s="1"/>
  <c r="CU107" i="1" s="1"/>
  <c r="Q115" i="1"/>
  <c r="CT116" i="1" a="1"/>
  <c r="CT116" i="1" s="1"/>
  <c r="CU116" i="1" s="1"/>
  <c r="DA116" i="1" a="1"/>
  <c r="DA116" i="1" s="1"/>
  <c r="CW116" i="1" a="1"/>
  <c r="CW116" i="1" s="1"/>
  <c r="CX116" i="1" s="1"/>
  <c r="CZ116" i="1" a="1"/>
  <c r="CZ116" i="1" s="1"/>
  <c r="DB116" i="1" a="1"/>
  <c r="DB116" i="1" s="1"/>
  <c r="CN116" i="1"/>
  <c r="DO116" i="1" a="1"/>
  <c r="DO116" i="1" s="1"/>
  <c r="CT115" i="1" a="1"/>
  <c r="CT115" i="1" s="1"/>
  <c r="CU115" i="1" s="1"/>
  <c r="CO119" i="1"/>
  <c r="DP119" i="1" a="1"/>
  <c r="DP119" i="1" s="1"/>
  <c r="CP123" i="1"/>
  <c r="DQ123" i="1" a="1"/>
  <c r="DQ123" i="1" s="1"/>
  <c r="Q124" i="1"/>
  <c r="Q106" i="1"/>
  <c r="CO118" i="1"/>
  <c r="DP118" i="1" a="1"/>
  <c r="DP118" i="1" s="1"/>
  <c r="AL123" i="1"/>
  <c r="CZ135" i="1" a="1"/>
  <c r="CZ135" i="1" s="1"/>
  <c r="DP135" i="1" a="1"/>
  <c r="DP135" i="1" s="1"/>
  <c r="CO135" i="1"/>
  <c r="CW135" i="1" a="1"/>
  <c r="CW135" i="1" s="1"/>
  <c r="CX135" i="1" s="1"/>
  <c r="DP141" i="1" a="1"/>
  <c r="DP141" i="1" s="1"/>
  <c r="CW141" i="1" a="1"/>
  <c r="CW141" i="1" s="1"/>
  <c r="CX141" i="1" s="1"/>
  <c r="CO141" i="1"/>
  <c r="Q122" i="1"/>
  <c r="DP125" i="1" a="1"/>
  <c r="DP125" i="1" s="1"/>
  <c r="CO125" i="1"/>
  <c r="DB125" i="1" a="1"/>
  <c r="DB125" i="1" s="1"/>
  <c r="AL116" i="1"/>
  <c r="DS134" i="1" a="1"/>
  <c r="DS134" i="1" s="1"/>
  <c r="CR134" i="1"/>
  <c r="DB137" i="1" a="1"/>
  <c r="DB137" i="1" s="1"/>
  <c r="CT126" i="1" a="1"/>
  <c r="CT126" i="1" s="1"/>
  <c r="CU126" i="1" s="1"/>
  <c r="DA126" i="1" a="1"/>
  <c r="DA126" i="1" s="1"/>
  <c r="CW126" i="1" a="1"/>
  <c r="CW126" i="1" s="1"/>
  <c r="CX126" i="1" s="1"/>
  <c r="CZ126" i="1" a="1"/>
  <c r="CZ126" i="1" s="1"/>
  <c r="DB126" i="1" a="1"/>
  <c r="DB126" i="1" s="1"/>
  <c r="CN126" i="1"/>
  <c r="DO126" i="1" a="1"/>
  <c r="DO126" i="1" s="1"/>
  <c r="CO150" i="1"/>
  <c r="DP150" i="1" a="1"/>
  <c r="DP150" i="1" s="1"/>
  <c r="Q120" i="1"/>
  <c r="Q144" i="1"/>
  <c r="CW118" i="1" a="1"/>
  <c r="CW118" i="1" s="1"/>
  <c r="CX118" i="1" s="1"/>
  <c r="DB141" i="1" a="1"/>
  <c r="DB141" i="1" s="1"/>
  <c r="DA145" i="1" a="1"/>
  <c r="DA145" i="1" s="1"/>
  <c r="CR143" i="1"/>
  <c r="DS143" i="1" a="1"/>
  <c r="DS143" i="1" s="1"/>
  <c r="CR144" i="1"/>
  <c r="DS144" i="1" a="1"/>
  <c r="DS144" i="1" s="1"/>
  <c r="CW151" i="1" a="1"/>
  <c r="CW151" i="1" s="1"/>
  <c r="CX151" i="1" s="1"/>
  <c r="CN151" i="1"/>
  <c r="DA151" i="1" a="1"/>
  <c r="DA151" i="1" s="1"/>
  <c r="CT151" i="1" a="1"/>
  <c r="CT151" i="1" s="1"/>
  <c r="CU151" i="1" s="1"/>
  <c r="CZ151" i="1" a="1"/>
  <c r="CZ151" i="1" s="1"/>
  <c r="DB151" i="1" a="1"/>
  <c r="DB151" i="1" s="1"/>
  <c r="DO151" i="1" a="1"/>
  <c r="DO151" i="1" s="1"/>
  <c r="CT147" i="1" a="1"/>
  <c r="CT147" i="1" s="1"/>
  <c r="CU147" i="1" s="1"/>
  <c r="Q151" i="1"/>
  <c r="DB162" i="1" a="1"/>
  <c r="DB162" i="1" s="1"/>
  <c r="CZ162" i="1" a="1"/>
  <c r="CZ162" i="1" s="1"/>
  <c r="CT162" i="1" a="1"/>
  <c r="CT162" i="1" s="1"/>
  <c r="CU162" i="1" s="1"/>
  <c r="DA162" i="1" a="1"/>
  <c r="DA162" i="1" s="1"/>
  <c r="CN162" i="1"/>
  <c r="CW162" i="1" a="1"/>
  <c r="CW162" i="1" s="1"/>
  <c r="CX162" i="1" s="1"/>
  <c r="CZ148" i="1" a="1"/>
  <c r="CZ148" i="1" s="1"/>
  <c r="DA154" i="1" a="1"/>
  <c r="DA154" i="1" s="1"/>
  <c r="CT154" i="1" a="1"/>
  <c r="CT154" i="1" s="1"/>
  <c r="CU154" i="1" s="1"/>
  <c r="DB154" i="1" a="1"/>
  <c r="DB154" i="1" s="1"/>
  <c r="CN154" i="1"/>
  <c r="CZ154" i="1" a="1"/>
  <c r="CZ154" i="1" s="1"/>
  <c r="CW154" i="1" a="1"/>
  <c r="CW154" i="1" s="1"/>
  <c r="CX154" i="1" s="1"/>
  <c r="DA153" i="1" a="1"/>
  <c r="DA153" i="1" s="1"/>
  <c r="CP184" i="1"/>
  <c r="CZ184" i="1" a="1"/>
  <c r="CZ184" i="1" s="1"/>
  <c r="CT184" i="1" a="1"/>
  <c r="CT184" i="1" s="1"/>
  <c r="CU184" i="1" s="1"/>
  <c r="DA184" i="1" a="1"/>
  <c r="DA184" i="1" s="1"/>
  <c r="DB179" i="1" a="1"/>
  <c r="DB179" i="1" s="1"/>
  <c r="CN179" i="1"/>
  <c r="CW179" i="1" a="1"/>
  <c r="CW179" i="1" s="1"/>
  <c r="CX179" i="1" s="1"/>
  <c r="CT179" i="1" a="1"/>
  <c r="CT179" i="1" s="1"/>
  <c r="CU179" i="1" s="1"/>
  <c r="DA179" i="1" a="1"/>
  <c r="DA179" i="1" s="1"/>
  <c r="CZ179" i="1" a="1"/>
  <c r="CZ179" i="1" s="1"/>
  <c r="CN192" i="1"/>
  <c r="CW192" i="1" a="1"/>
  <c r="CW192" i="1" s="1"/>
  <c r="CX192" i="1" s="1"/>
  <c r="DB192" i="1" a="1"/>
  <c r="DB192" i="1" s="1"/>
  <c r="CT192" i="1" a="1"/>
  <c r="CT192" i="1" s="1"/>
  <c r="CU192" i="1" s="1"/>
  <c r="CZ192" i="1" a="1"/>
  <c r="CZ192" i="1" s="1"/>
  <c r="DA192" i="1" a="1"/>
  <c r="DA192" i="1" s="1"/>
  <c r="Q170" i="1"/>
  <c r="CZ190" i="1" a="1"/>
  <c r="CZ190" i="1" s="1"/>
  <c r="CW190" i="1" a="1"/>
  <c r="CW190" i="1" s="1"/>
  <c r="CX190" i="1" s="1"/>
  <c r="CN190" i="1"/>
  <c r="DA190" i="1" a="1"/>
  <c r="DA190" i="1" s="1"/>
  <c r="DB190" i="1" a="1"/>
  <c r="DB190" i="1" s="1"/>
  <c r="CT190" i="1" a="1"/>
  <c r="CT190" i="1" s="1"/>
  <c r="CU190" i="1" s="1"/>
  <c r="Q166" i="1"/>
  <c r="CP196" i="1"/>
  <c r="CT196" i="1" a="1"/>
  <c r="CT196" i="1" s="1"/>
  <c r="CU196" i="1" s="1"/>
  <c r="CZ196" i="1" a="1"/>
  <c r="CZ196" i="1" s="1"/>
  <c r="Q200" i="1"/>
  <c r="Q206" i="1"/>
  <c r="DB219" i="1" a="1"/>
  <c r="DB219" i="1" s="1"/>
  <c r="CZ219" i="1" a="1"/>
  <c r="CZ219" i="1" s="1"/>
  <c r="DA219" i="1" a="1"/>
  <c r="DA219" i="1" s="1"/>
  <c r="CN219" i="1"/>
  <c r="CT219" i="1" a="1"/>
  <c r="CT219" i="1" s="1"/>
  <c r="CU219" i="1" s="1"/>
  <c r="CW219" i="1" a="1"/>
  <c r="CW219" i="1" s="1"/>
  <c r="CX219" i="1" s="1"/>
  <c r="CZ197" i="1" a="1"/>
  <c r="CZ197" i="1" s="1"/>
  <c r="CT197" i="1" a="1"/>
  <c r="CT197" i="1" s="1"/>
  <c r="CU197" i="1" s="1"/>
  <c r="DA197" i="1" a="1"/>
  <c r="DA197" i="1" s="1"/>
  <c r="DB197" i="1" a="1"/>
  <c r="DB197" i="1" s="1"/>
  <c r="CN197" i="1"/>
  <c r="CW197" i="1" a="1"/>
  <c r="CW197" i="1" s="1"/>
  <c r="CX197" i="1" s="1"/>
  <c r="Q204" i="1"/>
  <c r="CO210" i="1"/>
  <c r="CZ210" i="1" a="1"/>
  <c r="CZ210" i="1" s="1"/>
  <c r="CT218" i="1" a="1"/>
  <c r="CT218" i="1" s="1"/>
  <c r="CU218" i="1" s="1"/>
  <c r="DA218" i="1" a="1"/>
  <c r="DA218" i="1" s="1"/>
  <c r="DB218" i="1" a="1"/>
  <c r="DB218" i="1" s="1"/>
  <c r="CN218" i="1"/>
  <c r="CW218" i="1" a="1"/>
  <c r="CW218" i="1" s="1"/>
  <c r="CX218" i="1" s="1"/>
  <c r="CZ218" i="1" a="1"/>
  <c r="CZ218" i="1" s="1"/>
  <c r="Q224" i="1"/>
  <c r="Q227" i="1"/>
  <c r="Q231" i="1"/>
  <c r="CZ235" i="1" a="1"/>
  <c r="CZ235" i="1" s="1"/>
  <c r="CT235" i="1" a="1"/>
  <c r="CT235" i="1" s="1"/>
  <c r="CU235" i="1" s="1"/>
  <c r="CN235" i="1"/>
  <c r="CW235" i="1" a="1"/>
  <c r="CW235" i="1" s="1"/>
  <c r="CX235" i="1" s="1"/>
  <c r="DA235" i="1" a="1"/>
  <c r="DA235" i="1" s="1"/>
  <c r="DB235" i="1" a="1"/>
  <c r="DB235" i="1" s="1"/>
  <c r="CZ239" i="1" a="1"/>
  <c r="CZ239" i="1" s="1"/>
  <c r="CN239" i="1"/>
  <c r="CT239" i="1" a="1"/>
  <c r="CT239" i="1" s="1"/>
  <c r="CU239" i="1" s="1"/>
  <c r="CW239" i="1" a="1"/>
  <c r="CW239" i="1" s="1"/>
  <c r="CX239" i="1" s="1"/>
  <c r="DA239" i="1" a="1"/>
  <c r="DA239" i="1" s="1"/>
  <c r="DB239" i="1" a="1"/>
  <c r="DB239" i="1" s="1"/>
  <c r="Q202" i="1"/>
  <c r="CZ213" i="1" a="1"/>
  <c r="CZ213" i="1" s="1"/>
  <c r="CT213" i="1" a="1"/>
  <c r="CT213" i="1" s="1"/>
  <c r="CU213" i="1" s="1"/>
  <c r="DA213" i="1" a="1"/>
  <c r="DA213" i="1" s="1"/>
  <c r="DB213" i="1" a="1"/>
  <c r="DB213" i="1" s="1"/>
  <c r="CW213" i="1" a="1"/>
  <c r="CW213" i="1" s="1"/>
  <c r="CX213" i="1" s="1"/>
  <c r="CN213" i="1"/>
  <c r="AL219" i="1"/>
  <c r="CW203" i="1" a="1"/>
  <c r="CW203" i="1" s="1"/>
  <c r="CX203" i="1" s="1"/>
  <c r="CN203" i="1"/>
  <c r="CZ203" i="1" a="1"/>
  <c r="CZ203" i="1" s="1"/>
  <c r="CT203" i="1" a="1"/>
  <c r="CT203" i="1" s="1"/>
  <c r="CU203" i="1" s="1"/>
  <c r="DA203" i="1" a="1"/>
  <c r="DA203" i="1" s="1"/>
  <c r="DB203" i="1" a="1"/>
  <c r="DB203" i="1" s="1"/>
  <c r="Q203" i="1"/>
  <c r="Q207" i="1"/>
  <c r="Q210" i="1"/>
  <c r="CN230" i="1"/>
  <c r="CW230" i="1" a="1"/>
  <c r="CW230" i="1" s="1"/>
  <c r="CX230" i="1" s="1"/>
  <c r="CZ230" i="1" a="1"/>
  <c r="CZ230" i="1" s="1"/>
  <c r="CT230" i="1" a="1"/>
  <c r="CT230" i="1" s="1"/>
  <c r="CU230" i="1" s="1"/>
  <c r="DB230" i="1" a="1"/>
  <c r="DB230" i="1" s="1"/>
  <c r="DA230" i="1" a="1"/>
  <c r="DA230" i="1" s="1"/>
  <c r="CZ243" i="1" a="1"/>
  <c r="CZ243" i="1" s="1"/>
  <c r="CN243" i="1"/>
  <c r="DA243" i="1" a="1"/>
  <c r="DA243" i="1" s="1"/>
  <c r="CT243" i="1" a="1"/>
  <c r="CT243" i="1" s="1"/>
  <c r="CU243" i="1" s="1"/>
  <c r="DB243" i="1" a="1"/>
  <c r="DB243" i="1" s="1"/>
  <c r="CW243" i="1" a="1"/>
  <c r="CW243" i="1" s="1"/>
  <c r="CX243" i="1" s="1"/>
  <c r="Q228" i="1"/>
  <c r="Q243" i="1"/>
  <c r="CZ228" i="1" a="1"/>
  <c r="CZ228" i="1" s="1"/>
  <c r="DB229" i="1" a="1"/>
  <c r="DB229" i="1" s="1"/>
  <c r="Q225" i="1"/>
  <c r="CZ202" i="1" a="1"/>
  <c r="CZ202" i="1" s="1"/>
  <c r="Q226" i="1"/>
  <c r="AL249" i="1"/>
  <c r="AL250" i="1"/>
  <c r="Q261" i="1"/>
  <c r="AL257" i="1"/>
  <c r="DB261" i="1" a="1"/>
  <c r="DB261" i="1" s="1"/>
  <c r="DA272" i="1" a="1"/>
  <c r="DA272" i="1" s="1"/>
  <c r="CZ283" i="1" a="1"/>
  <c r="CZ283" i="1" s="1"/>
  <c r="CT283" i="1" a="1"/>
  <c r="CT283" i="1" s="1"/>
  <c r="CU283" i="1" s="1"/>
  <c r="DA283" i="1" a="1"/>
  <c r="DA283" i="1" s="1"/>
  <c r="CN283" i="1"/>
  <c r="CW283" i="1" a="1"/>
  <c r="CW283" i="1" s="1"/>
  <c r="CX283" i="1" s="1"/>
  <c r="DB283" i="1" a="1"/>
  <c r="DB283" i="1" s="1"/>
  <c r="Q258" i="1"/>
  <c r="DB241" i="1" a="1"/>
  <c r="DB241" i="1" s="1"/>
  <c r="CT241" i="1" a="1"/>
  <c r="CT241" i="1" s="1"/>
  <c r="CU241" i="1" s="1"/>
  <c r="DA241" i="1" a="1"/>
  <c r="DA241" i="1" s="1"/>
  <c r="CW241" i="1" a="1"/>
  <c r="CW241" i="1" s="1"/>
  <c r="CX241" i="1" s="1"/>
  <c r="CN241" i="1"/>
  <c r="CZ241" i="1" a="1"/>
  <c r="CZ241" i="1" s="1"/>
  <c r="CW255" i="1" a="1"/>
  <c r="CW255" i="1" s="1"/>
  <c r="CX255" i="1" s="1"/>
  <c r="CT245" i="1" a="1"/>
  <c r="CT245" i="1" s="1"/>
  <c r="CU245" i="1" s="1"/>
  <c r="Q287" i="1"/>
  <c r="CT264" i="1" a="1"/>
  <c r="CT264" i="1" s="1"/>
  <c r="CU264" i="1" s="1"/>
  <c r="DA269" i="1" a="1"/>
  <c r="DA269" i="1" s="1"/>
  <c r="CT277" i="1" a="1"/>
  <c r="CT277" i="1" s="1"/>
  <c r="CU277" i="1" s="1"/>
  <c r="Q296" i="1"/>
  <c r="CZ272" i="1" a="1"/>
  <c r="CZ272" i="1" s="1"/>
  <c r="Q292" i="1"/>
  <c r="CN302" i="1"/>
  <c r="CW302" i="1" a="1"/>
  <c r="CW302" i="1" s="1"/>
  <c r="CX302" i="1" s="1"/>
  <c r="CZ302" i="1" a="1"/>
  <c r="CZ302" i="1" s="1"/>
  <c r="CT302" i="1" a="1"/>
  <c r="CT302" i="1" s="1"/>
  <c r="CU302" i="1" s="1"/>
  <c r="DA302" i="1" a="1"/>
  <c r="DA302" i="1" s="1"/>
  <c r="DB302" i="1" a="1"/>
  <c r="DB302" i="1" s="1"/>
  <c r="CZ295" i="1" a="1"/>
  <c r="CZ295" i="1" s="1"/>
  <c r="CN295" i="1"/>
  <c r="CW295" i="1" a="1"/>
  <c r="CW295" i="1" s="1"/>
  <c r="CX295" i="1" s="1"/>
  <c r="CT295" i="1" a="1"/>
  <c r="CT295" i="1" s="1"/>
  <c r="CU295" i="1" s="1"/>
  <c r="DB295" i="1" a="1"/>
  <c r="DB295" i="1" s="1"/>
  <c r="DA295" i="1" a="1"/>
  <c r="DA295" i="1" s="1"/>
  <c r="Q278" i="1"/>
  <c r="DB289" i="1" a="1"/>
  <c r="DB289" i="1" s="1"/>
  <c r="CW286" i="1" a="1"/>
  <c r="CW286" i="1" s="1"/>
  <c r="CX286" i="1" s="1"/>
  <c r="CO289" i="1"/>
  <c r="CW289" i="1" a="1"/>
  <c r="CW289" i="1" s="1"/>
  <c r="CX289" i="1" s="1"/>
  <c r="Q286" i="1"/>
  <c r="AL303" i="1"/>
  <c r="CZ303" i="1" a="1"/>
  <c r="CZ303" i="1" s="1"/>
  <c r="DB294" i="1" a="1"/>
  <c r="DB294" i="1" s="1"/>
  <c r="Q91" i="1"/>
  <c r="CT92" i="1" a="1"/>
  <c r="CT92" i="1" s="1"/>
  <c r="CU92" i="1" s="1"/>
  <c r="DB92" i="1" a="1"/>
  <c r="DB92" i="1" s="1"/>
  <c r="CW92" i="1" a="1"/>
  <c r="CW92" i="1" s="1"/>
  <c r="CX92" i="1" s="1"/>
  <c r="DA92" i="1" a="1"/>
  <c r="DA92" i="1" s="1"/>
  <c r="DO92" i="1" a="1"/>
  <c r="DO92" i="1" s="1"/>
  <c r="CN92" i="1"/>
  <c r="CZ92" i="1" a="1"/>
  <c r="CZ92" i="1" s="1"/>
  <c r="CO91" i="1"/>
  <c r="DP91" i="1" a="1"/>
  <c r="DP91" i="1" s="1"/>
  <c r="AL97" i="1"/>
  <c r="AL96" i="1"/>
  <c r="CR107" i="1"/>
  <c r="DS107" i="1" a="1"/>
  <c r="DS107" i="1" s="1"/>
  <c r="AL105" i="1"/>
  <c r="Q109" i="1"/>
  <c r="DB102" i="1" a="1"/>
  <c r="DB102" i="1" s="1"/>
  <c r="CW102" i="1" a="1"/>
  <c r="CW102" i="1" s="1"/>
  <c r="CX102" i="1" s="1"/>
  <c r="DO102" i="1" a="1"/>
  <c r="DO102" i="1" s="1"/>
  <c r="CN102" i="1"/>
  <c r="CZ102" i="1" a="1"/>
  <c r="CZ102" i="1" s="1"/>
  <c r="CT102" i="1" a="1"/>
  <c r="CT102" i="1" s="1"/>
  <c r="CU102" i="1" s="1"/>
  <c r="DA102" i="1" a="1"/>
  <c r="DA102" i="1" s="1"/>
  <c r="CT101" i="1" a="1"/>
  <c r="CT101" i="1" s="1"/>
  <c r="CU101" i="1" s="1"/>
  <c r="DP117" i="1" a="1"/>
  <c r="DP117" i="1" s="1"/>
  <c r="CO117" i="1"/>
  <c r="Q101" i="1"/>
  <c r="DP116" i="1" a="1"/>
  <c r="DP116" i="1" s="1"/>
  <c r="CO116" i="1"/>
  <c r="CT104" i="1" a="1"/>
  <c r="CT104" i="1" s="1"/>
  <c r="CU104" i="1" s="1"/>
  <c r="DA104" i="1" a="1"/>
  <c r="DA104" i="1" s="1"/>
  <c r="DB104" i="1" a="1"/>
  <c r="DB104" i="1" s="1"/>
  <c r="CN104" i="1"/>
  <c r="CW104" i="1" a="1"/>
  <c r="CW104" i="1" s="1"/>
  <c r="CX104" i="1" s="1"/>
  <c r="CZ104" i="1" a="1"/>
  <c r="CZ104" i="1" s="1"/>
  <c r="DO104" i="1" a="1"/>
  <c r="DO104" i="1" s="1"/>
  <c r="CR106" i="1"/>
  <c r="DS106" i="1" a="1"/>
  <c r="DS106" i="1" s="1"/>
  <c r="DA123" i="1" a="1"/>
  <c r="DA123" i="1" s="1"/>
  <c r="AL110" i="1"/>
  <c r="Q126" i="1"/>
  <c r="CW120" i="1" a="1"/>
  <c r="CW120" i="1" s="1"/>
  <c r="CX120" i="1" s="1"/>
  <c r="Q129" i="1"/>
  <c r="Q121" i="1"/>
  <c r="CT121" i="1" a="1"/>
  <c r="CT121" i="1" s="1"/>
  <c r="CU121" i="1" s="1"/>
  <c r="DB121" i="1" a="1"/>
  <c r="DB121" i="1" s="1"/>
  <c r="CW121" i="1" a="1"/>
  <c r="CW121" i="1" s="1"/>
  <c r="CX121" i="1" s="1"/>
  <c r="DO121" i="1" a="1"/>
  <c r="DO121" i="1" s="1"/>
  <c r="CZ121" i="1" a="1"/>
  <c r="CZ121" i="1" s="1"/>
  <c r="DA121" i="1" a="1"/>
  <c r="DA121" i="1" s="1"/>
  <c r="CN121" i="1"/>
  <c r="DA129" i="1" a="1"/>
  <c r="DA129" i="1" s="1"/>
  <c r="CT130" i="1" a="1"/>
  <c r="CT130" i="1" s="1"/>
  <c r="CU130" i="1" s="1"/>
  <c r="DB134" i="1" a="1"/>
  <c r="DB134" i="1" s="1"/>
  <c r="DP127" i="1" a="1"/>
  <c r="DP127" i="1" s="1"/>
  <c r="CO127" i="1"/>
  <c r="AL122" i="1"/>
  <c r="CT140" i="1" a="1"/>
  <c r="CT140" i="1" s="1"/>
  <c r="CU140" i="1" s="1"/>
  <c r="DP146" i="1" a="1"/>
  <c r="DP146" i="1" s="1"/>
  <c r="CO146" i="1"/>
  <c r="DB118" i="1" a="1"/>
  <c r="DB118" i="1" s="1"/>
  <c r="CZ131" i="1" a="1"/>
  <c r="CZ131" i="1" s="1"/>
  <c r="DA141" i="1" a="1"/>
  <c r="DA141" i="1" s="1"/>
  <c r="CT145" i="1" a="1"/>
  <c r="CT145" i="1" s="1"/>
  <c r="CO149" i="1"/>
  <c r="DB149" i="1" a="1"/>
  <c r="DB149" i="1" s="1"/>
  <c r="DP149" i="1" a="1"/>
  <c r="DP149" i="1" s="1"/>
  <c r="CW127" i="1" a="1"/>
  <c r="CW127" i="1" s="1"/>
  <c r="CX127" i="1" s="1"/>
  <c r="CR146" i="1"/>
  <c r="DS146" i="1" a="1"/>
  <c r="DS146" i="1" s="1"/>
  <c r="AL148" i="1"/>
  <c r="CN159" i="1"/>
  <c r="CW159" i="1" a="1"/>
  <c r="CW159" i="1" s="1"/>
  <c r="CX159" i="1" s="1"/>
  <c r="CZ159" i="1" a="1"/>
  <c r="CZ159" i="1" s="1"/>
  <c r="CT159" i="1" a="1"/>
  <c r="CT159" i="1" s="1"/>
  <c r="CU159" i="1" s="1"/>
  <c r="DA159" i="1" a="1"/>
  <c r="DA159" i="1" s="1"/>
  <c r="DB159" i="1" a="1"/>
  <c r="DB159" i="1" s="1"/>
  <c r="CQ147" i="1"/>
  <c r="DR147" i="1" a="1"/>
  <c r="DR147" i="1" s="1"/>
  <c r="DA150" i="1" a="1"/>
  <c r="DA150" i="1" s="1"/>
  <c r="CT150" i="1" a="1"/>
  <c r="CT150" i="1" s="1"/>
  <c r="CU150" i="1" s="1"/>
  <c r="CW150" i="1" a="1"/>
  <c r="CW150" i="1" s="1"/>
  <c r="CX150" i="1" s="1"/>
  <c r="CN150" i="1"/>
  <c r="CZ150" i="1" a="1"/>
  <c r="CZ150" i="1" s="1"/>
  <c r="DB150" i="1" a="1"/>
  <c r="DB150" i="1" s="1"/>
  <c r="DO150" i="1" a="1"/>
  <c r="DO150" i="1" s="1"/>
  <c r="DA152" i="1" a="1"/>
  <c r="DA152" i="1" s="1"/>
  <c r="CT152" i="1" a="1"/>
  <c r="CT152" i="1" s="1"/>
  <c r="CU152" i="1" s="1"/>
  <c r="CW152" i="1" a="1"/>
  <c r="CW152" i="1" s="1"/>
  <c r="CX152" i="1" s="1"/>
  <c r="CN152" i="1"/>
  <c r="CZ152" i="1" a="1"/>
  <c r="CZ152" i="1" s="1"/>
  <c r="DB152" i="1" a="1"/>
  <c r="DB152" i="1" s="1"/>
  <c r="DO152" i="1" a="1"/>
  <c r="DO152" i="1" s="1"/>
  <c r="DA168" i="1" a="1"/>
  <c r="DA168" i="1" s="1"/>
  <c r="CZ181" i="1" a="1"/>
  <c r="CZ181" i="1" s="1"/>
  <c r="CO181" i="1"/>
  <c r="CW181" i="1" a="1"/>
  <c r="CW181" i="1" s="1"/>
  <c r="CX181" i="1" s="1"/>
  <c r="DB181" i="1" a="1"/>
  <c r="DB181" i="1" s="1"/>
  <c r="CZ168" i="1" a="1"/>
  <c r="CZ168" i="1" s="1"/>
  <c r="CO176" i="1"/>
  <c r="CZ176" i="1" a="1"/>
  <c r="CZ176" i="1" s="1"/>
  <c r="CT176" i="1" a="1"/>
  <c r="CT176" i="1" s="1"/>
  <c r="CU176" i="1" s="1"/>
  <c r="DA176" i="1" a="1"/>
  <c r="DA176" i="1" s="1"/>
  <c r="CT161" i="1" a="1"/>
  <c r="CT161" i="1" s="1"/>
  <c r="CU161" i="1" s="1"/>
  <c r="DA161" i="1" a="1"/>
  <c r="DA161" i="1" s="1"/>
  <c r="DB161" i="1" a="1"/>
  <c r="DB161" i="1" s="1"/>
  <c r="CN161" i="1"/>
  <c r="CW161" i="1" a="1"/>
  <c r="CW161" i="1" s="1"/>
  <c r="CX161" i="1" s="1"/>
  <c r="CZ161" i="1" a="1"/>
  <c r="CZ161" i="1" s="1"/>
  <c r="DB188" i="1" a="1"/>
  <c r="DB188" i="1" s="1"/>
  <c r="Q156" i="1"/>
  <c r="CT178" i="1" a="1"/>
  <c r="CT178" i="1" s="1"/>
  <c r="CU178" i="1" s="1"/>
  <c r="DA178" i="1" a="1"/>
  <c r="DA178" i="1" s="1"/>
  <c r="DB178" i="1" a="1"/>
  <c r="DB178" i="1" s="1"/>
  <c r="CN178" i="1"/>
  <c r="CW178" i="1" a="1"/>
  <c r="CW178" i="1" s="1"/>
  <c r="CX178" i="1" s="1"/>
  <c r="CZ178" i="1" a="1"/>
  <c r="CZ178" i="1" s="1"/>
  <c r="CP188" i="1"/>
  <c r="CT188" i="1" a="1"/>
  <c r="CT188" i="1" s="1"/>
  <c r="CU188" i="1" s="1"/>
  <c r="DA188" i="1" a="1"/>
  <c r="DA188" i="1" s="1"/>
  <c r="CT193" i="1" a="1"/>
  <c r="CT193" i="1" s="1"/>
  <c r="CU193" i="1" s="1"/>
  <c r="DB193" i="1" a="1"/>
  <c r="DB193" i="1" s="1"/>
  <c r="CW193" i="1" a="1"/>
  <c r="CW193" i="1" s="1"/>
  <c r="CX193" i="1" s="1"/>
  <c r="CN193" i="1"/>
  <c r="CZ193" i="1" a="1"/>
  <c r="CZ193" i="1" s="1"/>
  <c r="DA193" i="1" a="1"/>
  <c r="DA193" i="1" s="1"/>
  <c r="DA171" i="1" a="1"/>
  <c r="DA171" i="1" s="1"/>
  <c r="CT182" i="1" a="1"/>
  <c r="CT182" i="1" s="1"/>
  <c r="CU182" i="1" s="1"/>
  <c r="DA182" i="1" a="1"/>
  <c r="DA182" i="1" s="1"/>
  <c r="DB182" i="1" a="1"/>
  <c r="DB182" i="1" s="1"/>
  <c r="CN182" i="1"/>
  <c r="CW182" i="1" a="1"/>
  <c r="CW182" i="1" s="1"/>
  <c r="CX182" i="1" s="1"/>
  <c r="CZ182" i="1" a="1"/>
  <c r="CZ182" i="1" s="1"/>
  <c r="CT186" i="1" a="1"/>
  <c r="CT186" i="1" s="1"/>
  <c r="CU186" i="1" s="1"/>
  <c r="DA186" i="1" a="1"/>
  <c r="DA186" i="1" s="1"/>
  <c r="DB186" i="1" a="1"/>
  <c r="DB186" i="1" s="1"/>
  <c r="CN186" i="1"/>
  <c r="CW186" i="1" a="1"/>
  <c r="CW186" i="1" s="1"/>
  <c r="CX186" i="1" s="1"/>
  <c r="CZ186" i="1" a="1"/>
  <c r="CZ186" i="1" s="1"/>
  <c r="AL165" i="1"/>
  <c r="Q174" i="1"/>
  <c r="CZ216" i="1" a="1"/>
  <c r="CZ216" i="1" s="1"/>
  <c r="CT216" i="1" a="1"/>
  <c r="CT216" i="1" s="1"/>
  <c r="CU216" i="1" s="1"/>
  <c r="DA216" i="1" a="1"/>
  <c r="DA216" i="1" s="1"/>
  <c r="DB216" i="1" a="1"/>
  <c r="DB216" i="1" s="1"/>
  <c r="CN216" i="1"/>
  <c r="CW216" i="1" a="1"/>
  <c r="CW216" i="1" s="1"/>
  <c r="CX216" i="1" s="1"/>
  <c r="DA201" i="1" a="1"/>
  <c r="DA201" i="1" s="1"/>
  <c r="DB201" i="1" a="1"/>
  <c r="DB201" i="1" s="1"/>
  <c r="CT201" i="1" a="1"/>
  <c r="CT201" i="1" s="1"/>
  <c r="CU201" i="1" s="1"/>
  <c r="CW201" i="1" a="1"/>
  <c r="CW201" i="1" s="1"/>
  <c r="CX201" i="1" s="1"/>
  <c r="CN201" i="1"/>
  <c r="CZ201" i="1" a="1"/>
  <c r="CZ201" i="1" s="1"/>
  <c r="DB207" i="1" a="1"/>
  <c r="DB207" i="1" s="1"/>
  <c r="CN207" i="1"/>
  <c r="CW207" i="1" a="1"/>
  <c r="CW207" i="1" s="1"/>
  <c r="CX207" i="1" s="1"/>
  <c r="CZ207" i="1" a="1"/>
  <c r="CZ207" i="1" s="1"/>
  <c r="CT207" i="1" a="1"/>
  <c r="CT207" i="1" s="1"/>
  <c r="CU207" i="1" s="1"/>
  <c r="DA207" i="1" a="1"/>
  <c r="DA207" i="1" s="1"/>
  <c r="DB215" i="1" a="1"/>
  <c r="DB215" i="1" s="1"/>
  <c r="CN215" i="1"/>
  <c r="CW215" i="1" a="1"/>
  <c r="CW215" i="1" s="1"/>
  <c r="CX215" i="1" s="1"/>
  <c r="CZ215" i="1" a="1"/>
  <c r="CZ215" i="1" s="1"/>
  <c r="CT215" i="1" a="1"/>
  <c r="CT215" i="1" s="1"/>
  <c r="CU215" i="1" s="1"/>
  <c r="DA215" i="1" a="1"/>
  <c r="DA215" i="1" s="1"/>
  <c r="DA196" i="1" a="1"/>
  <c r="DA196" i="1" s="1"/>
  <c r="AL199" i="1"/>
  <c r="CT214" i="1" a="1"/>
  <c r="CT214" i="1" s="1"/>
  <c r="CU214" i="1" s="1"/>
  <c r="DA214" i="1" a="1"/>
  <c r="DA214" i="1" s="1"/>
  <c r="DB214" i="1" a="1"/>
  <c r="DB214" i="1" s="1"/>
  <c r="CN214" i="1"/>
  <c r="CW214" i="1" a="1"/>
  <c r="CW214" i="1" s="1"/>
  <c r="CX214" i="1" s="1"/>
  <c r="CZ214" i="1" a="1"/>
  <c r="CZ214" i="1" s="1"/>
  <c r="Q213" i="1"/>
  <c r="DB210" i="1" a="1"/>
  <c r="DB210" i="1" s="1"/>
  <c r="AL230" i="1"/>
  <c r="CZ221" i="1" a="1"/>
  <c r="CZ221" i="1" s="1"/>
  <c r="AL223" i="1"/>
  <c r="Q236" i="1"/>
  <c r="Q238" i="1"/>
  <c r="CT244" i="1" a="1"/>
  <c r="CT244" i="1" s="1"/>
  <c r="CU244" i="1" s="1"/>
  <c r="DA244" i="1" a="1"/>
  <c r="DA244" i="1" s="1"/>
  <c r="CZ244" i="1" a="1"/>
  <c r="CZ244" i="1" s="1"/>
  <c r="CW244" i="1" a="1"/>
  <c r="CW244" i="1" s="1"/>
  <c r="CX244" i="1" s="1"/>
  <c r="CN244" i="1"/>
  <c r="DB244" i="1" a="1"/>
  <c r="DB244" i="1" s="1"/>
  <c r="CZ237" i="1" a="1"/>
  <c r="CZ237" i="1" s="1"/>
  <c r="AL245" i="1"/>
  <c r="CW202" i="1" a="1"/>
  <c r="CW202" i="1" s="1"/>
  <c r="CX202" i="1" s="1"/>
  <c r="AL211" i="1"/>
  <c r="DA237" i="1" a="1"/>
  <c r="DA237" i="1" s="1"/>
  <c r="Q242" i="1"/>
  <c r="Q241" i="1"/>
  <c r="CN256" i="1"/>
  <c r="CW256" i="1" a="1"/>
  <c r="CW256" i="1" s="1"/>
  <c r="CX256" i="1" s="1"/>
  <c r="CZ256" i="1" a="1"/>
  <c r="CZ256" i="1" s="1"/>
  <c r="DA256" i="1" a="1"/>
  <c r="DA256" i="1" s="1"/>
  <c r="DB256" i="1" a="1"/>
  <c r="DB256" i="1" s="1"/>
  <c r="CT256" i="1" a="1"/>
  <c r="CT256" i="1" s="1"/>
  <c r="CU256" i="1" s="1"/>
  <c r="CZ260" i="1" a="1"/>
  <c r="CZ260" i="1" s="1"/>
  <c r="CT260" i="1" a="1"/>
  <c r="CT260" i="1" s="1"/>
  <c r="CU260" i="1" s="1"/>
  <c r="DA260" i="1" a="1"/>
  <c r="DA260" i="1" s="1"/>
  <c r="DB260" i="1" a="1"/>
  <c r="DB260" i="1" s="1"/>
  <c r="CN260" i="1"/>
  <c r="CW260" i="1" a="1"/>
  <c r="CW260" i="1" s="1"/>
  <c r="CX260" i="1" s="1"/>
  <c r="Q244" i="1"/>
  <c r="CT255" i="1" a="1"/>
  <c r="CT255" i="1" s="1"/>
  <c r="CU255" i="1" s="1"/>
  <c r="Q259" i="1"/>
  <c r="Q277" i="1"/>
  <c r="AL266" i="1"/>
  <c r="DB268" i="1" a="1"/>
  <c r="DB268" i="1" s="1"/>
  <c r="CW268" i="1" a="1"/>
  <c r="CW268" i="1" s="1"/>
  <c r="CX268" i="1" s="1"/>
  <c r="CP268" i="1"/>
  <c r="DB280" i="1" a="1"/>
  <c r="DB280" i="1" s="1"/>
  <c r="CP280" i="1"/>
  <c r="CW280" i="1" a="1"/>
  <c r="CW280" i="1" s="1"/>
  <c r="CX280" i="1" s="1"/>
  <c r="CZ287" i="1" a="1"/>
  <c r="CZ287" i="1" s="1"/>
  <c r="CN287" i="1"/>
  <c r="CW287" i="1" a="1"/>
  <c r="CW287" i="1" s="1"/>
  <c r="CX287" i="1" s="1"/>
  <c r="DA287" i="1" a="1"/>
  <c r="DA287" i="1" s="1"/>
  <c r="DB287" i="1" a="1"/>
  <c r="DB287" i="1" s="1"/>
  <c r="CT287" i="1" a="1"/>
  <c r="CT287" i="1" s="1"/>
  <c r="CU287" i="1" s="1"/>
  <c r="CZ254" i="1" a="1"/>
  <c r="CZ254" i="1" s="1"/>
  <c r="CO254" i="1"/>
  <c r="CW265" i="1" a="1"/>
  <c r="CW265" i="1" s="1"/>
  <c r="CX265" i="1" s="1"/>
  <c r="DB250" i="1" a="1"/>
  <c r="DB250" i="1" s="1"/>
  <c r="CT250" i="1" a="1"/>
  <c r="CT250" i="1" s="1"/>
  <c r="CU250" i="1" s="1"/>
  <c r="CW250" i="1" a="1"/>
  <c r="CW250" i="1" s="1"/>
  <c r="CX250" i="1" s="1"/>
  <c r="CN250" i="1"/>
  <c r="CZ250" i="1" a="1"/>
  <c r="CZ250" i="1" s="1"/>
  <c r="DA250" i="1" a="1"/>
  <c r="DA250" i="1" s="1"/>
  <c r="DB270" i="1" a="1"/>
  <c r="DB270" i="1" s="1"/>
  <c r="CN270" i="1"/>
  <c r="CW270" i="1" a="1"/>
  <c r="CW270" i="1" s="1"/>
  <c r="CX270" i="1" s="1"/>
  <c r="CZ270" i="1" a="1"/>
  <c r="CZ270" i="1" s="1"/>
  <c r="CT270" i="1" a="1"/>
  <c r="CT270" i="1" s="1"/>
  <c r="CU270" i="1" s="1"/>
  <c r="DA270" i="1" a="1"/>
  <c r="DA270" i="1" s="1"/>
  <c r="DB245" i="1" a="1"/>
  <c r="DB245" i="1" s="1"/>
  <c r="AL259" i="1"/>
  <c r="CT265" i="1" a="1"/>
  <c r="CT265" i="1" s="1"/>
  <c r="CU265" i="1" s="1"/>
  <c r="CT269" i="1" a="1"/>
  <c r="CT269" i="1" s="1"/>
  <c r="CU269" i="1" s="1"/>
  <c r="CZ284" i="1" a="1"/>
  <c r="CZ284" i="1" s="1"/>
  <c r="CT261" i="1" a="1"/>
  <c r="CT261" i="1" s="1"/>
  <c r="CU261" i="1" s="1"/>
  <c r="CW273" i="1" a="1"/>
  <c r="CW273" i="1" s="1"/>
  <c r="CX273" i="1" s="1"/>
  <c r="DB281" i="1" a="1"/>
  <c r="DB281" i="1" s="1"/>
  <c r="DB293" i="1" a="1"/>
  <c r="DB293" i="1" s="1"/>
  <c r="CN298" i="1"/>
  <c r="CW298" i="1" a="1"/>
  <c r="CW298" i="1" s="1"/>
  <c r="CX298" i="1" s="1"/>
  <c r="CZ298" i="1" a="1"/>
  <c r="CZ298" i="1" s="1"/>
  <c r="CT298" i="1" a="1"/>
  <c r="CT298" i="1" s="1"/>
  <c r="CU298" i="1" s="1"/>
  <c r="DA298" i="1" a="1"/>
  <c r="DA298" i="1" s="1"/>
  <c r="DB298" i="1" a="1"/>
  <c r="DB298" i="1" s="1"/>
  <c r="Q290" i="1"/>
  <c r="Q294" i="1"/>
  <c r="Q285" i="1"/>
  <c r="DA289" i="1" a="1"/>
  <c r="DA289" i="1" s="1"/>
  <c r="Q295" i="1"/>
  <c r="AL286" i="1"/>
  <c r="CO286" i="1"/>
  <c r="DA286" i="1" a="1"/>
  <c r="DA286" i="1" s="1"/>
  <c r="CT286" i="1" a="1"/>
  <c r="CT286" i="1" s="1"/>
  <c r="CU286" i="1" s="1"/>
  <c r="CZ273" i="1" a="1"/>
  <c r="CZ273" i="1" s="1"/>
  <c r="CZ294" i="1" a="1"/>
  <c r="CZ294" i="1" s="1"/>
  <c r="DA297" i="1" a="1"/>
  <c r="DA297" i="1" s="1"/>
  <c r="CT303" i="1" a="1"/>
  <c r="CT303" i="1" s="1"/>
  <c r="CU303" i="1" s="1"/>
  <c r="CU134" i="1" l="1"/>
  <c r="CU133" i="1"/>
  <c r="CU268" i="1"/>
  <c r="CU136" i="1"/>
  <c r="CU143" i="1"/>
  <c r="CU172" i="1"/>
  <c r="CU137" i="1"/>
  <c r="CU145" i="1"/>
  <c r="CU276" i="1"/>
  <c r="CU157" i="1"/>
  <c r="CU280" i="1"/>
  <c r="CU1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<sst xmlns="http://schemas.openxmlformats.org/spreadsheetml/2006/main" count="29" uniqueCount="21">
  <si>
    <t>배</t>
    <phoneticPr fontId="3" type="noConversion"/>
  </si>
  <si>
    <t>자</t>
    <phoneticPr fontId="3" type="noConversion"/>
  </si>
  <si>
    <t>소</t>
    <phoneticPr fontId="3" type="noConversion"/>
  </si>
  <si>
    <t>끝저고</t>
    <phoneticPr fontId="3" type="noConversion"/>
  </si>
  <si>
    <t>짝</t>
    <phoneticPr fontId="3" type="noConversion"/>
  </si>
  <si>
    <t>홀</t>
    <phoneticPr fontId="3" type="noConversion"/>
  </si>
  <si>
    <t>13하23상</t>
    <phoneticPr fontId="3" type="noConversion"/>
  </si>
  <si>
    <t xml:space="preserve">1 2 3 4 5 6 </t>
    <phoneticPr fontId="3" type="noConversion"/>
  </si>
  <si>
    <t>단-10-20-30-40</t>
    <phoneticPr fontId="3" type="noConversion"/>
  </si>
  <si>
    <t>31~45</t>
    <phoneticPr fontId="3" type="noConversion"/>
  </si>
  <si>
    <t>15~30</t>
    <phoneticPr fontId="3" type="noConversion"/>
  </si>
  <si>
    <t>1~14</t>
    <phoneticPr fontId="3" type="noConversion"/>
  </si>
  <si>
    <t>고</t>
    <phoneticPr fontId="3" type="noConversion"/>
  </si>
  <si>
    <t>저</t>
    <phoneticPr fontId="3" type="noConversion"/>
  </si>
  <si>
    <t>6조합</t>
  </si>
  <si>
    <t>소수</t>
    <phoneticPr fontId="3" type="noConversion"/>
  </si>
  <si>
    <t>자연수</t>
    <phoneticPr fontId="3" type="noConversion"/>
  </si>
  <si>
    <t>3배수</t>
    <phoneticPr fontId="3" type="noConversion"/>
  </si>
  <si>
    <t>이격수</t>
    <phoneticPr fontId="3" type="noConversion"/>
  </si>
  <si>
    <t>9단위* 5분</t>
    <phoneticPr fontId="3" type="noConversion"/>
  </si>
  <si>
    <t>10단위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</si>
</sst>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rgb="FF0066FF"/>
      <name val="맑은 고딕"/>
      <family val="3"/>
      <charset val="129"/>
      <scheme val="minor"/>
    </font>
    <font>
      <b/>
      <sz val="9"/>
      <color rgb="FFED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2" fillId="6" borderId="0" xfId="0" applyFont="1" applyFill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2" fillId="11" borderId="0" xfId="0" applyFont="1" applyFill="1">
      <alignment vertical="center"/>
    </xf>
    <xf numFmtId="0" fontId="4" fillId="12" borderId="0" xfId="0" applyFont="1" applyFill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4" fillId="14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0" fontId="6" fillId="6" borderId="0" xfId="0" applyFont="1" applyFill="1">
      <alignment vertical="center"/>
    </xf>
    <xf numFmtId="0" fontId="6" fillId="15" borderId="0" xfId="0" applyFont="1" applyFill="1">
      <alignment vertical="center"/>
    </xf>
    <xf numFmtId="0" fontId="6" fillId="16" borderId="0" xfId="0" applyFont="1" applyFill="1">
      <alignment vertical="center"/>
    </xf>
    <xf numFmtId="0" fontId="6" fillId="17" borderId="0" xfId="0" applyFont="1" applyFill="1">
      <alignment vertical="center"/>
    </xf>
    <xf numFmtId="0" fontId="4" fillId="10" borderId="0" xfId="0" applyFont="1" applyFill="1" applyAlignment="1">
      <alignment horizontal="centerContinuous" vertical="center"/>
    </xf>
    <xf numFmtId="0" fontId="7" fillId="9" borderId="0" xfId="0" applyFont="1" applyFill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17" xfId="0" applyFont="1" applyBorder="1" applyAlignment="1">
      <alignment horizontal="center" vertical="center"/>
    </xf>
    <xf numFmtId="41" fontId="9" fillId="0" borderId="0" xfId="1" applyFont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6" fillId="18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533">
    <dxf>
      <fill>
        <patternFill>
          <bgColor rgb="FF99FFCC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00FF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00FF"/>
      </font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ill>
        <patternFill patternType="none">
          <bgColor auto="1"/>
        </patternFill>
      </fill>
    </dxf>
    <dxf>
      <font>
        <color rgb="FF0000FF"/>
      </font>
      <fill>
        <patternFill patternType="none">
          <bgColor auto="1"/>
        </patternFill>
      </fill>
    </dxf>
    <dxf>
      <font>
        <color theme="1"/>
      </font>
      <fill>
        <patternFill>
          <bgColor rgb="FF99FFCC"/>
        </patternFill>
      </fill>
    </dxf>
    <dxf>
      <font>
        <color theme="1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ill>
        <patternFill>
          <bgColor rgb="FFFF0000"/>
        </patternFill>
      </fill>
    </dxf>
    <dxf>
      <fill>
        <patternFill>
          <bgColor rgb="FF99FFCC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rgb="FF0000FF"/>
      </font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CD842"/>
        </patternFill>
      </fill>
    </dxf>
    <dxf>
      <font>
        <color theme="0" tint="-4.9989318521683403E-2"/>
      </font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ECD842"/>
        </patternFill>
      </fill>
    </dxf>
    <dxf>
      <fill>
        <patternFill>
          <bgColor theme="7" tint="0.39994506668294322"/>
        </patternFill>
      </fill>
    </dxf>
    <dxf>
      <font>
        <color rgb="FF0066FF"/>
      </font>
    </dxf>
    <dxf>
      <font>
        <color rgb="FFFF0000"/>
      </font>
    </dxf>
    <dxf>
      <font>
        <b/>
        <i val="0"/>
        <color rgb="FF00B0F0"/>
      </font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6FF"/>
      </font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color rgb="FF00B0F0"/>
      </font>
    </dxf>
    <dxf>
      <font>
        <b/>
        <i val="0"/>
        <color rgb="FF0000FF"/>
      </font>
    </dxf>
    <dxf>
      <font>
        <b/>
        <i val="0"/>
        <color rgb="FF66CCFF"/>
      </font>
    </dxf>
    <dxf>
      <font>
        <b/>
        <i val="0"/>
        <color rgb="FF00B0F0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3399FF"/>
      </font>
    </dxf>
    <dxf>
      <font>
        <b/>
        <i/>
      </font>
    </dxf>
    <dxf>
      <font>
        <b/>
        <i/>
        <color rgb="FF66CCFF"/>
      </font>
    </dxf>
    <dxf>
      <font>
        <b/>
        <i/>
        <color rgb="FF00B0F0"/>
      </font>
    </dxf>
    <dxf>
      <font>
        <b/>
        <i/>
        <color rgb="FF66CCFF"/>
      </font>
    </dxf>
    <dxf>
      <font>
        <b/>
        <i/>
        <color rgb="FF66CC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FB"/>
        </patternFill>
      </fill>
    </dxf>
    <dxf>
      <fill>
        <patternFill>
          <bgColor rgb="FFFFE1FF"/>
        </patternFill>
      </fill>
    </dxf>
    <dxf>
      <fill>
        <patternFill>
          <bgColor rgb="FFFFE7FC"/>
        </patternFill>
      </fill>
    </dxf>
    <dxf>
      <fill>
        <patternFill>
          <bgColor rgb="FFFFFFFF"/>
        </patternFill>
      </fill>
    </dxf>
    <dxf>
      <fill>
        <patternFill>
          <bgColor rgb="FFFFDDFF"/>
        </patternFill>
      </fill>
    </dxf>
    <dxf>
      <fill>
        <patternFill>
          <bgColor rgb="FFFFD5FF"/>
        </patternFill>
      </fill>
    </dxf>
    <dxf>
      <fill>
        <patternFill>
          <bgColor rgb="FFFFD5FF"/>
        </patternFill>
      </fill>
    </dxf>
    <dxf>
      <fill>
        <patternFill>
          <bgColor rgb="FFFFE5FF"/>
        </patternFill>
      </fill>
    </dxf>
    <dxf>
      <fill>
        <patternFill>
          <bgColor rgb="FFFFDDFF"/>
        </patternFill>
      </fill>
    </dxf>
    <dxf>
      <fill>
        <patternFill>
          <bgColor rgb="FFFFDDFF"/>
        </patternFill>
      </fill>
    </dxf>
    <dxf>
      <fill>
        <patternFill>
          <bgColor rgb="FFFFE1FF"/>
        </patternFill>
      </fill>
    </dxf>
    <dxf>
      <fill>
        <patternFill>
          <bgColor rgb="FFFFE1FF"/>
        </patternFill>
      </fill>
    </dxf>
    <dxf>
      <fill>
        <patternFill>
          <bgColor rgb="FFFFCDFF"/>
        </patternFill>
      </fill>
    </dxf>
    <dxf>
      <fill>
        <patternFill>
          <bgColor rgb="FFFFD9FF"/>
        </patternFill>
      </fill>
    </dxf>
    <dxf>
      <fill>
        <patternFill>
          <bgColor rgb="FFFFD9FF"/>
        </patternFill>
      </fill>
    </dxf>
    <dxf>
      <fill>
        <patternFill>
          <bgColor rgb="FFFFCDFF"/>
        </patternFill>
      </fill>
    </dxf>
    <dxf>
      <fill>
        <patternFill>
          <bgColor rgb="FFFFDDFF"/>
        </patternFill>
      </fill>
    </dxf>
    <dxf>
      <font>
        <color theme="1"/>
      </font>
    </dxf>
    <dxf>
      <font>
        <b/>
        <i val="0"/>
        <color theme="1"/>
      </font>
    </dxf>
    <dxf>
      <font>
        <b/>
        <i val="0"/>
        <color rgb="FF3399FF"/>
      </font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CC66"/>
        </patternFill>
      </fill>
    </dxf>
    <dxf>
      <fill>
        <patternFill>
          <bgColor theme="9" tint="0.59996337778862885"/>
        </patternFill>
      </fill>
    </dxf>
    <dxf>
      <fill>
        <patternFill>
          <bgColor rgb="FFFFE2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00FF"/>
      </font>
      <fill>
        <patternFill>
          <bgColor theme="2" tint="-9.9948118533890809E-2"/>
        </patternFill>
      </fill>
    </dxf>
    <dxf>
      <font>
        <b/>
        <i val="0"/>
        <color rgb="FF3399FF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rgb="FF92D050"/>
        </patternFill>
      </fill>
    </dxf>
    <dxf>
      <font>
        <b val="0"/>
        <i val="0"/>
        <color rgb="FFFF000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color rgb="FFFF000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color rgb="FF3399FF"/>
      </font>
    </dxf>
    <dxf>
      <font>
        <color rgb="FF00B0F0"/>
      </font>
    </dxf>
    <dxf>
      <font>
        <color rgb="FF3399FF"/>
      </font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0066FF"/>
      </font>
    </dxf>
    <dxf>
      <font>
        <color rgb="FF0066FF"/>
      </font>
    </dxf>
    <dxf>
      <font>
        <color rgb="FFFF0000"/>
      </font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FF0000"/>
      </font>
      <fill>
        <patternFill>
          <bgColor rgb="FFFFCC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6FF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6FF"/>
      </font>
    </dxf>
    <dxf>
      <font>
        <color rgb="FF0066FF"/>
      </font>
    </dxf>
    <dxf>
      <font>
        <color rgb="FFFF0000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66FF"/>
      </font>
    </dxf>
    <dxf>
      <font>
        <color rgb="FF0066FF"/>
      </font>
    </dxf>
    <dxf>
      <font>
        <color rgb="FF0000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color rgb="FFFF0000"/>
      </font>
    </dxf>
    <dxf>
      <font>
        <color rgb="FF0066FF"/>
      </font>
    </dxf>
    <dxf>
      <font>
        <color rgb="FF0000FF"/>
      </font>
    </dxf>
    <dxf>
      <fill>
        <patternFill>
          <bgColor rgb="FF99FFCC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rgb="FF99FFCC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rgb="FF99FFC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1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rgb="FF99FFCC"/>
        </patternFill>
      </fill>
    </dxf>
    <dxf>
      <fill>
        <patternFill>
          <bgColor theme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>
          <bgColor rgb="FF99FFCC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0000FF"/>
      </font>
      <fill>
        <patternFill patternType="none">
          <bgColor auto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rgb="FF99FFCC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>
          <bgColor rgb="FF99FFCC"/>
        </patternFill>
      </fill>
    </dxf>
    <dxf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00FF"/>
      </font>
      <fill>
        <patternFill>
          <bgColor theme="8" tint="0.79998168889431442"/>
        </patternFill>
      </fill>
    </dxf>
    <dxf>
      <font>
        <color theme="1"/>
      </font>
      <fill>
        <patternFill>
          <bgColor rgb="FF99FFCC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99FFCC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ont>
        <color rgb="FF0000FF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00FF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CD78C"/>
        </patternFill>
      </fill>
    </dxf>
    <dxf>
      <fill>
        <patternFill>
          <bgColor rgb="FFECD842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rgb="FFEDD38B"/>
        </patternFill>
      </fill>
    </dxf>
    <dxf>
      <fill>
        <patternFill>
          <bgColor rgb="FFE5D983"/>
        </patternFill>
      </fill>
    </dxf>
    <dxf>
      <font>
        <color theme="1" tint="0.499984740745262"/>
      </font>
    </dxf>
    <dxf>
      <fill>
        <patternFill>
          <bgColor theme="7" tint="0.3999450666829432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566A-C44A-4842-B691-72AEF102DC3B}">
  <sheetPr>
    <tabColor rgb="FF00B0F0"/>
  </sheetPr>
  <dimension ref="A1:DT408"/>
  <sheetViews>
    <sheetView tabSelected="1" zoomScaleNormal="100" workbookViewId="0">
      <pane xSplit="8" ySplit="3" topLeftCell="I118" activePane="bottomRight" state="frozen"/>
      <selection pane="topRight" activeCell="I1" sqref="I1"/>
      <selection pane="bottomLeft" activeCell="A4" sqref="A4"/>
      <selection pane="bottomRight" activeCell="EA124" sqref="EA124"/>
    </sheetView>
  </sheetViews>
  <sheetFormatPr defaultColWidth="2.125" defaultRowHeight="13.5" x14ac:dyDescent="0.3"/>
  <cols>
    <col min="1" max="1" width="5.375" style="1" bestFit="1" customWidth="1"/>
    <col min="2" max="7" width="2.875" style="1" customWidth="1"/>
    <col min="8" max="8" width="1.875" style="8" customWidth="1"/>
    <col min="9" max="14" width="2.5" style="1" customWidth="1"/>
    <col min="15" max="15" width="1.875" style="8" customWidth="1"/>
    <col min="16" max="17" width="2.5" style="1" bestFit="1" customWidth="1"/>
    <col min="18" max="18" width="1.375" style="7" customWidth="1"/>
    <col min="19" max="20" width="2.5" style="1" bestFit="1" customWidth="1"/>
    <col min="21" max="21" width="1.375" style="7" customWidth="1"/>
    <col min="22" max="23" width="2.5" style="1" bestFit="1" customWidth="1"/>
    <col min="24" max="24" width="1.375" style="7" customWidth="1"/>
    <col min="25" max="27" width="6.125" style="6" customWidth="1"/>
    <col min="28" max="28" width="1.375" style="7" customWidth="1"/>
    <col min="29" max="34" width="2.625" style="4" customWidth="1"/>
    <col min="35" max="35" width="1.375" style="7" customWidth="1"/>
    <col min="36" max="38" width="2.5" style="1" bestFit="1" customWidth="1"/>
    <col min="39" max="39" width="1.125" style="10" customWidth="1"/>
    <col min="40" max="44" width="2.875" style="1" customWidth="1"/>
    <col min="45" max="56" width="2.5" style="1" hidden="1" customWidth="1"/>
    <col min="57" max="61" width="2.875" style="1" hidden="1" customWidth="1"/>
    <col min="62" max="62" width="1.125" style="10" customWidth="1"/>
    <col min="63" max="67" width="2.5" style="1" bestFit="1" customWidth="1"/>
    <col min="68" max="79" width="2.5" style="1" hidden="1" customWidth="1"/>
    <col min="80" max="84" width="2.875" style="1" hidden="1" customWidth="1"/>
    <col min="85" max="85" width="1.125" style="10" customWidth="1"/>
    <col min="86" max="90" width="2.875" style="9" customWidth="1"/>
    <col min="91" max="91" width="1.875" style="8" customWidth="1"/>
    <col min="92" max="96" width="2.5" style="1" customWidth="1"/>
    <col min="97" max="97" width="1.875" style="8" customWidth="1"/>
    <col min="98" max="98" width="3.625" style="1" bestFit="1" customWidth="1"/>
    <col min="99" max="99" width="2.5" style="1" bestFit="1" customWidth="1"/>
    <col min="100" max="100" width="1.375" style="7" customWidth="1"/>
    <col min="101" max="101" width="3" style="1" customWidth="1"/>
    <col min="102" max="102" width="2.5" style="1" bestFit="1" customWidth="1"/>
    <col min="103" max="103" width="1.375" style="7" customWidth="1"/>
    <col min="104" max="106" width="2.5" style="6" bestFit="1" customWidth="1"/>
    <col min="107" max="107" width="1.375" style="1" customWidth="1"/>
    <col min="108" max="117" width="2.5" style="1" hidden="1" customWidth="1"/>
    <col min="118" max="118" width="2.5" style="5" hidden="1" customWidth="1"/>
    <col min="119" max="123" width="2.625" style="4" customWidth="1"/>
    <col min="124" max="124" width="1.375" style="2" customWidth="1"/>
    <col min="125" max="16384" width="2.125" style="1"/>
  </cols>
  <sheetData>
    <row r="1" spans="1:124" ht="17.25" thickBot="1" x14ac:dyDescent="0.35">
      <c r="A1" s="3"/>
      <c r="B1" s="3"/>
      <c r="C1" s="3"/>
      <c r="D1" s="3"/>
      <c r="E1" s="3"/>
      <c r="F1" s="3"/>
      <c r="G1" s="64"/>
      <c r="H1" s="32"/>
      <c r="I1" s="3"/>
      <c r="J1" s="3"/>
      <c r="K1" s="3"/>
      <c r="L1" s="3"/>
      <c r="M1" s="3"/>
      <c r="N1" s="3"/>
      <c r="O1" s="32"/>
      <c r="P1" s="3"/>
      <c r="Q1" s="3"/>
      <c r="R1" s="34"/>
      <c r="S1" s="3"/>
      <c r="T1" s="3"/>
      <c r="U1" s="34"/>
      <c r="V1" s="3"/>
      <c r="W1" s="3"/>
      <c r="X1" s="34"/>
      <c r="Y1" s="3"/>
      <c r="Z1" s="3"/>
      <c r="AA1" s="3"/>
      <c r="AB1" s="30"/>
      <c r="AC1" s="26"/>
      <c r="AD1" s="26"/>
      <c r="AE1" s="26"/>
      <c r="AF1" s="26"/>
      <c r="AG1" s="26"/>
      <c r="AH1" s="26"/>
      <c r="AI1" s="30"/>
      <c r="AJ1" s="3"/>
      <c r="AK1" s="3"/>
      <c r="AL1" s="3"/>
      <c r="AM1" s="67"/>
      <c r="AN1" s="68" t="s">
        <v>19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9"/>
      <c r="BF1" s="9"/>
      <c r="BG1" s="9"/>
      <c r="BH1" s="9"/>
      <c r="BI1" s="9"/>
      <c r="BJ1" s="67"/>
      <c r="BK1" s="3" t="s">
        <v>20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9"/>
      <c r="CC1" s="9"/>
      <c r="CD1" s="9"/>
      <c r="CE1" s="9"/>
      <c r="CF1" s="9"/>
      <c r="CG1" s="67"/>
      <c r="CH1" s="69" t="s">
        <v>18</v>
      </c>
      <c r="CI1" s="69"/>
      <c r="CJ1" s="69"/>
      <c r="CK1" s="69"/>
      <c r="CL1" s="69"/>
      <c r="CM1" s="32"/>
      <c r="CN1" s="3"/>
      <c r="CO1" s="3"/>
      <c r="CP1" s="3"/>
      <c r="CQ1" s="3"/>
      <c r="CR1" s="3"/>
      <c r="CS1" s="31"/>
      <c r="CT1" s="66">
        <v>15</v>
      </c>
      <c r="CU1" s="3"/>
      <c r="CV1" s="30"/>
      <c r="CW1" s="66">
        <v>15</v>
      </c>
      <c r="CX1" s="3"/>
      <c r="CY1" s="30"/>
      <c r="CZ1" s="3"/>
      <c r="DA1" s="3"/>
      <c r="DB1" s="3"/>
      <c r="DC1" s="29"/>
      <c r="DD1" s="3"/>
      <c r="DE1" s="3"/>
      <c r="DF1" s="3"/>
      <c r="DG1" s="3"/>
      <c r="DH1" s="3"/>
      <c r="DI1" s="3"/>
      <c r="DJ1" s="3"/>
      <c r="DK1" s="3"/>
      <c r="DL1" s="3"/>
      <c r="DM1" s="3"/>
      <c r="DN1" s="27"/>
      <c r="DO1" s="26"/>
      <c r="DP1" s="26"/>
      <c r="DQ1" s="26"/>
      <c r="DR1" s="26"/>
      <c r="DS1" s="26"/>
      <c r="DT1" s="25"/>
    </row>
    <row r="2" spans="1:124" ht="14.25" thickBot="1" x14ac:dyDescent="0.35">
      <c r="A2" s="65">
        <f>COUNTA(B4:B56559)</f>
        <v>300</v>
      </c>
      <c r="B2" s="3" t="s">
        <v>14</v>
      </c>
      <c r="C2" s="3"/>
      <c r="D2" s="3"/>
      <c r="E2" s="3"/>
      <c r="F2" s="3"/>
      <c r="G2" s="64"/>
      <c r="H2" s="32"/>
      <c r="I2" s="56">
        <v>1</v>
      </c>
      <c r="J2" s="55">
        <v>2</v>
      </c>
      <c r="K2" s="55">
        <v>3</v>
      </c>
      <c r="L2" s="55">
        <v>4</v>
      </c>
      <c r="M2" s="55">
        <v>5</v>
      </c>
      <c r="N2" s="63">
        <v>6</v>
      </c>
      <c r="O2" s="32"/>
      <c r="P2" s="54" t="s">
        <v>5</v>
      </c>
      <c r="Q2" s="54" t="s">
        <v>4</v>
      </c>
      <c r="R2" s="34"/>
      <c r="S2" s="3" t="s">
        <v>13</v>
      </c>
      <c r="T2" s="3" t="s">
        <v>12</v>
      </c>
      <c r="U2" s="34"/>
      <c r="V2" s="53" t="s">
        <v>3</v>
      </c>
      <c r="W2" s="53"/>
      <c r="X2" s="34"/>
      <c r="Y2" s="3" t="s">
        <v>15</v>
      </c>
      <c r="Z2" s="3" t="s">
        <v>16</v>
      </c>
      <c r="AA2" s="3" t="s">
        <v>17</v>
      </c>
      <c r="AB2" s="30"/>
      <c r="AC2" s="26" t="s">
        <v>2</v>
      </c>
      <c r="AD2" s="26"/>
      <c r="AE2" s="26"/>
      <c r="AF2" s="26"/>
      <c r="AG2" s="26"/>
      <c r="AH2" s="26" t="s">
        <v>0</v>
      </c>
      <c r="AI2" s="30"/>
      <c r="AJ2" s="53" t="s">
        <v>11</v>
      </c>
      <c r="AK2" s="53" t="s">
        <v>10</v>
      </c>
      <c r="AL2" s="53" t="s">
        <v>9</v>
      </c>
      <c r="AM2" s="57"/>
      <c r="AN2" s="62">
        <v>9</v>
      </c>
      <c r="AO2" s="62">
        <v>18</v>
      </c>
      <c r="AP2" s="62">
        <v>27</v>
      </c>
      <c r="AQ2" s="62">
        <v>36</v>
      </c>
      <c r="AR2" s="62">
        <v>45</v>
      </c>
      <c r="AS2" s="53" t="s">
        <v>7</v>
      </c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60" t="e">
        <f>SUM(#REF!)</f>
        <v>#REF!</v>
      </c>
      <c r="BF2" s="3"/>
      <c r="BG2" s="59" t="e">
        <f>SUM(#REF!)</f>
        <v>#REF!</v>
      </c>
      <c r="BH2" s="58" t="s">
        <v>6</v>
      </c>
      <c r="BI2" s="58"/>
      <c r="BJ2" s="57"/>
      <c r="BK2" s="61" t="s">
        <v>8</v>
      </c>
      <c r="BL2" s="61"/>
      <c r="BM2" s="61"/>
      <c r="BN2" s="61"/>
      <c r="BO2" s="61"/>
      <c r="BP2" s="53" t="s">
        <v>7</v>
      </c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60" t="e">
        <f>SUM(#REF!)</f>
        <v>#REF!</v>
      </c>
      <c r="CC2" s="3"/>
      <c r="CD2" s="59" t="e">
        <f>SUM(#REF!)</f>
        <v>#REF!</v>
      </c>
      <c r="CE2" s="58" t="s">
        <v>6</v>
      </c>
      <c r="CF2" s="58"/>
      <c r="CG2" s="57"/>
      <c r="CH2" s="53">
        <v>1</v>
      </c>
      <c r="CI2" s="53">
        <v>2</v>
      </c>
      <c r="CJ2" s="53">
        <v>3</v>
      </c>
      <c r="CK2" s="53">
        <v>4</v>
      </c>
      <c r="CL2" s="53">
        <v>5</v>
      </c>
      <c r="CM2" s="32"/>
      <c r="CN2" s="56">
        <v>1</v>
      </c>
      <c r="CO2" s="55">
        <v>2</v>
      </c>
      <c r="CP2" s="55">
        <v>3</v>
      </c>
      <c r="CQ2" s="55">
        <v>4</v>
      </c>
      <c r="CR2" s="55">
        <v>5</v>
      </c>
      <c r="CS2" s="31"/>
      <c r="CT2" s="54" t="s">
        <v>5</v>
      </c>
      <c r="CU2" s="54" t="s">
        <v>4</v>
      </c>
      <c r="CV2" s="30"/>
      <c r="CW2" s="53" t="s">
        <v>3</v>
      </c>
      <c r="CX2" s="53"/>
      <c r="CY2" s="30"/>
      <c r="CZ2" s="3" t="s">
        <v>2</v>
      </c>
      <c r="DA2" s="3" t="s">
        <v>1</v>
      </c>
      <c r="DB2" s="3" t="s">
        <v>0</v>
      </c>
      <c r="DC2" s="29"/>
      <c r="DD2" s="53">
        <v>1</v>
      </c>
      <c r="DE2" s="53"/>
      <c r="DF2" s="53">
        <v>2</v>
      </c>
      <c r="DG2" s="53"/>
      <c r="DH2" s="53">
        <v>3</v>
      </c>
      <c r="DI2" s="53"/>
      <c r="DJ2" s="53">
        <v>4</v>
      </c>
      <c r="DK2" s="53"/>
      <c r="DL2" s="53">
        <v>5</v>
      </c>
      <c r="DM2" s="53"/>
      <c r="DN2" s="27"/>
      <c r="DO2" s="26"/>
      <c r="DP2" s="26"/>
      <c r="DQ2" s="26"/>
      <c r="DR2" s="26"/>
      <c r="DS2" s="26" t="s">
        <v>0</v>
      </c>
      <c r="DT2" s="25"/>
    </row>
    <row r="3" spans="1:124" x14ac:dyDescent="0.3">
      <c r="A3" s="50"/>
      <c r="B3" s="50">
        <v>1</v>
      </c>
      <c r="C3" s="50">
        <v>2</v>
      </c>
      <c r="D3" s="50">
        <v>3</v>
      </c>
      <c r="E3" s="50">
        <v>4</v>
      </c>
      <c r="F3" s="50">
        <v>5</v>
      </c>
      <c r="G3" s="50">
        <v>6</v>
      </c>
      <c r="H3" s="32"/>
      <c r="I3" s="51"/>
      <c r="J3" s="51"/>
      <c r="K3" s="51"/>
      <c r="L3" s="51"/>
      <c r="M3" s="51"/>
      <c r="N3" s="51"/>
      <c r="O3" s="32"/>
      <c r="P3" s="50"/>
      <c r="Q3" s="50"/>
      <c r="R3" s="34"/>
      <c r="S3" s="50"/>
      <c r="T3" s="50"/>
      <c r="U3" s="34"/>
      <c r="V3" s="50"/>
      <c r="W3" s="50"/>
      <c r="X3" s="34"/>
      <c r="Y3" s="50"/>
      <c r="Z3" s="50"/>
      <c r="AA3" s="50"/>
      <c r="AB3" s="30"/>
      <c r="AC3" s="26"/>
      <c r="AD3" s="26"/>
      <c r="AE3" s="26"/>
      <c r="AF3" s="26"/>
      <c r="AG3" s="26"/>
      <c r="AH3" s="26"/>
      <c r="AI3" s="30"/>
      <c r="AJ3" s="50"/>
      <c r="AK3" s="50"/>
      <c r="AL3" s="50"/>
      <c r="AM3" s="33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2"/>
      <c r="BF3" s="52"/>
      <c r="BG3" s="52"/>
      <c r="BH3" s="52"/>
      <c r="BI3" s="52"/>
      <c r="BJ3" s="33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2"/>
      <c r="CC3" s="52"/>
      <c r="CD3" s="52"/>
      <c r="CE3" s="52"/>
      <c r="CF3" s="52"/>
      <c r="CG3" s="33"/>
      <c r="CM3" s="32"/>
      <c r="CN3" s="51"/>
      <c r="CO3" s="51"/>
      <c r="CP3" s="51"/>
      <c r="CQ3" s="51"/>
      <c r="CR3" s="51"/>
      <c r="CS3" s="31"/>
      <c r="CT3" s="50"/>
      <c r="CU3" s="50"/>
      <c r="CV3" s="30"/>
      <c r="CW3" s="50"/>
      <c r="CX3" s="50"/>
      <c r="CY3" s="30"/>
      <c r="CZ3" s="50"/>
      <c r="DA3" s="50"/>
      <c r="DB3" s="50"/>
      <c r="DC3" s="29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27"/>
      <c r="DO3" s="26"/>
      <c r="DP3" s="26"/>
      <c r="DQ3" s="26"/>
      <c r="DR3" s="26"/>
      <c r="DS3" s="26"/>
      <c r="DT3" s="25"/>
    </row>
    <row r="4" spans="1:124" x14ac:dyDescent="0.3">
      <c r="B4" s="3">
        <v>4</v>
      </c>
      <c r="C4" s="3">
        <v>7</v>
      </c>
      <c r="D4" s="3">
        <v>17</v>
      </c>
      <c r="E4" s="3">
        <v>18</v>
      </c>
      <c r="F4" s="3">
        <v>38</v>
      </c>
      <c r="G4" s="3">
        <v>44</v>
      </c>
      <c r="H4" s="32"/>
      <c r="I4" s="3">
        <f t="shared" ref="I4:I67" si="0">IF(OR(B4="",ISBLANK(B4),B4=0),0,IF(MOD(B4,2)=1,1,2))</f>
        <v>2</v>
      </c>
      <c r="J4" s="3">
        <f t="shared" ref="J4:J67" si="1">IF(OR(C4="",ISBLANK(C4),C4=0),0,IF(MOD(C4,2)=1,1,2))</f>
        <v>1</v>
      </c>
      <c r="K4" s="3">
        <f t="shared" ref="K4:K67" si="2">IF(OR(D4="",ISBLANK(D4),D4=0),0,IF(MOD(D4,2)=1,1,2))</f>
        <v>1</v>
      </c>
      <c r="L4" s="3">
        <f t="shared" ref="L4:L67" si="3">IF(OR(E4="",ISBLANK(E4),E4=0),0,IF(MOD(E4,2)=1,1,2))</f>
        <v>2</v>
      </c>
      <c r="M4" s="3">
        <f t="shared" ref="M4:M67" si="4">IF(OR(F4="",ISBLANK(F4),F4=0),0,IF(MOD(F4,2)=1,1,2))</f>
        <v>2</v>
      </c>
      <c r="N4" s="3">
        <f t="shared" ref="N4:N67" si="5">IF(OR(G4="",ISBLANK(G4),G4=0),0,IF(MOD(G4,2)=1,1,2))</f>
        <v>2</v>
      </c>
      <c r="O4" s="32"/>
      <c r="P4" s="3" cm="1">
        <f t="array" ref="P4">SUMPRODUCT(--(MOD(B4:G4,2)=1))</f>
        <v>2</v>
      </c>
      <c r="Q4" s="3">
        <f t="shared" ref="Q4:Q67" si="6">6-P4</f>
        <v>4</v>
      </c>
      <c r="R4" s="34"/>
      <c r="S4" s="3">
        <f t="shared" ref="S4:S67" si="7">COUNTIFS(B4:G4,"&gt;=1",B4:G4,"&lt;=23")</f>
        <v>4</v>
      </c>
      <c r="T4" s="3">
        <f t="shared" ref="T4:T67" si="8">6-S4</f>
        <v>2</v>
      </c>
      <c r="U4" s="34"/>
      <c r="V4" s="3" cm="1">
        <f t="array" ref="V4">SUMPRODUCT(--(MOD(B4:G4,10)&gt;=1), --(MOD(B4:G4,10)&lt;=5))</f>
        <v>2</v>
      </c>
      <c r="W4" s="3">
        <f t="shared" ref="W4:W67" si="9">6-V4</f>
        <v>4</v>
      </c>
      <c r="X4" s="34"/>
      <c r="Y4" s="3" cm="1">
        <f t="array" ref="Y4">IFERROR(COUNT(_xlfn._xlws.FILTER(B4:G4, ISNUMBER(MATCH(B4:G4, {2,3,5,7,11,13,17,19,23,29,31,37,41,43}, 0)))), 0)</f>
        <v>2</v>
      </c>
      <c r="Z4" s="3" cm="1">
        <f t="array" ref="Z4">IFERROR(COUNT(_xlfn._xlws.FILTER(B4:G4, ISNUMBER(MATCH(B4:G4, {1,4,8,10,14,16,20,22,25,26,28,32,34,35,38,40,44}, 0)))), 0)</f>
        <v>3</v>
      </c>
      <c r="AA4" s="3" cm="1">
        <f t="array" ref="AA4">IFERROR(COUNT(_xlfn._xlws.FILTER(B4:G4, ISNUMBER(MATCH(B4:G4, {6,9,12,15,18,21,24,27,30,33,36,39,42,45}, 0)))), 0)</f>
        <v>1</v>
      </c>
      <c r="AB4" s="30"/>
      <c r="AC4" s="26"/>
      <c r="AD4" s="26"/>
      <c r="AE4" s="26"/>
      <c r="AF4" s="26"/>
      <c r="AG4" s="26"/>
      <c r="AH4" s="26"/>
      <c r="AI4" s="30"/>
      <c r="AJ4" s="3">
        <f t="shared" ref="AJ4:AJ67" si="10">COUNTIFS(B4:G4,"&gt;=1",B4:G4,"&lt;=14")</f>
        <v>2</v>
      </c>
      <c r="AK4" s="3">
        <f t="shared" ref="AK4:AK67" si="11">COUNTIFS(B4:G4,"&gt;=15",B4:G4,"&lt;=31")</f>
        <v>2</v>
      </c>
      <c r="AL4" s="3">
        <f t="shared" ref="AL4:AL67" si="12">6-AK4-AJ4</f>
        <v>2</v>
      </c>
      <c r="AM4" s="33"/>
      <c r="AN4" s="3">
        <f t="shared" ref="AN4:AN67" si="13">COUNTIFS($B4:$G4, "&gt;=1",$B4:$G4, "&lt;=9")</f>
        <v>2</v>
      </c>
      <c r="AO4" s="3">
        <f t="shared" ref="AO4:AO67" si="14">COUNTIFS($B4:$G4, "&gt;=10",$B4:$G4, "&lt;=18")</f>
        <v>2</v>
      </c>
      <c r="AP4" s="3">
        <f t="shared" ref="AP4:AP67" si="15">COUNTIFS($B4:$G4, "&gt;=19",$B4:$G4, "&lt;=27")</f>
        <v>0</v>
      </c>
      <c r="AQ4" s="3">
        <f t="shared" ref="AQ4:AQ67" si="16">COUNTIFS($B4:$G4, "&gt;=28",$B4:$G4, "&lt;=36")</f>
        <v>0</v>
      </c>
      <c r="AR4" s="3">
        <f t="shared" ref="AR4:AR67" si="17">COUNTIFS($B4:$G4, "&gt;=37",$B4:$G4, "&lt;=45")</f>
        <v>2</v>
      </c>
      <c r="AS4" s="28" t="e">
        <f>#REF!</f>
        <v>#REF!</v>
      </c>
      <c r="AT4" s="28" t="e">
        <f>#REF!*2</f>
        <v>#REF!</v>
      </c>
      <c r="AU4" s="28" t="e">
        <f>#REF!</f>
        <v>#REF!</v>
      </c>
      <c r="AV4" s="28" t="e">
        <f>#REF!*2</f>
        <v>#REF!</v>
      </c>
      <c r="AW4" s="28" t="e">
        <f>#REF!</f>
        <v>#REF!</v>
      </c>
      <c r="AX4" s="28" t="e">
        <f>#REF!*2</f>
        <v>#REF!</v>
      </c>
      <c r="AY4" s="28" t="e">
        <f>#REF!</f>
        <v>#REF!</v>
      </c>
      <c r="AZ4" s="28" t="e">
        <f>#REF!*2</f>
        <v>#REF!</v>
      </c>
      <c r="BA4" s="28" t="e">
        <f>#REF!</f>
        <v>#REF!</v>
      </c>
      <c r="BB4" s="28" t="e">
        <f>#REF!*2</f>
        <v>#REF!</v>
      </c>
      <c r="BC4" s="28" t="e">
        <f>#REF!</f>
        <v>#REF!</v>
      </c>
      <c r="BD4" s="28" t="e">
        <f>#REF!*2</f>
        <v>#REF!</v>
      </c>
      <c r="BE4" s="9" t="e">
        <f>#REF!-#REF!</f>
        <v>#REF!</v>
      </c>
      <c r="BF4" s="9" t="e">
        <f>#REF!-#REF!</f>
        <v>#REF!</v>
      </c>
      <c r="BG4" s="9" t="e">
        <f>#REF!-#REF!</f>
        <v>#REF!</v>
      </c>
      <c r="BH4" s="9" t="e">
        <f>#REF!-#REF!</f>
        <v>#REF!</v>
      </c>
      <c r="BI4" s="9" t="e">
        <f>#REF!-#REF!</f>
        <v>#REF!</v>
      </c>
      <c r="BJ4" s="33"/>
      <c r="BK4" s="3">
        <f t="shared" ref="BK4:BK67" si="18">COUNTIFS(B4:G4, "&gt;=1", B4:G4, "&lt;=9")</f>
        <v>2</v>
      </c>
      <c r="BL4" s="3">
        <f t="shared" ref="BL4:BL67" si="19">COUNTIFS(B4:G4, "&gt;=10", B4:G4, "&lt;=19")</f>
        <v>2</v>
      </c>
      <c r="BM4" s="3">
        <f t="shared" ref="BM4:BM67" si="20">COUNTIFS(B4:G4, "&gt;=20", B4:G4, "&lt;=29")</f>
        <v>0</v>
      </c>
      <c r="BN4" s="3">
        <f t="shared" ref="BN4:BN67" si="21">COUNTIFS(B4:G4, "&gt;=30", B4:G4, "&lt;=39")</f>
        <v>1</v>
      </c>
      <c r="BO4" s="3">
        <f t="shared" ref="BO4:BO67" si="22">COUNTIFS(B4:G4, "&gt;=40", B4:G4, "&lt;=45")</f>
        <v>1</v>
      </c>
      <c r="BP4" s="28" t="e">
        <f>#REF!</f>
        <v>#REF!</v>
      </c>
      <c r="BQ4" s="28" t="e">
        <f>#REF!*2</f>
        <v>#REF!</v>
      </c>
      <c r="BR4" s="28" t="e">
        <f>#REF!</f>
        <v>#REF!</v>
      </c>
      <c r="BS4" s="28" t="e">
        <f>#REF!*2</f>
        <v>#REF!</v>
      </c>
      <c r="BT4" s="28" t="e">
        <f>#REF!</f>
        <v>#REF!</v>
      </c>
      <c r="BU4" s="28" t="e">
        <f>#REF!*2</f>
        <v>#REF!</v>
      </c>
      <c r="BV4" s="28" t="e">
        <f>#REF!</f>
        <v>#REF!</v>
      </c>
      <c r="BW4" s="28" t="e">
        <f>#REF!*2</f>
        <v>#REF!</v>
      </c>
      <c r="BX4" s="28" t="e">
        <f>#REF!</f>
        <v>#REF!</v>
      </c>
      <c r="BY4" s="28" t="e">
        <f>#REF!*2</f>
        <v>#REF!</v>
      </c>
      <c r="BZ4" s="28" t="e">
        <f>#REF!</f>
        <v>#REF!</v>
      </c>
      <c r="CA4" s="28" t="e">
        <f>#REF!*2</f>
        <v>#REF!</v>
      </c>
      <c r="CB4" s="9">
        <f t="shared" ref="CB4:CB67" si="23">C4-B4</f>
        <v>3</v>
      </c>
      <c r="CC4" s="9">
        <f t="shared" ref="CC4:CC67" si="24">D4-C4</f>
        <v>10</v>
      </c>
      <c r="CD4" s="9">
        <f t="shared" ref="CD4:CD67" si="25">E4-D4</f>
        <v>1</v>
      </c>
      <c r="CE4" s="9">
        <f t="shared" ref="CE4:CE67" si="26">F4-E4</f>
        <v>20</v>
      </c>
      <c r="CF4" s="9">
        <f t="shared" ref="CF4:CF67" si="27">G4-F4</f>
        <v>6</v>
      </c>
      <c r="CG4" s="33"/>
      <c r="CH4" s="9">
        <f t="shared" ref="CH4:CH67" si="28">C4-B4</f>
        <v>3</v>
      </c>
      <c r="CI4" s="9">
        <f t="shared" ref="CI4:CI67" si="29">D4-C4</f>
        <v>10</v>
      </c>
      <c r="CJ4" s="9">
        <f t="shared" ref="CJ4:CJ67" si="30">E4-D4</f>
        <v>1</v>
      </c>
      <c r="CK4" s="9">
        <f t="shared" ref="CK4:CK67" si="31">F4-E4</f>
        <v>20</v>
      </c>
      <c r="CL4" s="9">
        <f t="shared" ref="CL4:CL67" si="32">G4-F4</f>
        <v>6</v>
      </c>
      <c r="CM4" s="32"/>
      <c r="CN4" s="3">
        <f t="shared" ref="CN4:CN67" si="33">IF(OR(CH4="",ISBLANK(CH4),CH4=0),0,IF(MOD(CH4,2)=1,1,2))</f>
        <v>1</v>
      </c>
      <c r="CO4" s="3">
        <f t="shared" ref="CO4:CO67" si="34">IF(OR(CI4="",ISBLANK(CI4),CI4=0),0,IF(MOD(CI4,2)=1,1,2))</f>
        <v>2</v>
      </c>
      <c r="CP4" s="3">
        <f t="shared" ref="CP4:CP67" si="35">IF(OR(CJ4="",ISBLANK(CJ4),CJ4=0),0,IF(MOD(CJ4,2)=1,1,2))</f>
        <v>1</v>
      </c>
      <c r="CQ4" s="3">
        <f t="shared" ref="CQ4:CQ67" si="36">IF(OR(CK4="",ISBLANK(CK4),CK4=0),0,IF(MOD(CK4,2)=1,1,2))</f>
        <v>2</v>
      </c>
      <c r="CR4" s="3">
        <f t="shared" ref="CR4:CR67" si="37">IF(OR(CL4="",ISBLANK(CL4),CL4=0),0,IF(MOD(CL4,2)=1,1,2))</f>
        <v>2</v>
      </c>
      <c r="CS4" s="31"/>
      <c r="CT4" s="3" cm="1">
        <f t="array" ref="CT4">SUMPRODUCT(--(MOD(CH4:CL4,2)=1))</f>
        <v>2</v>
      </c>
      <c r="CU4" s="3">
        <f t="shared" ref="CU4:CU67" si="38">5-CT4</f>
        <v>3</v>
      </c>
      <c r="CV4" s="30"/>
      <c r="CW4" s="3" cm="1">
        <f t="array" ref="CW4">SUMPRODUCT(--(MOD(CH4:CL4,10)&gt;=1), --(MOD(CH4:CL4,10)&lt;=5))</f>
        <v>2</v>
      </c>
      <c r="CX4" s="3">
        <f t="shared" ref="CX4:CX67" si="39">5-CW4</f>
        <v>3</v>
      </c>
      <c r="CY4" s="30"/>
      <c r="CZ4" s="3" cm="1">
        <f t="array" ref="CZ4">IFERROR(COUNT(_xlfn._xlws.FILTER(CH4:CL4, ISNUMBER(MATCH(CH4:CL4, {2,3,5,7,11,13,17,19,23,29,31,37,41,43}, 0)))), 0)</f>
        <v>1</v>
      </c>
      <c r="DA4" s="3" cm="1">
        <f t="array" ref="DA4">IFERROR(COUNT(_xlfn._xlws.FILTER(CH4:CL4, ISNUMBER(MATCH(CH4:CL4, {1,4,8,10,14,16,20,22,25,26,28,32,34,35,38,40,44}, 0)))), 0)</f>
        <v>3</v>
      </c>
      <c r="DB4" s="3" cm="1">
        <f t="array" ref="DB4">IFERROR(COUNT(_xlfn._xlws.FILTER(CH4:CL4, ISNUMBER(MATCH(CH4:CL4, {6,9,12,15,18,21,24,27,30,33,36,39,42,45}, 0)))), 0)</f>
        <v>1</v>
      </c>
      <c r="DC4" s="29"/>
      <c r="DD4" s="28" t="e">
        <f>#REF!</f>
        <v>#REF!</v>
      </c>
      <c r="DE4" s="28" t="e">
        <f>#REF!*2</f>
        <v>#REF!</v>
      </c>
      <c r="DF4" s="28" t="e">
        <f>#REF!</f>
        <v>#REF!</v>
      </c>
      <c r="DG4" s="28" t="e">
        <f>#REF!*2</f>
        <v>#REF!</v>
      </c>
      <c r="DH4" s="28" t="e">
        <f>#REF!</f>
        <v>#REF!</v>
      </c>
      <c r="DI4" s="28" t="e">
        <f>#REF!*2</f>
        <v>#REF!</v>
      </c>
      <c r="DJ4" s="28" t="e">
        <f>#REF!</f>
        <v>#REF!</v>
      </c>
      <c r="DK4" s="28" t="e">
        <f>#REF!*2</f>
        <v>#REF!</v>
      </c>
      <c r="DL4" s="28" t="e">
        <f>#REF!</f>
        <v>#REF!</v>
      </c>
      <c r="DM4" s="28" t="e">
        <f>#REF!*2</f>
        <v>#REF!</v>
      </c>
      <c r="DN4" s="27"/>
      <c r="DO4" s="26"/>
      <c r="DP4" s="26"/>
      <c r="DQ4" s="26"/>
      <c r="DR4" s="26"/>
      <c r="DS4" s="26"/>
      <c r="DT4" s="25"/>
    </row>
    <row r="5" spans="1:124" x14ac:dyDescent="0.3">
      <c r="B5" s="3">
        <v>11</v>
      </c>
      <c r="C5" s="3">
        <v>16</v>
      </c>
      <c r="D5" s="3">
        <v>25</v>
      </c>
      <c r="E5" s="3">
        <v>27</v>
      </c>
      <c r="F5" s="3">
        <v>35</v>
      </c>
      <c r="G5" s="3">
        <v>36</v>
      </c>
      <c r="H5" s="32"/>
      <c r="I5" s="3">
        <f t="shared" si="0"/>
        <v>1</v>
      </c>
      <c r="J5" s="3">
        <f t="shared" si="1"/>
        <v>2</v>
      </c>
      <c r="K5" s="3">
        <f t="shared" si="2"/>
        <v>1</v>
      </c>
      <c r="L5" s="3">
        <f t="shared" si="3"/>
        <v>1</v>
      </c>
      <c r="M5" s="3">
        <f t="shared" si="4"/>
        <v>1</v>
      </c>
      <c r="N5" s="3">
        <f t="shared" si="5"/>
        <v>2</v>
      </c>
      <c r="O5" s="32"/>
      <c r="P5" s="3" cm="1">
        <f t="array" ref="P5">SUMPRODUCT(--(MOD(B5:G5,2)=1))</f>
        <v>4</v>
      </c>
      <c r="Q5" s="3">
        <f t="shared" si="6"/>
        <v>2</v>
      </c>
      <c r="R5" s="34"/>
      <c r="S5" s="3">
        <f t="shared" si="7"/>
        <v>2</v>
      </c>
      <c r="T5" s="3">
        <f t="shared" si="8"/>
        <v>4</v>
      </c>
      <c r="U5" s="34"/>
      <c r="V5" s="3" cm="1">
        <f t="array" ref="V5">SUMPRODUCT(--(MOD(B5:G5,10)&gt;=1), --(MOD(B5:G5,10)&lt;=5))</f>
        <v>3</v>
      </c>
      <c r="W5" s="3">
        <f t="shared" si="9"/>
        <v>3</v>
      </c>
      <c r="X5" s="34"/>
      <c r="Y5" s="3" cm="1">
        <f t="array" ref="Y5">IFERROR(COUNT(_xlfn._xlws.FILTER(B5:G5, ISNUMBER(MATCH(B5:G5, {2,3,5,7,11,13,17,19,23,29,31,37,41,43}, 0)))), 0)</f>
        <v>1</v>
      </c>
      <c r="Z5" s="3" cm="1">
        <f t="array" ref="Z5">IFERROR(COUNT(_xlfn._xlws.FILTER(B5:G5, ISNUMBER(MATCH(B5:G5, {1,4,8,10,14,16,20,22,25,26,28,32,34,35,38,40,44}, 0)))), 0)</f>
        <v>3</v>
      </c>
      <c r="AA5" s="3" cm="1">
        <f t="array" ref="AA5">IFERROR(COUNT(_xlfn._xlws.FILTER(B5:G5, ISNUMBER(MATCH(B5:G5, {6,9,12,15,18,21,24,27,30,33,36,39,42,45}, 0)))), 0)</f>
        <v>2</v>
      </c>
      <c r="AB5" s="30"/>
      <c r="AC5" s="26"/>
      <c r="AD5" s="26"/>
      <c r="AE5" s="26"/>
      <c r="AF5" s="26"/>
      <c r="AG5" s="26"/>
      <c r="AH5" s="26"/>
      <c r="AI5" s="30"/>
      <c r="AJ5" s="3">
        <f t="shared" si="10"/>
        <v>1</v>
      </c>
      <c r="AK5" s="3">
        <f t="shared" si="11"/>
        <v>3</v>
      </c>
      <c r="AL5" s="3">
        <f t="shared" si="12"/>
        <v>2</v>
      </c>
      <c r="AM5" s="33"/>
      <c r="AN5" s="3">
        <f t="shared" si="13"/>
        <v>0</v>
      </c>
      <c r="AO5" s="3">
        <f t="shared" si="14"/>
        <v>2</v>
      </c>
      <c r="AP5" s="3">
        <f t="shared" si="15"/>
        <v>2</v>
      </c>
      <c r="AQ5" s="3">
        <f t="shared" si="16"/>
        <v>2</v>
      </c>
      <c r="AR5" s="3">
        <f t="shared" si="17"/>
        <v>0</v>
      </c>
      <c r="AS5" s="28" t="e">
        <f>#REF!</f>
        <v>#REF!</v>
      </c>
      <c r="AT5" s="28" t="e">
        <f>#REF!*2</f>
        <v>#REF!</v>
      </c>
      <c r="AU5" s="28" t="e">
        <f>#REF!</f>
        <v>#REF!</v>
      </c>
      <c r="AV5" s="28" t="e">
        <f>#REF!*2</f>
        <v>#REF!</v>
      </c>
      <c r="AW5" s="28" t="e">
        <f>#REF!</f>
        <v>#REF!</v>
      </c>
      <c r="AX5" s="28" t="e">
        <f>#REF!*2</f>
        <v>#REF!</v>
      </c>
      <c r="AY5" s="28" t="e">
        <f>#REF!</f>
        <v>#REF!</v>
      </c>
      <c r="AZ5" s="28" t="e">
        <f>#REF!*2</f>
        <v>#REF!</v>
      </c>
      <c r="BA5" s="28" t="e">
        <f>#REF!</f>
        <v>#REF!</v>
      </c>
      <c r="BB5" s="28" t="e">
        <f>#REF!*2</f>
        <v>#REF!</v>
      </c>
      <c r="BC5" s="28" t="e">
        <f>#REF!</f>
        <v>#REF!</v>
      </c>
      <c r="BD5" s="28" t="e">
        <f>#REF!*2</f>
        <v>#REF!</v>
      </c>
      <c r="BE5" s="9" t="e">
        <f>#REF!-#REF!</f>
        <v>#REF!</v>
      </c>
      <c r="BF5" s="9" t="e">
        <f>#REF!-#REF!</f>
        <v>#REF!</v>
      </c>
      <c r="BG5" s="9" t="e">
        <f>#REF!-#REF!</f>
        <v>#REF!</v>
      </c>
      <c r="BH5" s="9" t="e">
        <f>#REF!-#REF!</f>
        <v>#REF!</v>
      </c>
      <c r="BI5" s="9" t="e">
        <f>#REF!-#REF!</f>
        <v>#REF!</v>
      </c>
      <c r="BJ5" s="33"/>
      <c r="BK5" s="3">
        <f t="shared" si="18"/>
        <v>0</v>
      </c>
      <c r="BL5" s="3">
        <f t="shared" si="19"/>
        <v>2</v>
      </c>
      <c r="BM5" s="3">
        <f t="shared" si="20"/>
        <v>2</v>
      </c>
      <c r="BN5" s="3">
        <f t="shared" si="21"/>
        <v>2</v>
      </c>
      <c r="BO5" s="3">
        <f t="shared" si="22"/>
        <v>0</v>
      </c>
      <c r="BP5" s="28" t="e">
        <f>#REF!</f>
        <v>#REF!</v>
      </c>
      <c r="BQ5" s="28" t="e">
        <f>#REF!*2</f>
        <v>#REF!</v>
      </c>
      <c r="BR5" s="28" t="e">
        <f>#REF!</f>
        <v>#REF!</v>
      </c>
      <c r="BS5" s="28" t="e">
        <f>#REF!*2</f>
        <v>#REF!</v>
      </c>
      <c r="BT5" s="28" t="e">
        <f>#REF!</f>
        <v>#REF!</v>
      </c>
      <c r="BU5" s="28" t="e">
        <f>#REF!*2</f>
        <v>#REF!</v>
      </c>
      <c r="BV5" s="28" t="e">
        <f>#REF!</f>
        <v>#REF!</v>
      </c>
      <c r="BW5" s="28" t="e">
        <f>#REF!*2</f>
        <v>#REF!</v>
      </c>
      <c r="BX5" s="28" t="e">
        <f>#REF!</f>
        <v>#REF!</v>
      </c>
      <c r="BY5" s="28" t="e">
        <f>#REF!*2</f>
        <v>#REF!</v>
      </c>
      <c r="BZ5" s="28" t="e">
        <f>#REF!</f>
        <v>#REF!</v>
      </c>
      <c r="CA5" s="28" t="e">
        <f>#REF!*2</f>
        <v>#REF!</v>
      </c>
      <c r="CB5" s="9">
        <f t="shared" si="23"/>
        <v>5</v>
      </c>
      <c r="CC5" s="9">
        <f t="shared" si="24"/>
        <v>9</v>
      </c>
      <c r="CD5" s="9">
        <f t="shared" si="25"/>
        <v>2</v>
      </c>
      <c r="CE5" s="9">
        <f t="shared" si="26"/>
        <v>8</v>
      </c>
      <c r="CF5" s="9">
        <f t="shared" si="27"/>
        <v>1</v>
      </c>
      <c r="CG5" s="33"/>
      <c r="CH5" s="9">
        <f t="shared" si="28"/>
        <v>5</v>
      </c>
      <c r="CI5" s="9">
        <f t="shared" si="29"/>
        <v>9</v>
      </c>
      <c r="CJ5" s="9">
        <f t="shared" si="30"/>
        <v>2</v>
      </c>
      <c r="CK5" s="9">
        <f t="shared" si="31"/>
        <v>8</v>
      </c>
      <c r="CL5" s="9">
        <f t="shared" si="32"/>
        <v>1</v>
      </c>
      <c r="CM5" s="32"/>
      <c r="CN5" s="3">
        <f t="shared" si="33"/>
        <v>1</v>
      </c>
      <c r="CO5" s="3">
        <f t="shared" si="34"/>
        <v>1</v>
      </c>
      <c r="CP5" s="3">
        <f t="shared" si="35"/>
        <v>2</v>
      </c>
      <c r="CQ5" s="3">
        <f t="shared" si="36"/>
        <v>2</v>
      </c>
      <c r="CR5" s="3">
        <f t="shared" si="37"/>
        <v>1</v>
      </c>
      <c r="CS5" s="31"/>
      <c r="CT5" s="3" cm="1">
        <f t="array" ref="CT5">SUMPRODUCT(--(MOD(CH5:CL5,2)=1))</f>
        <v>3</v>
      </c>
      <c r="CU5" s="3">
        <f t="shared" si="38"/>
        <v>2</v>
      </c>
      <c r="CV5" s="30"/>
      <c r="CW5" s="3" cm="1">
        <f t="array" ref="CW5">SUMPRODUCT(--(MOD(CH5:CL5,10)&gt;=1), --(MOD(CH5:CL5,10)&lt;=5))</f>
        <v>3</v>
      </c>
      <c r="CX5" s="3">
        <f t="shared" si="39"/>
        <v>2</v>
      </c>
      <c r="CY5" s="30"/>
      <c r="CZ5" s="3" cm="1">
        <f t="array" ref="CZ5">IFERROR(COUNT(_xlfn._xlws.FILTER(CH5:CL5, ISNUMBER(MATCH(CH5:CL5, {2,3,5,7,11,13,17,19,23,29,31,37,41,43}, 0)))), 0)</f>
        <v>2</v>
      </c>
      <c r="DA5" s="3" cm="1">
        <f t="array" ref="DA5">IFERROR(COUNT(_xlfn._xlws.FILTER(CH5:CL5, ISNUMBER(MATCH(CH5:CL5, {1,4,8,10,14,16,20,22,25,26,28,32,34,35,38,40,44}, 0)))), 0)</f>
        <v>2</v>
      </c>
      <c r="DB5" s="3" cm="1">
        <f t="array" ref="DB5">IFERROR(COUNT(_xlfn._xlws.FILTER(CH5:CL5, ISNUMBER(MATCH(CH5:CL5, {6,9,12,15,18,21,24,27,30,33,36,39,42,45}, 0)))), 0)</f>
        <v>1</v>
      </c>
      <c r="DC5" s="29"/>
      <c r="DD5" s="28" t="e">
        <f>#REF!</f>
        <v>#REF!</v>
      </c>
      <c r="DE5" s="28" t="e">
        <f>#REF!*2</f>
        <v>#REF!</v>
      </c>
      <c r="DF5" s="28" t="e">
        <f>#REF!</f>
        <v>#REF!</v>
      </c>
      <c r="DG5" s="28" t="e">
        <f>#REF!*2</f>
        <v>#REF!</v>
      </c>
      <c r="DH5" s="28" t="e">
        <f>#REF!</f>
        <v>#REF!</v>
      </c>
      <c r="DI5" s="28" t="e">
        <f>#REF!*2</f>
        <v>#REF!</v>
      </c>
      <c r="DJ5" s="28" t="e">
        <f>#REF!</f>
        <v>#REF!</v>
      </c>
      <c r="DK5" s="28" t="e">
        <f>#REF!*2</f>
        <v>#REF!</v>
      </c>
      <c r="DL5" s="28" t="e">
        <f>#REF!</f>
        <v>#REF!</v>
      </c>
      <c r="DM5" s="28" t="e">
        <f>#REF!*2</f>
        <v>#REF!</v>
      </c>
      <c r="DN5" s="27"/>
      <c r="DO5" s="26"/>
      <c r="DP5" s="26"/>
      <c r="DQ5" s="26"/>
      <c r="DR5" s="26"/>
      <c r="DS5" s="26"/>
      <c r="DT5" s="25"/>
    </row>
    <row r="6" spans="1:124" x14ac:dyDescent="0.3">
      <c r="B6" s="3">
        <v>13</v>
      </c>
      <c r="C6" s="3">
        <v>14</v>
      </c>
      <c r="D6" s="3">
        <v>18</v>
      </c>
      <c r="E6" s="3">
        <v>21</v>
      </c>
      <c r="F6" s="3">
        <v>34</v>
      </c>
      <c r="G6" s="3">
        <v>44</v>
      </c>
      <c r="H6" s="32"/>
      <c r="I6" s="3">
        <f t="shared" si="0"/>
        <v>1</v>
      </c>
      <c r="J6" s="3">
        <f t="shared" si="1"/>
        <v>2</v>
      </c>
      <c r="K6" s="3">
        <f t="shared" si="2"/>
        <v>2</v>
      </c>
      <c r="L6" s="3">
        <f t="shared" si="3"/>
        <v>1</v>
      </c>
      <c r="M6" s="3">
        <f t="shared" si="4"/>
        <v>2</v>
      </c>
      <c r="N6" s="3">
        <f t="shared" si="5"/>
        <v>2</v>
      </c>
      <c r="O6" s="32"/>
      <c r="P6" s="3" cm="1">
        <f t="array" ref="P6">SUMPRODUCT(--(MOD(B6:G6,2)=1))</f>
        <v>2</v>
      </c>
      <c r="Q6" s="3">
        <f t="shared" si="6"/>
        <v>4</v>
      </c>
      <c r="R6" s="34"/>
      <c r="S6" s="3">
        <f t="shared" si="7"/>
        <v>4</v>
      </c>
      <c r="T6" s="3">
        <f t="shared" si="8"/>
        <v>2</v>
      </c>
      <c r="U6" s="34"/>
      <c r="V6" s="3" cm="1">
        <f t="array" ref="V6">SUMPRODUCT(--(MOD(B6:G6,10)&gt;=1), --(MOD(B6:G6,10)&lt;=5))</f>
        <v>5</v>
      </c>
      <c r="W6" s="3">
        <f t="shared" si="9"/>
        <v>1</v>
      </c>
      <c r="X6" s="34"/>
      <c r="Y6" s="3" cm="1">
        <f t="array" ref="Y6">IFERROR(COUNT(_xlfn._xlws.FILTER(B6:G6, ISNUMBER(MATCH(B6:G6, {2,3,5,7,11,13,17,19,23,29,31,37,41,43}, 0)))), 0)</f>
        <v>1</v>
      </c>
      <c r="Z6" s="3" cm="1">
        <f t="array" ref="Z6">IFERROR(COUNT(_xlfn._xlws.FILTER(B6:G6, ISNUMBER(MATCH(B6:G6, {1,4,8,10,14,16,20,22,25,26,28,32,34,35,38,40,44}, 0)))), 0)</f>
        <v>3</v>
      </c>
      <c r="AA6" s="3" cm="1">
        <f t="array" ref="AA6">IFERROR(COUNT(_xlfn._xlws.FILTER(B6:G6, ISNUMBER(MATCH(B6:G6, {6,9,12,15,18,21,24,27,30,33,36,39,42,45}, 0)))), 0)</f>
        <v>2</v>
      </c>
      <c r="AB6" s="30"/>
      <c r="AC6" s="26"/>
      <c r="AD6" s="26"/>
      <c r="AE6" s="26"/>
      <c r="AF6" s="26"/>
      <c r="AG6" s="26"/>
      <c r="AH6" s="26"/>
      <c r="AI6" s="30"/>
      <c r="AJ6" s="3">
        <f t="shared" si="10"/>
        <v>2</v>
      </c>
      <c r="AK6" s="3">
        <f t="shared" si="11"/>
        <v>2</v>
      </c>
      <c r="AL6" s="3">
        <f t="shared" si="12"/>
        <v>2</v>
      </c>
      <c r="AM6" s="33"/>
      <c r="AN6" s="3">
        <f t="shared" si="13"/>
        <v>0</v>
      </c>
      <c r="AO6" s="3">
        <f t="shared" si="14"/>
        <v>3</v>
      </c>
      <c r="AP6" s="3">
        <f t="shared" si="15"/>
        <v>1</v>
      </c>
      <c r="AQ6" s="3">
        <f t="shared" si="16"/>
        <v>1</v>
      </c>
      <c r="AR6" s="3">
        <f t="shared" si="17"/>
        <v>1</v>
      </c>
      <c r="AS6" s="28" t="e">
        <f>#REF!</f>
        <v>#REF!</v>
      </c>
      <c r="AT6" s="28" t="e">
        <f>#REF!*2</f>
        <v>#REF!</v>
      </c>
      <c r="AU6" s="28" t="e">
        <f>#REF!</f>
        <v>#REF!</v>
      </c>
      <c r="AV6" s="28" t="e">
        <f>#REF!*2</f>
        <v>#REF!</v>
      </c>
      <c r="AW6" s="28" t="e">
        <f>#REF!</f>
        <v>#REF!</v>
      </c>
      <c r="AX6" s="28" t="e">
        <f>#REF!*2</f>
        <v>#REF!</v>
      </c>
      <c r="AY6" s="28" t="e">
        <f>#REF!</f>
        <v>#REF!</v>
      </c>
      <c r="AZ6" s="28" t="e">
        <f>#REF!*2</f>
        <v>#REF!</v>
      </c>
      <c r="BA6" s="28" t="e">
        <f>#REF!</f>
        <v>#REF!</v>
      </c>
      <c r="BB6" s="28" t="e">
        <f>#REF!*2</f>
        <v>#REF!</v>
      </c>
      <c r="BC6" s="28" t="e">
        <f>#REF!</f>
        <v>#REF!</v>
      </c>
      <c r="BD6" s="28" t="e">
        <f>#REF!*2</f>
        <v>#REF!</v>
      </c>
      <c r="BE6" s="9" t="e">
        <f>#REF!-#REF!</f>
        <v>#REF!</v>
      </c>
      <c r="BF6" s="9" t="e">
        <f>#REF!-#REF!</f>
        <v>#REF!</v>
      </c>
      <c r="BG6" s="9" t="e">
        <f>#REF!-#REF!</f>
        <v>#REF!</v>
      </c>
      <c r="BH6" s="9" t="e">
        <f>#REF!-#REF!</f>
        <v>#REF!</v>
      </c>
      <c r="BI6" s="9" t="e">
        <f>#REF!-#REF!</f>
        <v>#REF!</v>
      </c>
      <c r="BJ6" s="33"/>
      <c r="BK6" s="3">
        <f t="shared" si="18"/>
        <v>0</v>
      </c>
      <c r="BL6" s="3">
        <f t="shared" si="19"/>
        <v>3</v>
      </c>
      <c r="BM6" s="3">
        <f t="shared" si="20"/>
        <v>1</v>
      </c>
      <c r="BN6" s="3">
        <f t="shared" si="21"/>
        <v>1</v>
      </c>
      <c r="BO6" s="3">
        <f t="shared" si="22"/>
        <v>1</v>
      </c>
      <c r="BP6" s="28" t="e">
        <f>#REF!</f>
        <v>#REF!</v>
      </c>
      <c r="BQ6" s="28" t="e">
        <f>#REF!*2</f>
        <v>#REF!</v>
      </c>
      <c r="BR6" s="28" t="e">
        <f>#REF!</f>
        <v>#REF!</v>
      </c>
      <c r="BS6" s="28" t="e">
        <f>#REF!*2</f>
        <v>#REF!</v>
      </c>
      <c r="BT6" s="28" t="e">
        <f>#REF!</f>
        <v>#REF!</v>
      </c>
      <c r="BU6" s="28" t="e">
        <f>#REF!*2</f>
        <v>#REF!</v>
      </c>
      <c r="BV6" s="28" t="e">
        <f>#REF!</f>
        <v>#REF!</v>
      </c>
      <c r="BW6" s="28" t="e">
        <f>#REF!*2</f>
        <v>#REF!</v>
      </c>
      <c r="BX6" s="28" t="e">
        <f>#REF!</f>
        <v>#REF!</v>
      </c>
      <c r="BY6" s="28" t="e">
        <f>#REF!*2</f>
        <v>#REF!</v>
      </c>
      <c r="BZ6" s="28" t="e">
        <f>#REF!</f>
        <v>#REF!</v>
      </c>
      <c r="CA6" s="28" t="e">
        <f>#REF!*2</f>
        <v>#REF!</v>
      </c>
      <c r="CB6" s="9">
        <f t="shared" si="23"/>
        <v>1</v>
      </c>
      <c r="CC6" s="9">
        <f t="shared" si="24"/>
        <v>4</v>
      </c>
      <c r="CD6" s="9">
        <f t="shared" si="25"/>
        <v>3</v>
      </c>
      <c r="CE6" s="9">
        <f t="shared" si="26"/>
        <v>13</v>
      </c>
      <c r="CF6" s="9">
        <f t="shared" si="27"/>
        <v>10</v>
      </c>
      <c r="CG6" s="33"/>
      <c r="CH6" s="9">
        <f t="shared" si="28"/>
        <v>1</v>
      </c>
      <c r="CI6" s="9">
        <f t="shared" si="29"/>
        <v>4</v>
      </c>
      <c r="CJ6" s="9">
        <f t="shared" si="30"/>
        <v>3</v>
      </c>
      <c r="CK6" s="9">
        <f t="shared" si="31"/>
        <v>13</v>
      </c>
      <c r="CL6" s="9">
        <f t="shared" si="32"/>
        <v>10</v>
      </c>
      <c r="CM6" s="32"/>
      <c r="CN6" s="3">
        <f t="shared" si="33"/>
        <v>1</v>
      </c>
      <c r="CO6" s="3">
        <f t="shared" si="34"/>
        <v>2</v>
      </c>
      <c r="CP6" s="3">
        <f t="shared" si="35"/>
        <v>1</v>
      </c>
      <c r="CQ6" s="3">
        <f t="shared" si="36"/>
        <v>1</v>
      </c>
      <c r="CR6" s="3">
        <f t="shared" si="37"/>
        <v>2</v>
      </c>
      <c r="CS6" s="31"/>
      <c r="CT6" s="3" cm="1">
        <f t="array" ref="CT6">SUMPRODUCT(--(MOD(CH6:CL6,2)=1))</f>
        <v>3</v>
      </c>
      <c r="CU6" s="3">
        <f t="shared" si="38"/>
        <v>2</v>
      </c>
      <c r="CV6" s="30"/>
      <c r="CW6" s="3" cm="1">
        <f t="array" ref="CW6">SUMPRODUCT(--(MOD(CH6:CL6,10)&gt;=1), --(MOD(CH6:CL6,10)&lt;=5))</f>
        <v>4</v>
      </c>
      <c r="CX6" s="3">
        <f t="shared" si="39"/>
        <v>1</v>
      </c>
      <c r="CY6" s="30"/>
      <c r="CZ6" s="3" cm="1">
        <f t="array" ref="CZ6">IFERROR(COUNT(_xlfn._xlws.FILTER(CH6:CL6, ISNUMBER(MATCH(CH6:CL6, {2,3,5,7,11,13,17,19,23,29,31,37,41,43}, 0)))), 0)</f>
        <v>2</v>
      </c>
      <c r="DA6" s="3" cm="1">
        <f t="array" ref="DA6">IFERROR(COUNT(_xlfn._xlws.FILTER(CH6:CL6, ISNUMBER(MATCH(CH6:CL6, {1,4,8,10,14,16,20,22,25,26,28,32,34,35,38,40,44}, 0)))), 0)</f>
        <v>3</v>
      </c>
      <c r="DB6" s="3" cm="1">
        <f t="array" ref="DB6">IFERROR(COUNT(_xlfn._xlws.FILTER(CH6:CL6, ISNUMBER(MATCH(CH6:CL6, {6,9,12,15,18,21,24,27,30,33,36,39,42,45}, 0)))), 0)</f>
        <v>0</v>
      </c>
      <c r="DC6" s="29"/>
      <c r="DD6" s="28" t="e">
        <f>#REF!</f>
        <v>#REF!</v>
      </c>
      <c r="DE6" s="28" t="e">
        <f>#REF!*2</f>
        <v>#REF!</v>
      </c>
      <c r="DF6" s="28" t="e">
        <f>#REF!</f>
        <v>#REF!</v>
      </c>
      <c r="DG6" s="28" t="e">
        <f>#REF!*2</f>
        <v>#REF!</v>
      </c>
      <c r="DH6" s="28" t="e">
        <f>#REF!</f>
        <v>#REF!</v>
      </c>
      <c r="DI6" s="28" t="e">
        <f>#REF!*2</f>
        <v>#REF!</v>
      </c>
      <c r="DJ6" s="28" t="e">
        <f>#REF!</f>
        <v>#REF!</v>
      </c>
      <c r="DK6" s="28" t="e">
        <f>#REF!*2</f>
        <v>#REF!</v>
      </c>
      <c r="DL6" s="28" t="e">
        <f>#REF!</f>
        <v>#REF!</v>
      </c>
      <c r="DM6" s="28" t="e">
        <f>#REF!*2</f>
        <v>#REF!</v>
      </c>
      <c r="DN6" s="27"/>
      <c r="DO6" s="26"/>
      <c r="DP6" s="26"/>
      <c r="DQ6" s="26"/>
      <c r="DR6" s="26"/>
      <c r="DS6" s="26"/>
      <c r="DT6" s="25"/>
    </row>
    <row r="7" spans="1:124" x14ac:dyDescent="0.3">
      <c r="B7" s="3">
        <v>11</v>
      </c>
      <c r="C7" s="3">
        <v>21</v>
      </c>
      <c r="D7" s="3">
        <v>22</v>
      </c>
      <c r="E7" s="3">
        <v>30</v>
      </c>
      <c r="F7" s="3">
        <v>39</v>
      </c>
      <c r="G7" s="3">
        <v>44</v>
      </c>
      <c r="H7" s="32"/>
      <c r="I7" s="3">
        <f t="shared" si="0"/>
        <v>1</v>
      </c>
      <c r="J7" s="3">
        <f t="shared" si="1"/>
        <v>1</v>
      </c>
      <c r="K7" s="3">
        <f t="shared" si="2"/>
        <v>2</v>
      </c>
      <c r="L7" s="3">
        <f t="shared" si="3"/>
        <v>2</v>
      </c>
      <c r="M7" s="3">
        <f t="shared" si="4"/>
        <v>1</v>
      </c>
      <c r="N7" s="3">
        <f t="shared" si="5"/>
        <v>2</v>
      </c>
      <c r="O7" s="32"/>
      <c r="P7" s="3" cm="1">
        <f t="array" ref="P7">SUMPRODUCT(--(MOD(B7:G7,2)=1))</f>
        <v>3</v>
      </c>
      <c r="Q7" s="3">
        <f t="shared" si="6"/>
        <v>3</v>
      </c>
      <c r="R7" s="34"/>
      <c r="S7" s="3">
        <f t="shared" si="7"/>
        <v>3</v>
      </c>
      <c r="T7" s="3">
        <f t="shared" si="8"/>
        <v>3</v>
      </c>
      <c r="U7" s="34"/>
      <c r="V7" s="3" cm="1">
        <f t="array" ref="V7">SUMPRODUCT(--(MOD(B7:G7,10)&gt;=1), --(MOD(B7:G7,10)&lt;=5))</f>
        <v>4</v>
      </c>
      <c r="W7" s="3">
        <f t="shared" si="9"/>
        <v>2</v>
      </c>
      <c r="X7" s="34"/>
      <c r="Y7" s="3" cm="1">
        <f t="array" ref="Y7">IFERROR(COUNT(_xlfn._xlws.FILTER(B7:G7, ISNUMBER(MATCH(B7:G7, {2,3,5,7,11,13,17,19,23,29,31,37,41,43}, 0)))), 0)</f>
        <v>1</v>
      </c>
      <c r="Z7" s="3" cm="1">
        <f t="array" ref="Z7">IFERROR(COUNT(_xlfn._xlws.FILTER(B7:G7, ISNUMBER(MATCH(B7:G7, {1,4,8,10,14,16,20,22,25,26,28,32,34,35,38,40,44}, 0)))), 0)</f>
        <v>2</v>
      </c>
      <c r="AA7" s="3" cm="1">
        <f t="array" ref="AA7">IFERROR(COUNT(_xlfn._xlws.FILTER(B7:G7, ISNUMBER(MATCH(B7:G7, {6,9,12,15,18,21,24,27,30,33,36,39,42,45}, 0)))), 0)</f>
        <v>3</v>
      </c>
      <c r="AB7" s="30"/>
      <c r="AC7" s="26"/>
      <c r="AD7" s="26"/>
      <c r="AE7" s="26"/>
      <c r="AF7" s="26"/>
      <c r="AG7" s="26"/>
      <c r="AH7" s="26"/>
      <c r="AI7" s="30"/>
      <c r="AJ7" s="3">
        <f t="shared" si="10"/>
        <v>1</v>
      </c>
      <c r="AK7" s="3">
        <f t="shared" si="11"/>
        <v>3</v>
      </c>
      <c r="AL7" s="3">
        <f t="shared" si="12"/>
        <v>2</v>
      </c>
      <c r="AM7" s="33"/>
      <c r="AN7" s="3">
        <f t="shared" si="13"/>
        <v>0</v>
      </c>
      <c r="AO7" s="3">
        <f t="shared" si="14"/>
        <v>1</v>
      </c>
      <c r="AP7" s="3">
        <f t="shared" si="15"/>
        <v>2</v>
      </c>
      <c r="AQ7" s="3">
        <f t="shared" si="16"/>
        <v>1</v>
      </c>
      <c r="AR7" s="3">
        <f t="shared" si="17"/>
        <v>2</v>
      </c>
      <c r="AS7" s="28" t="e">
        <f>#REF!</f>
        <v>#REF!</v>
      </c>
      <c r="AT7" s="28" t="e">
        <f>#REF!*2</f>
        <v>#REF!</v>
      </c>
      <c r="AU7" s="28" t="e">
        <f>#REF!</f>
        <v>#REF!</v>
      </c>
      <c r="AV7" s="28" t="e">
        <f>#REF!*2</f>
        <v>#REF!</v>
      </c>
      <c r="AW7" s="28" t="e">
        <f>#REF!</f>
        <v>#REF!</v>
      </c>
      <c r="AX7" s="28" t="e">
        <f>#REF!*2</f>
        <v>#REF!</v>
      </c>
      <c r="AY7" s="28" t="e">
        <f>#REF!</f>
        <v>#REF!</v>
      </c>
      <c r="AZ7" s="28" t="e">
        <f>#REF!*2</f>
        <v>#REF!</v>
      </c>
      <c r="BA7" s="28" t="e">
        <f>#REF!</f>
        <v>#REF!</v>
      </c>
      <c r="BB7" s="28" t="e">
        <f>#REF!*2</f>
        <v>#REF!</v>
      </c>
      <c r="BC7" s="28" t="e">
        <f>#REF!</f>
        <v>#REF!</v>
      </c>
      <c r="BD7" s="28" t="e">
        <f>#REF!*2</f>
        <v>#REF!</v>
      </c>
      <c r="BE7" s="9" t="e">
        <f>#REF!-#REF!</f>
        <v>#REF!</v>
      </c>
      <c r="BF7" s="9" t="e">
        <f>#REF!-#REF!</f>
        <v>#REF!</v>
      </c>
      <c r="BG7" s="9" t="e">
        <f>#REF!-#REF!</f>
        <v>#REF!</v>
      </c>
      <c r="BH7" s="9" t="e">
        <f>#REF!-#REF!</f>
        <v>#REF!</v>
      </c>
      <c r="BI7" s="9" t="e">
        <f>#REF!-#REF!</f>
        <v>#REF!</v>
      </c>
      <c r="BJ7" s="33"/>
      <c r="BK7" s="3">
        <f t="shared" si="18"/>
        <v>0</v>
      </c>
      <c r="BL7" s="3">
        <f t="shared" si="19"/>
        <v>1</v>
      </c>
      <c r="BM7" s="3">
        <f t="shared" si="20"/>
        <v>2</v>
      </c>
      <c r="BN7" s="3">
        <f t="shared" si="21"/>
        <v>2</v>
      </c>
      <c r="BO7" s="3">
        <f t="shared" si="22"/>
        <v>1</v>
      </c>
      <c r="BP7" s="28" t="e">
        <f>#REF!</f>
        <v>#REF!</v>
      </c>
      <c r="BQ7" s="28" t="e">
        <f>#REF!*2</f>
        <v>#REF!</v>
      </c>
      <c r="BR7" s="28" t="e">
        <f>#REF!</f>
        <v>#REF!</v>
      </c>
      <c r="BS7" s="28" t="e">
        <f>#REF!*2</f>
        <v>#REF!</v>
      </c>
      <c r="BT7" s="28" t="e">
        <f>#REF!</f>
        <v>#REF!</v>
      </c>
      <c r="BU7" s="28" t="e">
        <f>#REF!*2</f>
        <v>#REF!</v>
      </c>
      <c r="BV7" s="28" t="e">
        <f>#REF!</f>
        <v>#REF!</v>
      </c>
      <c r="BW7" s="28" t="e">
        <f>#REF!*2</f>
        <v>#REF!</v>
      </c>
      <c r="BX7" s="28" t="e">
        <f>#REF!</f>
        <v>#REF!</v>
      </c>
      <c r="BY7" s="28" t="e">
        <f>#REF!*2</f>
        <v>#REF!</v>
      </c>
      <c r="BZ7" s="28" t="e">
        <f>#REF!</f>
        <v>#REF!</v>
      </c>
      <c r="CA7" s="28" t="e">
        <f>#REF!*2</f>
        <v>#REF!</v>
      </c>
      <c r="CB7" s="9">
        <f t="shared" si="23"/>
        <v>10</v>
      </c>
      <c r="CC7" s="9">
        <f t="shared" si="24"/>
        <v>1</v>
      </c>
      <c r="CD7" s="9">
        <f t="shared" si="25"/>
        <v>8</v>
      </c>
      <c r="CE7" s="9">
        <f t="shared" si="26"/>
        <v>9</v>
      </c>
      <c r="CF7" s="9">
        <f t="shared" si="27"/>
        <v>5</v>
      </c>
      <c r="CG7" s="33"/>
      <c r="CH7" s="9">
        <f t="shared" si="28"/>
        <v>10</v>
      </c>
      <c r="CI7" s="9">
        <f t="shared" si="29"/>
        <v>1</v>
      </c>
      <c r="CJ7" s="9">
        <f t="shared" si="30"/>
        <v>8</v>
      </c>
      <c r="CK7" s="9">
        <f t="shared" si="31"/>
        <v>9</v>
      </c>
      <c r="CL7" s="9">
        <f t="shared" si="32"/>
        <v>5</v>
      </c>
      <c r="CM7" s="32"/>
      <c r="CN7" s="3">
        <f t="shared" si="33"/>
        <v>2</v>
      </c>
      <c r="CO7" s="3">
        <f t="shared" si="34"/>
        <v>1</v>
      </c>
      <c r="CP7" s="3">
        <f t="shared" si="35"/>
        <v>2</v>
      </c>
      <c r="CQ7" s="3">
        <f t="shared" si="36"/>
        <v>1</v>
      </c>
      <c r="CR7" s="3">
        <f t="shared" si="37"/>
        <v>1</v>
      </c>
      <c r="CS7" s="31"/>
      <c r="CT7" s="3" cm="1">
        <f t="array" ref="CT7">SUMPRODUCT(--(MOD(CH7:CL7,2)=1))</f>
        <v>3</v>
      </c>
      <c r="CU7" s="3">
        <f t="shared" si="38"/>
        <v>2</v>
      </c>
      <c r="CV7" s="30"/>
      <c r="CW7" s="3" cm="1">
        <f t="array" ref="CW7">SUMPRODUCT(--(MOD(CH7:CL7,10)&gt;=1), --(MOD(CH7:CL7,10)&lt;=5))</f>
        <v>2</v>
      </c>
      <c r="CX7" s="3">
        <f t="shared" si="39"/>
        <v>3</v>
      </c>
      <c r="CY7" s="30"/>
      <c r="CZ7" s="3" cm="1">
        <f t="array" ref="CZ7">IFERROR(COUNT(_xlfn._xlws.FILTER(CH7:CL7, ISNUMBER(MATCH(CH7:CL7, {2,3,5,7,11,13,17,19,23,29,31,37,41,43}, 0)))), 0)</f>
        <v>1</v>
      </c>
      <c r="DA7" s="3" cm="1">
        <f t="array" ref="DA7">IFERROR(COUNT(_xlfn._xlws.FILTER(CH7:CL7, ISNUMBER(MATCH(CH7:CL7, {1,4,8,10,14,16,20,22,25,26,28,32,34,35,38,40,44}, 0)))), 0)</f>
        <v>3</v>
      </c>
      <c r="DB7" s="3" cm="1">
        <f t="array" ref="DB7">IFERROR(COUNT(_xlfn._xlws.FILTER(CH7:CL7, ISNUMBER(MATCH(CH7:CL7, {6,9,12,15,18,21,24,27,30,33,36,39,42,45}, 0)))), 0)</f>
        <v>1</v>
      </c>
      <c r="DC7" s="29"/>
      <c r="DD7" s="28" t="e">
        <f>#REF!</f>
        <v>#REF!</v>
      </c>
      <c r="DE7" s="28" t="e">
        <f>#REF!*2</f>
        <v>#REF!</v>
      </c>
      <c r="DF7" s="28" t="e">
        <f>#REF!</f>
        <v>#REF!</v>
      </c>
      <c r="DG7" s="28" t="e">
        <f>#REF!*2</f>
        <v>#REF!</v>
      </c>
      <c r="DH7" s="28" t="e">
        <f>#REF!</f>
        <v>#REF!</v>
      </c>
      <c r="DI7" s="28" t="e">
        <f>#REF!*2</f>
        <v>#REF!</v>
      </c>
      <c r="DJ7" s="28" t="e">
        <f>#REF!</f>
        <v>#REF!</v>
      </c>
      <c r="DK7" s="28" t="e">
        <f>#REF!*2</f>
        <v>#REF!</v>
      </c>
      <c r="DL7" s="28" t="e">
        <f>#REF!</f>
        <v>#REF!</v>
      </c>
      <c r="DM7" s="28" t="e">
        <f>#REF!*2</f>
        <v>#REF!</v>
      </c>
      <c r="DN7" s="27"/>
      <c r="DO7" s="26"/>
      <c r="DP7" s="26"/>
      <c r="DQ7" s="26"/>
      <c r="DR7" s="26"/>
      <c r="DS7" s="26"/>
      <c r="DT7" s="25"/>
    </row>
    <row r="8" spans="1:124" x14ac:dyDescent="0.3">
      <c r="B8" s="3">
        <v>4</v>
      </c>
      <c r="C8" s="3">
        <v>18</v>
      </c>
      <c r="D8" s="3">
        <v>31</v>
      </c>
      <c r="E8" s="3">
        <v>37</v>
      </c>
      <c r="F8" s="3">
        <v>42</v>
      </c>
      <c r="G8" s="3">
        <v>43</v>
      </c>
      <c r="H8" s="32"/>
      <c r="I8" s="3">
        <f t="shared" si="0"/>
        <v>2</v>
      </c>
      <c r="J8" s="3">
        <f t="shared" si="1"/>
        <v>2</v>
      </c>
      <c r="K8" s="3">
        <f t="shared" si="2"/>
        <v>1</v>
      </c>
      <c r="L8" s="3">
        <f t="shared" si="3"/>
        <v>1</v>
      </c>
      <c r="M8" s="3">
        <f t="shared" si="4"/>
        <v>2</v>
      </c>
      <c r="N8" s="3">
        <f t="shared" si="5"/>
        <v>1</v>
      </c>
      <c r="O8" s="32"/>
      <c r="P8" s="3" cm="1">
        <f t="array" ref="P8">SUMPRODUCT(--(MOD(B8:G8,2)=1))</f>
        <v>3</v>
      </c>
      <c r="Q8" s="3">
        <f t="shared" si="6"/>
        <v>3</v>
      </c>
      <c r="R8" s="34"/>
      <c r="S8" s="3">
        <f t="shared" si="7"/>
        <v>2</v>
      </c>
      <c r="T8" s="3">
        <f t="shared" si="8"/>
        <v>4</v>
      </c>
      <c r="U8" s="34"/>
      <c r="V8" s="3" cm="1">
        <f t="array" ref="V8">SUMPRODUCT(--(MOD(B8:G8,10)&gt;=1), --(MOD(B8:G8,10)&lt;=5))</f>
        <v>4</v>
      </c>
      <c r="W8" s="3">
        <f t="shared" si="9"/>
        <v>2</v>
      </c>
      <c r="X8" s="34"/>
      <c r="Y8" s="3" cm="1">
        <f t="array" ref="Y8">IFERROR(COUNT(_xlfn._xlws.FILTER(B8:G8, ISNUMBER(MATCH(B8:G8, {2,3,5,7,11,13,17,19,23,29,31,37,41,43}, 0)))), 0)</f>
        <v>3</v>
      </c>
      <c r="Z8" s="3" cm="1">
        <f t="array" ref="Z8">IFERROR(COUNT(_xlfn._xlws.FILTER(B8:G8, ISNUMBER(MATCH(B8:G8, {1,4,8,10,14,16,20,22,25,26,28,32,34,35,38,40,44}, 0)))), 0)</f>
        <v>1</v>
      </c>
      <c r="AA8" s="3" cm="1">
        <f t="array" ref="AA8">IFERROR(COUNT(_xlfn._xlws.FILTER(B8:G8, ISNUMBER(MATCH(B8:G8, {6,9,12,15,18,21,24,27,30,33,36,39,42,45}, 0)))), 0)</f>
        <v>2</v>
      </c>
      <c r="AB8" s="30"/>
      <c r="AC8" s="26"/>
      <c r="AD8" s="26"/>
      <c r="AE8" s="26"/>
      <c r="AF8" s="26"/>
      <c r="AG8" s="26"/>
      <c r="AH8" s="26"/>
      <c r="AI8" s="30"/>
      <c r="AJ8" s="3">
        <f t="shared" si="10"/>
        <v>1</v>
      </c>
      <c r="AK8" s="3">
        <f t="shared" si="11"/>
        <v>2</v>
      </c>
      <c r="AL8" s="3">
        <f t="shared" si="12"/>
        <v>3</v>
      </c>
      <c r="AM8" s="33"/>
      <c r="AN8" s="3">
        <f t="shared" si="13"/>
        <v>1</v>
      </c>
      <c r="AO8" s="3">
        <f t="shared" si="14"/>
        <v>1</v>
      </c>
      <c r="AP8" s="3">
        <f t="shared" si="15"/>
        <v>0</v>
      </c>
      <c r="AQ8" s="3">
        <f t="shared" si="16"/>
        <v>1</v>
      </c>
      <c r="AR8" s="3">
        <f t="shared" si="17"/>
        <v>3</v>
      </c>
      <c r="AS8" s="28" t="e">
        <f>#REF!</f>
        <v>#REF!</v>
      </c>
      <c r="AT8" s="28" t="e">
        <f>#REF!*2</f>
        <v>#REF!</v>
      </c>
      <c r="AU8" s="28" t="e">
        <f>#REF!</f>
        <v>#REF!</v>
      </c>
      <c r="AV8" s="28" t="e">
        <f>#REF!*2</f>
        <v>#REF!</v>
      </c>
      <c r="AW8" s="28" t="e">
        <f>#REF!</f>
        <v>#REF!</v>
      </c>
      <c r="AX8" s="28" t="e">
        <f>#REF!*2</f>
        <v>#REF!</v>
      </c>
      <c r="AY8" s="28" t="e">
        <f>#REF!</f>
        <v>#REF!</v>
      </c>
      <c r="AZ8" s="28" t="e">
        <f>#REF!*2</f>
        <v>#REF!</v>
      </c>
      <c r="BA8" s="28" t="e">
        <f>#REF!</f>
        <v>#REF!</v>
      </c>
      <c r="BB8" s="28" t="e">
        <f>#REF!*2</f>
        <v>#REF!</v>
      </c>
      <c r="BC8" s="28" t="e">
        <f>#REF!</f>
        <v>#REF!</v>
      </c>
      <c r="BD8" s="28" t="e">
        <f>#REF!*2</f>
        <v>#REF!</v>
      </c>
      <c r="BE8" s="9" t="e">
        <f>#REF!-#REF!</f>
        <v>#REF!</v>
      </c>
      <c r="BF8" s="9" t="e">
        <f>#REF!-#REF!</f>
        <v>#REF!</v>
      </c>
      <c r="BG8" s="9" t="e">
        <f>#REF!-#REF!</f>
        <v>#REF!</v>
      </c>
      <c r="BH8" s="9" t="e">
        <f>#REF!-#REF!</f>
        <v>#REF!</v>
      </c>
      <c r="BI8" s="9" t="e">
        <f>#REF!-#REF!</f>
        <v>#REF!</v>
      </c>
      <c r="BJ8" s="33"/>
      <c r="BK8" s="3">
        <f t="shared" si="18"/>
        <v>1</v>
      </c>
      <c r="BL8" s="3">
        <f t="shared" si="19"/>
        <v>1</v>
      </c>
      <c r="BM8" s="3">
        <f t="shared" si="20"/>
        <v>0</v>
      </c>
      <c r="BN8" s="3">
        <f t="shared" si="21"/>
        <v>2</v>
      </c>
      <c r="BO8" s="3">
        <f t="shared" si="22"/>
        <v>2</v>
      </c>
      <c r="BP8" s="28" t="e">
        <f>#REF!</f>
        <v>#REF!</v>
      </c>
      <c r="BQ8" s="28" t="e">
        <f>#REF!*2</f>
        <v>#REF!</v>
      </c>
      <c r="BR8" s="28" t="e">
        <f>#REF!</f>
        <v>#REF!</v>
      </c>
      <c r="BS8" s="28" t="e">
        <f>#REF!*2</f>
        <v>#REF!</v>
      </c>
      <c r="BT8" s="28" t="e">
        <f>#REF!</f>
        <v>#REF!</v>
      </c>
      <c r="BU8" s="28" t="e">
        <f>#REF!*2</f>
        <v>#REF!</v>
      </c>
      <c r="BV8" s="28" t="e">
        <f>#REF!</f>
        <v>#REF!</v>
      </c>
      <c r="BW8" s="28" t="e">
        <f>#REF!*2</f>
        <v>#REF!</v>
      </c>
      <c r="BX8" s="28" t="e">
        <f>#REF!</f>
        <v>#REF!</v>
      </c>
      <c r="BY8" s="28" t="e">
        <f>#REF!*2</f>
        <v>#REF!</v>
      </c>
      <c r="BZ8" s="28" t="e">
        <f>#REF!</f>
        <v>#REF!</v>
      </c>
      <c r="CA8" s="28" t="e">
        <f>#REF!*2</f>
        <v>#REF!</v>
      </c>
      <c r="CB8" s="9">
        <f t="shared" si="23"/>
        <v>14</v>
      </c>
      <c r="CC8" s="9">
        <f t="shared" si="24"/>
        <v>13</v>
      </c>
      <c r="CD8" s="9">
        <f t="shared" si="25"/>
        <v>6</v>
      </c>
      <c r="CE8" s="9">
        <f t="shared" si="26"/>
        <v>5</v>
      </c>
      <c r="CF8" s="9">
        <f t="shared" si="27"/>
        <v>1</v>
      </c>
      <c r="CG8" s="33"/>
      <c r="CH8" s="9">
        <f t="shared" si="28"/>
        <v>14</v>
      </c>
      <c r="CI8" s="9">
        <f t="shared" si="29"/>
        <v>13</v>
      </c>
      <c r="CJ8" s="9">
        <f t="shared" si="30"/>
        <v>6</v>
      </c>
      <c r="CK8" s="9">
        <f t="shared" si="31"/>
        <v>5</v>
      </c>
      <c r="CL8" s="9">
        <f t="shared" si="32"/>
        <v>1</v>
      </c>
      <c r="CM8" s="32"/>
      <c r="CN8" s="3">
        <f t="shared" si="33"/>
        <v>2</v>
      </c>
      <c r="CO8" s="3">
        <f t="shared" si="34"/>
        <v>1</v>
      </c>
      <c r="CP8" s="3">
        <f t="shared" si="35"/>
        <v>2</v>
      </c>
      <c r="CQ8" s="3">
        <f t="shared" si="36"/>
        <v>1</v>
      </c>
      <c r="CR8" s="3">
        <f t="shared" si="37"/>
        <v>1</v>
      </c>
      <c r="CS8" s="31"/>
      <c r="CT8" s="3" cm="1">
        <f t="array" ref="CT8">SUMPRODUCT(--(MOD(CH8:CL8,2)=1))</f>
        <v>3</v>
      </c>
      <c r="CU8" s="3">
        <f t="shared" si="38"/>
        <v>2</v>
      </c>
      <c r="CV8" s="30"/>
      <c r="CW8" s="3" cm="1">
        <f t="array" ref="CW8">SUMPRODUCT(--(MOD(CH8:CL8,10)&gt;=1), --(MOD(CH8:CL8,10)&lt;=5))</f>
        <v>4</v>
      </c>
      <c r="CX8" s="3">
        <f t="shared" si="39"/>
        <v>1</v>
      </c>
      <c r="CY8" s="30"/>
      <c r="CZ8" s="3" cm="1">
        <f t="array" ref="CZ8">IFERROR(COUNT(_xlfn._xlws.FILTER(CH8:CL8, ISNUMBER(MATCH(CH8:CL8, {2,3,5,7,11,13,17,19,23,29,31,37,41,43}, 0)))), 0)</f>
        <v>2</v>
      </c>
      <c r="DA8" s="3" cm="1">
        <f t="array" ref="DA8">IFERROR(COUNT(_xlfn._xlws.FILTER(CH8:CL8, ISNUMBER(MATCH(CH8:CL8, {1,4,8,10,14,16,20,22,25,26,28,32,34,35,38,40,44}, 0)))), 0)</f>
        <v>2</v>
      </c>
      <c r="DB8" s="3" cm="1">
        <f t="array" ref="DB8">IFERROR(COUNT(_xlfn._xlws.FILTER(CH8:CL8, ISNUMBER(MATCH(CH8:CL8, {6,9,12,15,18,21,24,27,30,33,36,39,42,45}, 0)))), 0)</f>
        <v>1</v>
      </c>
      <c r="DC8" s="29"/>
      <c r="DD8" s="28" t="e">
        <f>#REF!</f>
        <v>#REF!</v>
      </c>
      <c r="DE8" s="28" t="e">
        <f>#REF!*2</f>
        <v>#REF!</v>
      </c>
      <c r="DF8" s="28" t="e">
        <f>#REF!</f>
        <v>#REF!</v>
      </c>
      <c r="DG8" s="28" t="e">
        <f>#REF!*2</f>
        <v>#REF!</v>
      </c>
      <c r="DH8" s="28" t="e">
        <f>#REF!</f>
        <v>#REF!</v>
      </c>
      <c r="DI8" s="28" t="e">
        <f>#REF!*2</f>
        <v>#REF!</v>
      </c>
      <c r="DJ8" s="28" t="e">
        <f>#REF!</f>
        <v>#REF!</v>
      </c>
      <c r="DK8" s="28" t="e">
        <f>#REF!*2</f>
        <v>#REF!</v>
      </c>
      <c r="DL8" s="28" t="e">
        <f>#REF!</f>
        <v>#REF!</v>
      </c>
      <c r="DM8" s="28" t="e">
        <f>#REF!*2</f>
        <v>#REF!</v>
      </c>
      <c r="DN8" s="27"/>
      <c r="DO8" s="26"/>
      <c r="DP8" s="26"/>
      <c r="DQ8" s="26"/>
      <c r="DR8" s="26"/>
      <c r="DS8" s="26"/>
      <c r="DT8" s="25"/>
    </row>
    <row r="9" spans="1:124" x14ac:dyDescent="0.3">
      <c r="B9" s="3">
        <v>12</v>
      </c>
      <c r="C9" s="3">
        <v>19</v>
      </c>
      <c r="D9" s="3">
        <v>21</v>
      </c>
      <c r="E9" s="3">
        <v>29</v>
      </c>
      <c r="F9" s="3">
        <v>40</v>
      </c>
      <c r="G9" s="3">
        <v>45</v>
      </c>
      <c r="H9" s="32"/>
      <c r="I9" s="3">
        <f t="shared" si="0"/>
        <v>2</v>
      </c>
      <c r="J9" s="3">
        <f t="shared" si="1"/>
        <v>1</v>
      </c>
      <c r="K9" s="3">
        <f t="shared" si="2"/>
        <v>1</v>
      </c>
      <c r="L9" s="3">
        <f t="shared" si="3"/>
        <v>1</v>
      </c>
      <c r="M9" s="3">
        <f t="shared" si="4"/>
        <v>2</v>
      </c>
      <c r="N9" s="3">
        <f t="shared" si="5"/>
        <v>1</v>
      </c>
      <c r="O9" s="32"/>
      <c r="P9" s="3" cm="1">
        <f t="array" ref="P9">SUMPRODUCT(--(MOD(B9:G9,2)=1))</f>
        <v>4</v>
      </c>
      <c r="Q9" s="3">
        <f t="shared" si="6"/>
        <v>2</v>
      </c>
      <c r="R9" s="34"/>
      <c r="S9" s="3">
        <f t="shared" si="7"/>
        <v>3</v>
      </c>
      <c r="T9" s="3">
        <f t="shared" si="8"/>
        <v>3</v>
      </c>
      <c r="U9" s="34"/>
      <c r="V9" s="3" cm="1">
        <f t="array" ref="V9">SUMPRODUCT(--(MOD(B9:G9,10)&gt;=1), --(MOD(B9:G9,10)&lt;=5))</f>
        <v>3</v>
      </c>
      <c r="W9" s="3">
        <f t="shared" si="9"/>
        <v>3</v>
      </c>
      <c r="X9" s="34"/>
      <c r="Y9" s="3" cm="1">
        <f t="array" ref="Y9">IFERROR(COUNT(_xlfn._xlws.FILTER(B9:G9, ISNUMBER(MATCH(B9:G9, {2,3,5,7,11,13,17,19,23,29,31,37,41,43}, 0)))), 0)</f>
        <v>2</v>
      </c>
      <c r="Z9" s="3" cm="1">
        <f t="array" ref="Z9">IFERROR(COUNT(_xlfn._xlws.FILTER(B9:G9, ISNUMBER(MATCH(B9:G9, {1,4,8,10,14,16,20,22,25,26,28,32,34,35,38,40,44}, 0)))), 0)</f>
        <v>1</v>
      </c>
      <c r="AA9" s="3" cm="1">
        <f t="array" ref="AA9">IFERROR(COUNT(_xlfn._xlws.FILTER(B9:G9, ISNUMBER(MATCH(B9:G9, {6,9,12,15,18,21,24,27,30,33,36,39,42,45}, 0)))), 0)</f>
        <v>3</v>
      </c>
      <c r="AB9" s="30"/>
      <c r="AC9" s="26"/>
      <c r="AD9" s="26"/>
      <c r="AE9" s="26"/>
      <c r="AF9" s="26"/>
      <c r="AG9" s="26"/>
      <c r="AH9" s="26"/>
      <c r="AI9" s="30"/>
      <c r="AJ9" s="3">
        <f t="shared" si="10"/>
        <v>1</v>
      </c>
      <c r="AK9" s="3">
        <f t="shared" si="11"/>
        <v>3</v>
      </c>
      <c r="AL9" s="3">
        <f t="shared" si="12"/>
        <v>2</v>
      </c>
      <c r="AM9" s="33"/>
      <c r="AN9" s="3">
        <f t="shared" si="13"/>
        <v>0</v>
      </c>
      <c r="AO9" s="3">
        <f t="shared" si="14"/>
        <v>1</v>
      </c>
      <c r="AP9" s="3">
        <f t="shared" si="15"/>
        <v>2</v>
      </c>
      <c r="AQ9" s="3">
        <f t="shared" si="16"/>
        <v>1</v>
      </c>
      <c r="AR9" s="3">
        <f t="shared" si="17"/>
        <v>2</v>
      </c>
      <c r="AS9" s="28" t="e">
        <f>#REF!</f>
        <v>#REF!</v>
      </c>
      <c r="AT9" s="28" t="e">
        <f>#REF!*2</f>
        <v>#REF!</v>
      </c>
      <c r="AU9" s="28" t="e">
        <f>#REF!</f>
        <v>#REF!</v>
      </c>
      <c r="AV9" s="28" t="e">
        <f>#REF!*2</f>
        <v>#REF!</v>
      </c>
      <c r="AW9" s="28" t="e">
        <f>#REF!</f>
        <v>#REF!</v>
      </c>
      <c r="AX9" s="28" t="e">
        <f>#REF!*2</f>
        <v>#REF!</v>
      </c>
      <c r="AY9" s="28" t="e">
        <f>#REF!</f>
        <v>#REF!</v>
      </c>
      <c r="AZ9" s="28" t="e">
        <f>#REF!*2</f>
        <v>#REF!</v>
      </c>
      <c r="BA9" s="28" t="e">
        <f>#REF!</f>
        <v>#REF!</v>
      </c>
      <c r="BB9" s="28" t="e">
        <f>#REF!*2</f>
        <v>#REF!</v>
      </c>
      <c r="BC9" s="28" t="e">
        <f>#REF!</f>
        <v>#REF!</v>
      </c>
      <c r="BD9" s="28" t="e">
        <f>#REF!*2</f>
        <v>#REF!</v>
      </c>
      <c r="BE9" s="9" t="e">
        <f>#REF!-#REF!</f>
        <v>#REF!</v>
      </c>
      <c r="BF9" s="9" t="e">
        <f>#REF!-#REF!</f>
        <v>#REF!</v>
      </c>
      <c r="BG9" s="9" t="e">
        <f>#REF!-#REF!</f>
        <v>#REF!</v>
      </c>
      <c r="BH9" s="9" t="e">
        <f>#REF!-#REF!</f>
        <v>#REF!</v>
      </c>
      <c r="BI9" s="9" t="e">
        <f>#REF!-#REF!</f>
        <v>#REF!</v>
      </c>
      <c r="BJ9" s="33"/>
      <c r="BK9" s="3">
        <f t="shared" si="18"/>
        <v>0</v>
      </c>
      <c r="BL9" s="3">
        <f t="shared" si="19"/>
        <v>2</v>
      </c>
      <c r="BM9" s="3">
        <f t="shared" si="20"/>
        <v>2</v>
      </c>
      <c r="BN9" s="3">
        <f t="shared" si="21"/>
        <v>0</v>
      </c>
      <c r="BO9" s="3">
        <f t="shared" si="22"/>
        <v>2</v>
      </c>
      <c r="BP9" s="28" t="e">
        <f>#REF!</f>
        <v>#REF!</v>
      </c>
      <c r="BQ9" s="28" t="e">
        <f>#REF!*2</f>
        <v>#REF!</v>
      </c>
      <c r="BR9" s="28" t="e">
        <f>#REF!</f>
        <v>#REF!</v>
      </c>
      <c r="BS9" s="28" t="e">
        <f>#REF!*2</f>
        <v>#REF!</v>
      </c>
      <c r="BT9" s="28" t="e">
        <f>#REF!</f>
        <v>#REF!</v>
      </c>
      <c r="BU9" s="28" t="e">
        <f>#REF!*2</f>
        <v>#REF!</v>
      </c>
      <c r="BV9" s="28" t="e">
        <f>#REF!</f>
        <v>#REF!</v>
      </c>
      <c r="BW9" s="28" t="e">
        <f>#REF!*2</f>
        <v>#REF!</v>
      </c>
      <c r="BX9" s="28" t="e">
        <f>#REF!</f>
        <v>#REF!</v>
      </c>
      <c r="BY9" s="28" t="e">
        <f>#REF!*2</f>
        <v>#REF!</v>
      </c>
      <c r="BZ9" s="28" t="e">
        <f>#REF!</f>
        <v>#REF!</v>
      </c>
      <c r="CA9" s="28" t="e">
        <f>#REF!*2</f>
        <v>#REF!</v>
      </c>
      <c r="CB9" s="9">
        <f t="shared" si="23"/>
        <v>7</v>
      </c>
      <c r="CC9" s="9">
        <f t="shared" si="24"/>
        <v>2</v>
      </c>
      <c r="CD9" s="9">
        <f t="shared" si="25"/>
        <v>8</v>
      </c>
      <c r="CE9" s="9">
        <f t="shared" si="26"/>
        <v>11</v>
      </c>
      <c r="CF9" s="9">
        <f t="shared" si="27"/>
        <v>5</v>
      </c>
      <c r="CG9" s="33"/>
      <c r="CH9" s="9">
        <f t="shared" si="28"/>
        <v>7</v>
      </c>
      <c r="CI9" s="9">
        <f t="shared" si="29"/>
        <v>2</v>
      </c>
      <c r="CJ9" s="9">
        <f t="shared" si="30"/>
        <v>8</v>
      </c>
      <c r="CK9" s="9">
        <f t="shared" si="31"/>
        <v>11</v>
      </c>
      <c r="CL9" s="9">
        <f t="shared" si="32"/>
        <v>5</v>
      </c>
      <c r="CM9" s="32"/>
      <c r="CN9" s="3">
        <f t="shared" si="33"/>
        <v>1</v>
      </c>
      <c r="CO9" s="3">
        <f t="shared" si="34"/>
        <v>2</v>
      </c>
      <c r="CP9" s="3">
        <f t="shared" si="35"/>
        <v>2</v>
      </c>
      <c r="CQ9" s="3">
        <f t="shared" si="36"/>
        <v>1</v>
      </c>
      <c r="CR9" s="3">
        <f t="shared" si="37"/>
        <v>1</v>
      </c>
      <c r="CS9" s="31"/>
      <c r="CT9" s="3" cm="1">
        <f t="array" ref="CT9">SUMPRODUCT(--(MOD(CH9:CL9,2)=1))</f>
        <v>3</v>
      </c>
      <c r="CU9" s="3">
        <f t="shared" si="38"/>
        <v>2</v>
      </c>
      <c r="CV9" s="30"/>
      <c r="CW9" s="3" cm="1">
        <f t="array" ref="CW9">SUMPRODUCT(--(MOD(CH9:CL9,10)&gt;=1), --(MOD(CH9:CL9,10)&lt;=5))</f>
        <v>3</v>
      </c>
      <c r="CX9" s="3">
        <f t="shared" si="39"/>
        <v>2</v>
      </c>
      <c r="CY9" s="30"/>
      <c r="CZ9" s="3" cm="1">
        <f t="array" ref="CZ9">IFERROR(COUNT(_xlfn._xlws.FILTER(CH9:CL9, ISNUMBER(MATCH(CH9:CL9, {2,3,5,7,11,13,17,19,23,29,31,37,41,43}, 0)))), 0)</f>
        <v>4</v>
      </c>
      <c r="DA9" s="3" cm="1">
        <f t="array" ref="DA9">IFERROR(COUNT(_xlfn._xlws.FILTER(CH9:CL9, ISNUMBER(MATCH(CH9:CL9, {1,4,8,10,14,16,20,22,25,26,28,32,34,35,38,40,44}, 0)))), 0)</f>
        <v>1</v>
      </c>
      <c r="DB9" s="3" cm="1">
        <f t="array" ref="DB9">IFERROR(COUNT(_xlfn._xlws.FILTER(CH9:CL9, ISNUMBER(MATCH(CH9:CL9, {6,9,12,15,18,21,24,27,30,33,36,39,42,45}, 0)))), 0)</f>
        <v>0</v>
      </c>
      <c r="DC9" s="29"/>
      <c r="DD9" s="28" t="e">
        <f>#REF!</f>
        <v>#REF!</v>
      </c>
      <c r="DE9" s="28" t="e">
        <f>#REF!*2</f>
        <v>#REF!</v>
      </c>
      <c r="DF9" s="28" t="e">
        <f>#REF!</f>
        <v>#REF!</v>
      </c>
      <c r="DG9" s="28" t="e">
        <f>#REF!*2</f>
        <v>#REF!</v>
      </c>
      <c r="DH9" s="28" t="e">
        <f>#REF!</f>
        <v>#REF!</v>
      </c>
      <c r="DI9" s="28" t="e">
        <f>#REF!*2</f>
        <v>#REF!</v>
      </c>
      <c r="DJ9" s="28" t="e">
        <f>#REF!</f>
        <v>#REF!</v>
      </c>
      <c r="DK9" s="28" t="e">
        <f>#REF!*2</f>
        <v>#REF!</v>
      </c>
      <c r="DL9" s="28" t="e">
        <f>#REF!</f>
        <v>#REF!</v>
      </c>
      <c r="DM9" s="28" t="e">
        <f>#REF!*2</f>
        <v>#REF!</v>
      </c>
      <c r="DN9" s="27"/>
      <c r="DO9" s="26"/>
      <c r="DP9" s="26"/>
      <c r="DQ9" s="26"/>
      <c r="DR9" s="26"/>
      <c r="DS9" s="26"/>
      <c r="DT9" s="25"/>
    </row>
    <row r="10" spans="1:124" x14ac:dyDescent="0.3">
      <c r="B10" s="3">
        <v>6</v>
      </c>
      <c r="C10" s="3">
        <v>20</v>
      </c>
      <c r="D10" s="3">
        <v>23</v>
      </c>
      <c r="E10" s="3">
        <v>24</v>
      </c>
      <c r="F10" s="3">
        <v>28</v>
      </c>
      <c r="G10" s="3">
        <v>30</v>
      </c>
      <c r="H10" s="32"/>
      <c r="I10" s="3">
        <f t="shared" si="0"/>
        <v>2</v>
      </c>
      <c r="J10" s="3">
        <f t="shared" si="1"/>
        <v>2</v>
      </c>
      <c r="K10" s="3">
        <f t="shared" si="2"/>
        <v>1</v>
      </c>
      <c r="L10" s="3">
        <f t="shared" si="3"/>
        <v>2</v>
      </c>
      <c r="M10" s="3">
        <f t="shared" si="4"/>
        <v>2</v>
      </c>
      <c r="N10" s="3">
        <f t="shared" si="5"/>
        <v>2</v>
      </c>
      <c r="O10" s="32"/>
      <c r="P10" s="3" cm="1">
        <f t="array" ref="P10">SUMPRODUCT(--(MOD(B10:G10,2)=1))</f>
        <v>1</v>
      </c>
      <c r="Q10" s="3">
        <f t="shared" si="6"/>
        <v>5</v>
      </c>
      <c r="R10" s="34"/>
      <c r="S10" s="3">
        <f t="shared" si="7"/>
        <v>3</v>
      </c>
      <c r="T10" s="3">
        <f t="shared" si="8"/>
        <v>3</v>
      </c>
      <c r="U10" s="34"/>
      <c r="V10" s="3" cm="1">
        <f t="array" ref="V10">SUMPRODUCT(--(MOD(B10:G10,10)&gt;=1), --(MOD(B10:G10,10)&lt;=5))</f>
        <v>2</v>
      </c>
      <c r="W10" s="3">
        <f t="shared" si="9"/>
        <v>4</v>
      </c>
      <c r="X10" s="34"/>
      <c r="Y10" s="3" cm="1">
        <f t="array" ref="Y10">IFERROR(COUNT(_xlfn._xlws.FILTER(B10:G10, ISNUMBER(MATCH(B10:G10, {2,3,5,7,11,13,17,19,23,29,31,37,41,43}, 0)))), 0)</f>
        <v>1</v>
      </c>
      <c r="Z10" s="3" cm="1">
        <f t="array" ref="Z10">IFERROR(COUNT(_xlfn._xlws.FILTER(B10:G10, ISNUMBER(MATCH(B10:G10, {1,4,8,10,14,16,20,22,25,26,28,32,34,35,38,40,44}, 0)))), 0)</f>
        <v>2</v>
      </c>
      <c r="AA10" s="3" cm="1">
        <f t="array" ref="AA10">IFERROR(COUNT(_xlfn._xlws.FILTER(B10:G10, ISNUMBER(MATCH(B10:G10, {6,9,12,15,18,21,24,27,30,33,36,39,42,45}, 0)))), 0)</f>
        <v>3</v>
      </c>
      <c r="AB10" s="30"/>
      <c r="AC10" s="26"/>
      <c r="AD10" s="26"/>
      <c r="AE10" s="26"/>
      <c r="AF10" s="26"/>
      <c r="AG10" s="26"/>
      <c r="AH10" s="26"/>
      <c r="AI10" s="30"/>
      <c r="AJ10" s="3">
        <f t="shared" si="10"/>
        <v>1</v>
      </c>
      <c r="AK10" s="3">
        <f t="shared" si="11"/>
        <v>5</v>
      </c>
      <c r="AL10" s="3">
        <f t="shared" si="12"/>
        <v>0</v>
      </c>
      <c r="AM10" s="33"/>
      <c r="AN10" s="3">
        <f t="shared" si="13"/>
        <v>1</v>
      </c>
      <c r="AO10" s="3">
        <f t="shared" si="14"/>
        <v>0</v>
      </c>
      <c r="AP10" s="3">
        <f t="shared" si="15"/>
        <v>3</v>
      </c>
      <c r="AQ10" s="3">
        <f t="shared" si="16"/>
        <v>2</v>
      </c>
      <c r="AR10" s="3">
        <f t="shared" si="17"/>
        <v>0</v>
      </c>
      <c r="AS10" s="28" t="e">
        <f>#REF!</f>
        <v>#REF!</v>
      </c>
      <c r="AT10" s="28" t="e">
        <f>#REF!*2</f>
        <v>#REF!</v>
      </c>
      <c r="AU10" s="28" t="e">
        <f>#REF!</f>
        <v>#REF!</v>
      </c>
      <c r="AV10" s="28" t="e">
        <f>#REF!*2</f>
        <v>#REF!</v>
      </c>
      <c r="AW10" s="28" t="e">
        <f>#REF!</f>
        <v>#REF!</v>
      </c>
      <c r="AX10" s="28" t="e">
        <f>#REF!*2</f>
        <v>#REF!</v>
      </c>
      <c r="AY10" s="28" t="e">
        <f>#REF!</f>
        <v>#REF!</v>
      </c>
      <c r="AZ10" s="28" t="e">
        <f>#REF!*2</f>
        <v>#REF!</v>
      </c>
      <c r="BA10" s="28" t="e">
        <f>#REF!</f>
        <v>#REF!</v>
      </c>
      <c r="BB10" s="28" t="e">
        <f>#REF!*2</f>
        <v>#REF!</v>
      </c>
      <c r="BC10" s="28" t="e">
        <f>#REF!</f>
        <v>#REF!</v>
      </c>
      <c r="BD10" s="28" t="e">
        <f>#REF!*2</f>
        <v>#REF!</v>
      </c>
      <c r="BE10" s="9" t="e">
        <f>#REF!-#REF!</f>
        <v>#REF!</v>
      </c>
      <c r="BF10" s="9" t="e">
        <f>#REF!-#REF!</f>
        <v>#REF!</v>
      </c>
      <c r="BG10" s="9" t="e">
        <f>#REF!-#REF!</f>
        <v>#REF!</v>
      </c>
      <c r="BH10" s="9" t="e">
        <f>#REF!-#REF!</f>
        <v>#REF!</v>
      </c>
      <c r="BI10" s="9" t="e">
        <f>#REF!-#REF!</f>
        <v>#REF!</v>
      </c>
      <c r="BJ10" s="33"/>
      <c r="BK10" s="3">
        <f t="shared" si="18"/>
        <v>1</v>
      </c>
      <c r="BL10" s="3">
        <f t="shared" si="19"/>
        <v>0</v>
      </c>
      <c r="BM10" s="3">
        <f t="shared" si="20"/>
        <v>4</v>
      </c>
      <c r="BN10" s="3">
        <f t="shared" si="21"/>
        <v>1</v>
      </c>
      <c r="BO10" s="3">
        <f t="shared" si="22"/>
        <v>0</v>
      </c>
      <c r="BP10" s="28" t="e">
        <f>#REF!</f>
        <v>#REF!</v>
      </c>
      <c r="BQ10" s="28" t="e">
        <f>#REF!*2</f>
        <v>#REF!</v>
      </c>
      <c r="BR10" s="28" t="e">
        <f>#REF!</f>
        <v>#REF!</v>
      </c>
      <c r="BS10" s="28" t="e">
        <f>#REF!*2</f>
        <v>#REF!</v>
      </c>
      <c r="BT10" s="28" t="e">
        <f>#REF!</f>
        <v>#REF!</v>
      </c>
      <c r="BU10" s="28" t="e">
        <f>#REF!*2</f>
        <v>#REF!</v>
      </c>
      <c r="BV10" s="28" t="e">
        <f>#REF!</f>
        <v>#REF!</v>
      </c>
      <c r="BW10" s="28" t="e">
        <f>#REF!*2</f>
        <v>#REF!</v>
      </c>
      <c r="BX10" s="28" t="e">
        <f>#REF!</f>
        <v>#REF!</v>
      </c>
      <c r="BY10" s="28" t="e">
        <f>#REF!*2</f>
        <v>#REF!</v>
      </c>
      <c r="BZ10" s="28" t="e">
        <f>#REF!</f>
        <v>#REF!</v>
      </c>
      <c r="CA10" s="28" t="e">
        <f>#REF!*2</f>
        <v>#REF!</v>
      </c>
      <c r="CB10" s="9">
        <f t="shared" si="23"/>
        <v>14</v>
      </c>
      <c r="CC10" s="9">
        <f t="shared" si="24"/>
        <v>3</v>
      </c>
      <c r="CD10" s="9">
        <f t="shared" si="25"/>
        <v>1</v>
      </c>
      <c r="CE10" s="9">
        <f t="shared" si="26"/>
        <v>4</v>
      </c>
      <c r="CF10" s="9">
        <f t="shared" si="27"/>
        <v>2</v>
      </c>
      <c r="CG10" s="33"/>
      <c r="CH10" s="9">
        <f t="shared" si="28"/>
        <v>14</v>
      </c>
      <c r="CI10" s="9">
        <f t="shared" si="29"/>
        <v>3</v>
      </c>
      <c r="CJ10" s="9">
        <f t="shared" si="30"/>
        <v>1</v>
      </c>
      <c r="CK10" s="9">
        <f t="shared" si="31"/>
        <v>4</v>
      </c>
      <c r="CL10" s="9">
        <f t="shared" si="32"/>
        <v>2</v>
      </c>
      <c r="CM10" s="32"/>
      <c r="CN10" s="3">
        <f t="shared" si="33"/>
        <v>2</v>
      </c>
      <c r="CO10" s="3">
        <f t="shared" si="34"/>
        <v>1</v>
      </c>
      <c r="CP10" s="3">
        <f t="shared" si="35"/>
        <v>1</v>
      </c>
      <c r="CQ10" s="3">
        <f t="shared" si="36"/>
        <v>2</v>
      </c>
      <c r="CR10" s="3">
        <f t="shared" si="37"/>
        <v>2</v>
      </c>
      <c r="CS10" s="31"/>
      <c r="CT10" s="3" cm="1">
        <f t="array" ref="CT10">SUMPRODUCT(--(MOD(CH10:CL10,2)=1))</f>
        <v>2</v>
      </c>
      <c r="CU10" s="3">
        <f t="shared" si="38"/>
        <v>3</v>
      </c>
      <c r="CV10" s="30"/>
      <c r="CW10" s="3" cm="1">
        <f t="array" ref="CW10">SUMPRODUCT(--(MOD(CH10:CL10,10)&gt;=1), --(MOD(CH10:CL10,10)&lt;=5))</f>
        <v>5</v>
      </c>
      <c r="CX10" s="3">
        <f t="shared" si="39"/>
        <v>0</v>
      </c>
      <c r="CY10" s="30"/>
      <c r="CZ10" s="3" cm="1">
        <f t="array" ref="CZ10">IFERROR(COUNT(_xlfn._xlws.FILTER(CH10:CL10, ISNUMBER(MATCH(CH10:CL10, {2,3,5,7,11,13,17,19,23,29,31,37,41,43}, 0)))), 0)</f>
        <v>2</v>
      </c>
      <c r="DA10" s="3" cm="1">
        <f t="array" ref="DA10">IFERROR(COUNT(_xlfn._xlws.FILTER(CH10:CL10, ISNUMBER(MATCH(CH10:CL10, {1,4,8,10,14,16,20,22,25,26,28,32,34,35,38,40,44}, 0)))), 0)</f>
        <v>3</v>
      </c>
      <c r="DB10" s="3" cm="1">
        <f t="array" ref="DB10">IFERROR(COUNT(_xlfn._xlws.FILTER(CH10:CL10, ISNUMBER(MATCH(CH10:CL10, {6,9,12,15,18,21,24,27,30,33,36,39,42,45}, 0)))), 0)</f>
        <v>0</v>
      </c>
      <c r="DC10" s="29"/>
      <c r="DD10" s="28" t="e">
        <f>#REF!</f>
        <v>#REF!</v>
      </c>
      <c r="DE10" s="28" t="e">
        <f>#REF!*2</f>
        <v>#REF!</v>
      </c>
      <c r="DF10" s="28" t="e">
        <f>#REF!</f>
        <v>#REF!</v>
      </c>
      <c r="DG10" s="28" t="e">
        <f>#REF!*2</f>
        <v>#REF!</v>
      </c>
      <c r="DH10" s="28" t="e">
        <f>#REF!</f>
        <v>#REF!</v>
      </c>
      <c r="DI10" s="28" t="e">
        <f>#REF!*2</f>
        <v>#REF!</v>
      </c>
      <c r="DJ10" s="28" t="e">
        <f>#REF!</f>
        <v>#REF!</v>
      </c>
      <c r="DK10" s="28" t="e">
        <f>#REF!*2</f>
        <v>#REF!</v>
      </c>
      <c r="DL10" s="28" t="e">
        <f>#REF!</f>
        <v>#REF!</v>
      </c>
      <c r="DM10" s="28" t="e">
        <f>#REF!*2</f>
        <v>#REF!</v>
      </c>
      <c r="DN10" s="27"/>
      <c r="DO10" s="26"/>
      <c r="DP10" s="26"/>
      <c r="DQ10" s="26"/>
      <c r="DR10" s="26"/>
      <c r="DS10" s="26"/>
      <c r="DT10" s="25"/>
    </row>
    <row r="11" spans="1:124" x14ac:dyDescent="0.3">
      <c r="B11" s="3">
        <v>7</v>
      </c>
      <c r="C11" s="3">
        <v>18</v>
      </c>
      <c r="D11" s="3">
        <v>19</v>
      </c>
      <c r="E11" s="3">
        <v>26</v>
      </c>
      <c r="F11" s="3">
        <v>33</v>
      </c>
      <c r="G11" s="3">
        <v>45</v>
      </c>
      <c r="H11" s="32"/>
      <c r="I11" s="3">
        <f t="shared" si="0"/>
        <v>1</v>
      </c>
      <c r="J11" s="3">
        <f t="shared" si="1"/>
        <v>2</v>
      </c>
      <c r="K11" s="3">
        <f t="shared" si="2"/>
        <v>1</v>
      </c>
      <c r="L11" s="3">
        <f t="shared" si="3"/>
        <v>2</v>
      </c>
      <c r="M11" s="3">
        <f t="shared" si="4"/>
        <v>1</v>
      </c>
      <c r="N11" s="3">
        <f t="shared" si="5"/>
        <v>1</v>
      </c>
      <c r="O11" s="32"/>
      <c r="P11" s="3" cm="1">
        <f t="array" ref="P11">SUMPRODUCT(--(MOD(B11:G11,2)=1))</f>
        <v>4</v>
      </c>
      <c r="Q11" s="3">
        <f t="shared" si="6"/>
        <v>2</v>
      </c>
      <c r="R11" s="34"/>
      <c r="S11" s="3">
        <f t="shared" si="7"/>
        <v>3</v>
      </c>
      <c r="T11" s="3">
        <f t="shared" si="8"/>
        <v>3</v>
      </c>
      <c r="U11" s="34"/>
      <c r="V11" s="3" cm="1">
        <f t="array" ref="V11">SUMPRODUCT(--(MOD(B11:G11,10)&gt;=1), --(MOD(B11:G11,10)&lt;=5))</f>
        <v>2</v>
      </c>
      <c r="W11" s="3">
        <f t="shared" si="9"/>
        <v>4</v>
      </c>
      <c r="X11" s="34"/>
      <c r="Y11" s="3" cm="1">
        <f t="array" ref="Y11">IFERROR(COUNT(_xlfn._xlws.FILTER(B11:G11, ISNUMBER(MATCH(B11:G11, {2,3,5,7,11,13,17,19,23,29,31,37,41,43}, 0)))), 0)</f>
        <v>2</v>
      </c>
      <c r="Z11" s="3" cm="1">
        <f t="array" ref="Z11">IFERROR(COUNT(_xlfn._xlws.FILTER(B11:G11, ISNUMBER(MATCH(B11:G11, {1,4,8,10,14,16,20,22,25,26,28,32,34,35,38,40,44}, 0)))), 0)</f>
        <v>1</v>
      </c>
      <c r="AA11" s="3" cm="1">
        <f t="array" ref="AA11">IFERROR(COUNT(_xlfn._xlws.FILTER(B11:G11, ISNUMBER(MATCH(B11:G11, {6,9,12,15,18,21,24,27,30,33,36,39,42,45}, 0)))), 0)</f>
        <v>3</v>
      </c>
      <c r="AB11" s="30"/>
      <c r="AC11" s="26"/>
      <c r="AD11" s="26"/>
      <c r="AE11" s="26"/>
      <c r="AF11" s="26"/>
      <c r="AG11" s="26"/>
      <c r="AH11" s="26"/>
      <c r="AI11" s="30"/>
      <c r="AJ11" s="3">
        <f t="shared" si="10"/>
        <v>1</v>
      </c>
      <c r="AK11" s="3">
        <f t="shared" si="11"/>
        <v>3</v>
      </c>
      <c r="AL11" s="3">
        <f t="shared" si="12"/>
        <v>2</v>
      </c>
      <c r="AM11" s="33"/>
      <c r="AN11" s="3">
        <f t="shared" si="13"/>
        <v>1</v>
      </c>
      <c r="AO11" s="3">
        <f t="shared" si="14"/>
        <v>1</v>
      </c>
      <c r="AP11" s="3">
        <f t="shared" si="15"/>
        <v>2</v>
      </c>
      <c r="AQ11" s="3">
        <f t="shared" si="16"/>
        <v>1</v>
      </c>
      <c r="AR11" s="3">
        <f t="shared" si="17"/>
        <v>1</v>
      </c>
      <c r="AS11" s="28" t="e">
        <f>#REF!</f>
        <v>#REF!</v>
      </c>
      <c r="AT11" s="28" t="e">
        <f>#REF!*2</f>
        <v>#REF!</v>
      </c>
      <c r="AU11" s="28" t="e">
        <f>#REF!</f>
        <v>#REF!</v>
      </c>
      <c r="AV11" s="28" t="e">
        <f>#REF!*2</f>
        <v>#REF!</v>
      </c>
      <c r="AW11" s="28" t="e">
        <f>#REF!</f>
        <v>#REF!</v>
      </c>
      <c r="AX11" s="28" t="e">
        <f>#REF!*2</f>
        <v>#REF!</v>
      </c>
      <c r="AY11" s="28" t="e">
        <f>#REF!</f>
        <v>#REF!</v>
      </c>
      <c r="AZ11" s="28" t="e">
        <f>#REF!*2</f>
        <v>#REF!</v>
      </c>
      <c r="BA11" s="28" t="e">
        <f>#REF!</f>
        <v>#REF!</v>
      </c>
      <c r="BB11" s="28" t="e">
        <f>#REF!*2</f>
        <v>#REF!</v>
      </c>
      <c r="BC11" s="28" t="e">
        <f>#REF!</f>
        <v>#REF!</v>
      </c>
      <c r="BD11" s="28" t="e">
        <f>#REF!*2</f>
        <v>#REF!</v>
      </c>
      <c r="BE11" s="9" t="e">
        <f>#REF!-#REF!</f>
        <v>#REF!</v>
      </c>
      <c r="BF11" s="9" t="e">
        <f>#REF!-#REF!</f>
        <v>#REF!</v>
      </c>
      <c r="BG11" s="9" t="e">
        <f>#REF!-#REF!</f>
        <v>#REF!</v>
      </c>
      <c r="BH11" s="9" t="e">
        <f>#REF!-#REF!</f>
        <v>#REF!</v>
      </c>
      <c r="BI11" s="9" t="e">
        <f>#REF!-#REF!</f>
        <v>#REF!</v>
      </c>
      <c r="BJ11" s="33"/>
      <c r="BK11" s="3">
        <f t="shared" si="18"/>
        <v>1</v>
      </c>
      <c r="BL11" s="3">
        <f t="shared" si="19"/>
        <v>2</v>
      </c>
      <c r="BM11" s="3">
        <f t="shared" si="20"/>
        <v>1</v>
      </c>
      <c r="BN11" s="3">
        <f t="shared" si="21"/>
        <v>1</v>
      </c>
      <c r="BO11" s="3">
        <f t="shared" si="22"/>
        <v>1</v>
      </c>
      <c r="BP11" s="28" t="e">
        <f>#REF!</f>
        <v>#REF!</v>
      </c>
      <c r="BQ11" s="28" t="e">
        <f>#REF!*2</f>
        <v>#REF!</v>
      </c>
      <c r="BR11" s="28" t="e">
        <f>#REF!</f>
        <v>#REF!</v>
      </c>
      <c r="BS11" s="28" t="e">
        <f>#REF!*2</f>
        <v>#REF!</v>
      </c>
      <c r="BT11" s="28" t="e">
        <f>#REF!</f>
        <v>#REF!</v>
      </c>
      <c r="BU11" s="28" t="e">
        <f>#REF!*2</f>
        <v>#REF!</v>
      </c>
      <c r="BV11" s="28" t="e">
        <f>#REF!</f>
        <v>#REF!</v>
      </c>
      <c r="BW11" s="28" t="e">
        <f>#REF!*2</f>
        <v>#REF!</v>
      </c>
      <c r="BX11" s="28" t="e">
        <f>#REF!</f>
        <v>#REF!</v>
      </c>
      <c r="BY11" s="28" t="e">
        <f>#REF!*2</f>
        <v>#REF!</v>
      </c>
      <c r="BZ11" s="28" t="e">
        <f>#REF!</f>
        <v>#REF!</v>
      </c>
      <c r="CA11" s="28" t="e">
        <f>#REF!*2</f>
        <v>#REF!</v>
      </c>
      <c r="CB11" s="9">
        <f t="shared" si="23"/>
        <v>11</v>
      </c>
      <c r="CC11" s="9">
        <f t="shared" si="24"/>
        <v>1</v>
      </c>
      <c r="CD11" s="9">
        <f t="shared" si="25"/>
        <v>7</v>
      </c>
      <c r="CE11" s="9">
        <f t="shared" si="26"/>
        <v>7</v>
      </c>
      <c r="CF11" s="9">
        <f t="shared" si="27"/>
        <v>12</v>
      </c>
      <c r="CG11" s="33"/>
      <c r="CH11" s="9">
        <f t="shared" si="28"/>
        <v>11</v>
      </c>
      <c r="CI11" s="9">
        <f t="shared" si="29"/>
        <v>1</v>
      </c>
      <c r="CJ11" s="9">
        <f t="shared" si="30"/>
        <v>7</v>
      </c>
      <c r="CK11" s="9">
        <f t="shared" si="31"/>
        <v>7</v>
      </c>
      <c r="CL11" s="9">
        <f t="shared" si="32"/>
        <v>12</v>
      </c>
      <c r="CM11" s="32"/>
      <c r="CN11" s="3">
        <f t="shared" si="33"/>
        <v>1</v>
      </c>
      <c r="CO11" s="3">
        <f t="shared" si="34"/>
        <v>1</v>
      </c>
      <c r="CP11" s="3">
        <f t="shared" si="35"/>
        <v>1</v>
      </c>
      <c r="CQ11" s="3">
        <f t="shared" si="36"/>
        <v>1</v>
      </c>
      <c r="CR11" s="3">
        <f t="shared" si="37"/>
        <v>2</v>
      </c>
      <c r="CS11" s="31"/>
      <c r="CT11" s="3" cm="1">
        <f t="array" ref="CT11">SUMPRODUCT(--(MOD(CH11:CL11,2)=1))</f>
        <v>4</v>
      </c>
      <c r="CU11" s="3">
        <f t="shared" si="38"/>
        <v>1</v>
      </c>
      <c r="CV11" s="30"/>
      <c r="CW11" s="3" cm="1">
        <f t="array" ref="CW11">SUMPRODUCT(--(MOD(CH11:CL11,10)&gt;=1), --(MOD(CH11:CL11,10)&lt;=5))</f>
        <v>3</v>
      </c>
      <c r="CX11" s="3">
        <f t="shared" si="39"/>
        <v>2</v>
      </c>
      <c r="CY11" s="30"/>
      <c r="CZ11" s="3" cm="1">
        <f t="array" ref="CZ11">IFERROR(COUNT(_xlfn._xlws.FILTER(CH11:CL11, ISNUMBER(MATCH(CH11:CL11, {2,3,5,7,11,13,17,19,23,29,31,37,41,43}, 0)))), 0)</f>
        <v>3</v>
      </c>
      <c r="DA11" s="3" cm="1">
        <f t="array" ref="DA11">IFERROR(COUNT(_xlfn._xlws.FILTER(CH11:CL11, ISNUMBER(MATCH(CH11:CL11, {1,4,8,10,14,16,20,22,25,26,28,32,34,35,38,40,44}, 0)))), 0)</f>
        <v>1</v>
      </c>
      <c r="DB11" s="3" cm="1">
        <f t="array" ref="DB11">IFERROR(COUNT(_xlfn._xlws.FILTER(CH11:CL11, ISNUMBER(MATCH(CH11:CL11, {6,9,12,15,18,21,24,27,30,33,36,39,42,45}, 0)))), 0)</f>
        <v>1</v>
      </c>
      <c r="DC11" s="29"/>
      <c r="DD11" s="28" t="e">
        <f>#REF!</f>
        <v>#REF!</v>
      </c>
      <c r="DE11" s="28" t="e">
        <f>#REF!*2</f>
        <v>#REF!</v>
      </c>
      <c r="DF11" s="28" t="e">
        <f>#REF!</f>
        <v>#REF!</v>
      </c>
      <c r="DG11" s="28" t="e">
        <f>#REF!*2</f>
        <v>#REF!</v>
      </c>
      <c r="DH11" s="28" t="e">
        <f>#REF!</f>
        <v>#REF!</v>
      </c>
      <c r="DI11" s="28" t="e">
        <f>#REF!*2</f>
        <v>#REF!</v>
      </c>
      <c r="DJ11" s="28" t="e">
        <f>#REF!</f>
        <v>#REF!</v>
      </c>
      <c r="DK11" s="28" t="e">
        <f>#REF!*2</f>
        <v>#REF!</v>
      </c>
      <c r="DL11" s="28" t="e">
        <f>#REF!</f>
        <v>#REF!</v>
      </c>
      <c r="DM11" s="28" t="e">
        <f>#REF!*2</f>
        <v>#REF!</v>
      </c>
      <c r="DN11" s="27"/>
      <c r="DO11" s="26"/>
      <c r="DP11" s="26"/>
      <c r="DQ11" s="26"/>
      <c r="DR11" s="26"/>
      <c r="DS11" s="26"/>
      <c r="DT11" s="25"/>
    </row>
    <row r="12" spans="1:124" x14ac:dyDescent="0.3">
      <c r="B12" s="3">
        <v>10</v>
      </c>
      <c r="C12" s="3">
        <v>17</v>
      </c>
      <c r="D12" s="3">
        <v>22</v>
      </c>
      <c r="E12" s="3">
        <v>30</v>
      </c>
      <c r="F12" s="3">
        <v>35</v>
      </c>
      <c r="G12" s="3">
        <v>43</v>
      </c>
      <c r="H12" s="32"/>
      <c r="I12" s="3">
        <f t="shared" si="0"/>
        <v>2</v>
      </c>
      <c r="J12" s="3">
        <f t="shared" si="1"/>
        <v>1</v>
      </c>
      <c r="K12" s="3">
        <f t="shared" si="2"/>
        <v>2</v>
      </c>
      <c r="L12" s="3">
        <f t="shared" si="3"/>
        <v>2</v>
      </c>
      <c r="M12" s="3">
        <f t="shared" si="4"/>
        <v>1</v>
      </c>
      <c r="N12" s="3">
        <f t="shared" si="5"/>
        <v>1</v>
      </c>
      <c r="O12" s="32"/>
      <c r="P12" s="3" cm="1">
        <f t="array" ref="P12">SUMPRODUCT(--(MOD(B12:G12,2)=1))</f>
        <v>3</v>
      </c>
      <c r="Q12" s="3">
        <f t="shared" si="6"/>
        <v>3</v>
      </c>
      <c r="R12" s="34"/>
      <c r="S12" s="3">
        <f t="shared" si="7"/>
        <v>3</v>
      </c>
      <c r="T12" s="3">
        <f t="shared" si="8"/>
        <v>3</v>
      </c>
      <c r="U12" s="34"/>
      <c r="V12" s="3" cm="1">
        <f t="array" ref="V12">SUMPRODUCT(--(MOD(B12:G12,10)&gt;=1), --(MOD(B12:G12,10)&lt;=5))</f>
        <v>3</v>
      </c>
      <c r="W12" s="3">
        <f t="shared" si="9"/>
        <v>3</v>
      </c>
      <c r="X12" s="34"/>
      <c r="Y12" s="3" cm="1">
        <f t="array" ref="Y12">IFERROR(COUNT(_xlfn._xlws.FILTER(B12:G12, ISNUMBER(MATCH(B12:G12, {2,3,5,7,11,13,17,19,23,29,31,37,41,43}, 0)))), 0)</f>
        <v>2</v>
      </c>
      <c r="Z12" s="3" cm="1">
        <f t="array" ref="Z12">IFERROR(COUNT(_xlfn._xlws.FILTER(B12:G12, ISNUMBER(MATCH(B12:G12, {1,4,8,10,14,16,20,22,25,26,28,32,34,35,38,40,44}, 0)))), 0)</f>
        <v>3</v>
      </c>
      <c r="AA12" s="3" cm="1">
        <f t="array" ref="AA12">IFERROR(COUNT(_xlfn._xlws.FILTER(B12:G12, ISNUMBER(MATCH(B12:G12, {6,9,12,15,18,21,24,27,30,33,36,39,42,45}, 0)))), 0)</f>
        <v>1</v>
      </c>
      <c r="AB12" s="30"/>
      <c r="AC12" s="26"/>
      <c r="AD12" s="26"/>
      <c r="AE12" s="26"/>
      <c r="AF12" s="26"/>
      <c r="AG12" s="26"/>
      <c r="AH12" s="26"/>
      <c r="AI12" s="30"/>
      <c r="AJ12" s="3">
        <f t="shared" si="10"/>
        <v>1</v>
      </c>
      <c r="AK12" s="3">
        <f t="shared" si="11"/>
        <v>3</v>
      </c>
      <c r="AL12" s="3">
        <f t="shared" si="12"/>
        <v>2</v>
      </c>
      <c r="AM12" s="33"/>
      <c r="AN12" s="3">
        <f t="shared" si="13"/>
        <v>0</v>
      </c>
      <c r="AO12" s="3">
        <f t="shared" si="14"/>
        <v>2</v>
      </c>
      <c r="AP12" s="3">
        <f t="shared" si="15"/>
        <v>1</v>
      </c>
      <c r="AQ12" s="3">
        <f t="shared" si="16"/>
        <v>2</v>
      </c>
      <c r="AR12" s="3">
        <f t="shared" si="17"/>
        <v>1</v>
      </c>
      <c r="AS12" s="28" t="e">
        <f>#REF!</f>
        <v>#REF!</v>
      </c>
      <c r="AT12" s="28" t="e">
        <f>#REF!*2</f>
        <v>#REF!</v>
      </c>
      <c r="AU12" s="28" t="e">
        <f>#REF!</f>
        <v>#REF!</v>
      </c>
      <c r="AV12" s="28" t="e">
        <f>#REF!*2</f>
        <v>#REF!</v>
      </c>
      <c r="AW12" s="28" t="e">
        <f>#REF!</f>
        <v>#REF!</v>
      </c>
      <c r="AX12" s="28" t="e">
        <f>#REF!*2</f>
        <v>#REF!</v>
      </c>
      <c r="AY12" s="28" t="e">
        <f>#REF!</f>
        <v>#REF!</v>
      </c>
      <c r="AZ12" s="28" t="e">
        <f>#REF!*2</f>
        <v>#REF!</v>
      </c>
      <c r="BA12" s="28" t="e">
        <f>#REF!</f>
        <v>#REF!</v>
      </c>
      <c r="BB12" s="28" t="e">
        <f>#REF!*2</f>
        <v>#REF!</v>
      </c>
      <c r="BC12" s="28" t="e">
        <f>#REF!</f>
        <v>#REF!</v>
      </c>
      <c r="BD12" s="28" t="e">
        <f>#REF!*2</f>
        <v>#REF!</v>
      </c>
      <c r="BE12" s="9" t="e">
        <f>#REF!-#REF!</f>
        <v>#REF!</v>
      </c>
      <c r="BF12" s="9" t="e">
        <f>#REF!-#REF!</f>
        <v>#REF!</v>
      </c>
      <c r="BG12" s="9" t="e">
        <f>#REF!-#REF!</f>
        <v>#REF!</v>
      </c>
      <c r="BH12" s="9" t="e">
        <f>#REF!-#REF!</f>
        <v>#REF!</v>
      </c>
      <c r="BI12" s="9" t="e">
        <f>#REF!-#REF!</f>
        <v>#REF!</v>
      </c>
      <c r="BJ12" s="33"/>
      <c r="BK12" s="3">
        <f t="shared" si="18"/>
        <v>0</v>
      </c>
      <c r="BL12" s="3">
        <f t="shared" si="19"/>
        <v>2</v>
      </c>
      <c r="BM12" s="3">
        <f t="shared" si="20"/>
        <v>1</v>
      </c>
      <c r="BN12" s="3">
        <f t="shared" si="21"/>
        <v>2</v>
      </c>
      <c r="BO12" s="3">
        <f t="shared" si="22"/>
        <v>1</v>
      </c>
      <c r="BP12" s="28" t="e">
        <f>#REF!</f>
        <v>#REF!</v>
      </c>
      <c r="BQ12" s="28" t="e">
        <f>#REF!*2</f>
        <v>#REF!</v>
      </c>
      <c r="BR12" s="28" t="e">
        <f>#REF!</f>
        <v>#REF!</v>
      </c>
      <c r="BS12" s="28" t="e">
        <f>#REF!*2</f>
        <v>#REF!</v>
      </c>
      <c r="BT12" s="28" t="e">
        <f>#REF!</f>
        <v>#REF!</v>
      </c>
      <c r="BU12" s="28" t="e">
        <f>#REF!*2</f>
        <v>#REF!</v>
      </c>
      <c r="BV12" s="28" t="e">
        <f>#REF!</f>
        <v>#REF!</v>
      </c>
      <c r="BW12" s="28" t="e">
        <f>#REF!*2</f>
        <v>#REF!</v>
      </c>
      <c r="BX12" s="28" t="e">
        <f>#REF!</f>
        <v>#REF!</v>
      </c>
      <c r="BY12" s="28" t="e">
        <f>#REF!*2</f>
        <v>#REF!</v>
      </c>
      <c r="BZ12" s="28" t="e">
        <f>#REF!</f>
        <v>#REF!</v>
      </c>
      <c r="CA12" s="28" t="e">
        <f>#REF!*2</f>
        <v>#REF!</v>
      </c>
      <c r="CB12" s="9">
        <f t="shared" si="23"/>
        <v>7</v>
      </c>
      <c r="CC12" s="9">
        <f t="shared" si="24"/>
        <v>5</v>
      </c>
      <c r="CD12" s="9">
        <f t="shared" si="25"/>
        <v>8</v>
      </c>
      <c r="CE12" s="9">
        <f t="shared" si="26"/>
        <v>5</v>
      </c>
      <c r="CF12" s="9">
        <f t="shared" si="27"/>
        <v>8</v>
      </c>
      <c r="CG12" s="33"/>
      <c r="CH12" s="9">
        <f t="shared" si="28"/>
        <v>7</v>
      </c>
      <c r="CI12" s="9">
        <f t="shared" si="29"/>
        <v>5</v>
      </c>
      <c r="CJ12" s="9">
        <f t="shared" si="30"/>
        <v>8</v>
      </c>
      <c r="CK12" s="9">
        <f t="shared" si="31"/>
        <v>5</v>
      </c>
      <c r="CL12" s="9">
        <f t="shared" si="32"/>
        <v>8</v>
      </c>
      <c r="CM12" s="32"/>
      <c r="CN12" s="3">
        <f t="shared" si="33"/>
        <v>1</v>
      </c>
      <c r="CO12" s="3">
        <f t="shared" si="34"/>
        <v>1</v>
      </c>
      <c r="CP12" s="3">
        <f t="shared" si="35"/>
        <v>2</v>
      </c>
      <c r="CQ12" s="3">
        <f t="shared" si="36"/>
        <v>1</v>
      </c>
      <c r="CR12" s="3">
        <f t="shared" si="37"/>
        <v>2</v>
      </c>
      <c r="CS12" s="31"/>
      <c r="CT12" s="3" cm="1">
        <f t="array" ref="CT12">SUMPRODUCT(--(MOD(CH12:CL12,2)=1))</f>
        <v>3</v>
      </c>
      <c r="CU12" s="3">
        <f t="shared" si="38"/>
        <v>2</v>
      </c>
      <c r="CV12" s="30"/>
      <c r="CW12" s="3" cm="1">
        <f t="array" ref="CW12">SUMPRODUCT(--(MOD(CH12:CL12,10)&gt;=1), --(MOD(CH12:CL12,10)&lt;=5))</f>
        <v>2</v>
      </c>
      <c r="CX12" s="3">
        <f t="shared" si="39"/>
        <v>3</v>
      </c>
      <c r="CY12" s="30"/>
      <c r="CZ12" s="3" cm="1">
        <f t="array" ref="CZ12">IFERROR(COUNT(_xlfn._xlws.FILTER(CH12:CL12, ISNUMBER(MATCH(CH12:CL12, {2,3,5,7,11,13,17,19,23,29,31,37,41,43}, 0)))), 0)</f>
        <v>3</v>
      </c>
      <c r="DA12" s="3" cm="1">
        <f t="array" ref="DA12">IFERROR(COUNT(_xlfn._xlws.FILTER(CH12:CL12, ISNUMBER(MATCH(CH12:CL12, {1,4,8,10,14,16,20,22,25,26,28,32,34,35,38,40,44}, 0)))), 0)</f>
        <v>2</v>
      </c>
      <c r="DB12" s="3" cm="1">
        <f t="array" ref="DB12">IFERROR(COUNT(_xlfn._xlws.FILTER(CH12:CL12, ISNUMBER(MATCH(CH12:CL12, {6,9,12,15,18,21,24,27,30,33,36,39,42,45}, 0)))), 0)</f>
        <v>0</v>
      </c>
      <c r="DC12" s="29"/>
      <c r="DD12" s="28" t="e">
        <f>#REF!</f>
        <v>#REF!</v>
      </c>
      <c r="DE12" s="28" t="e">
        <f>#REF!*2</f>
        <v>#REF!</v>
      </c>
      <c r="DF12" s="28" t="e">
        <f>#REF!</f>
        <v>#REF!</v>
      </c>
      <c r="DG12" s="28" t="e">
        <f>#REF!*2</f>
        <v>#REF!</v>
      </c>
      <c r="DH12" s="28" t="e">
        <f>#REF!</f>
        <v>#REF!</v>
      </c>
      <c r="DI12" s="28" t="e">
        <f>#REF!*2</f>
        <v>#REF!</v>
      </c>
      <c r="DJ12" s="28" t="e">
        <f>#REF!</f>
        <v>#REF!</v>
      </c>
      <c r="DK12" s="28" t="e">
        <f>#REF!*2</f>
        <v>#REF!</v>
      </c>
      <c r="DL12" s="28" t="e">
        <f>#REF!</f>
        <v>#REF!</v>
      </c>
      <c r="DM12" s="28" t="e">
        <f>#REF!*2</f>
        <v>#REF!</v>
      </c>
      <c r="DN12" s="27"/>
      <c r="DO12" s="26"/>
      <c r="DP12" s="26"/>
      <c r="DQ12" s="26"/>
      <c r="DR12" s="26"/>
      <c r="DS12" s="26"/>
      <c r="DT12" s="25"/>
    </row>
    <row r="13" spans="1:124" x14ac:dyDescent="0.3">
      <c r="B13" s="3">
        <v>6</v>
      </c>
      <c r="C13" s="3">
        <v>7</v>
      </c>
      <c r="D13" s="3">
        <v>15</v>
      </c>
      <c r="E13" s="3">
        <v>22</v>
      </c>
      <c r="F13" s="3">
        <v>26</v>
      </c>
      <c r="G13" s="3">
        <v>40</v>
      </c>
      <c r="H13" s="32"/>
      <c r="I13" s="3">
        <f t="shared" si="0"/>
        <v>2</v>
      </c>
      <c r="J13" s="3">
        <f t="shared" si="1"/>
        <v>1</v>
      </c>
      <c r="K13" s="3">
        <f t="shared" si="2"/>
        <v>1</v>
      </c>
      <c r="L13" s="3">
        <f t="shared" si="3"/>
        <v>2</v>
      </c>
      <c r="M13" s="3">
        <f t="shared" si="4"/>
        <v>2</v>
      </c>
      <c r="N13" s="3">
        <f t="shared" si="5"/>
        <v>2</v>
      </c>
      <c r="O13" s="32"/>
      <c r="P13" s="3" cm="1">
        <f t="array" ref="P13">SUMPRODUCT(--(MOD(B13:G13,2)=1))</f>
        <v>2</v>
      </c>
      <c r="Q13" s="3">
        <f t="shared" si="6"/>
        <v>4</v>
      </c>
      <c r="R13" s="34"/>
      <c r="S13" s="3">
        <f t="shared" si="7"/>
        <v>4</v>
      </c>
      <c r="T13" s="3">
        <f t="shared" si="8"/>
        <v>2</v>
      </c>
      <c r="U13" s="34"/>
      <c r="V13" s="3" cm="1">
        <f t="array" ref="V13">SUMPRODUCT(--(MOD(B13:G13,10)&gt;=1), --(MOD(B13:G13,10)&lt;=5))</f>
        <v>2</v>
      </c>
      <c r="W13" s="3">
        <f t="shared" si="9"/>
        <v>4</v>
      </c>
      <c r="X13" s="34"/>
      <c r="Y13" s="3" cm="1">
        <f t="array" ref="Y13">IFERROR(COUNT(_xlfn._xlws.FILTER(B13:G13, ISNUMBER(MATCH(B13:G13, {2,3,5,7,11,13,17,19,23,29,31,37,41,43}, 0)))), 0)</f>
        <v>1</v>
      </c>
      <c r="Z13" s="3" cm="1">
        <f t="array" ref="Z13">IFERROR(COUNT(_xlfn._xlws.FILTER(B13:G13, ISNUMBER(MATCH(B13:G13, {1,4,8,10,14,16,20,22,25,26,28,32,34,35,38,40,44}, 0)))), 0)</f>
        <v>3</v>
      </c>
      <c r="AA13" s="3" cm="1">
        <f t="array" ref="AA13">IFERROR(COUNT(_xlfn._xlws.FILTER(B13:G13, ISNUMBER(MATCH(B13:G13, {6,9,12,15,18,21,24,27,30,33,36,39,42,45}, 0)))), 0)</f>
        <v>2</v>
      </c>
      <c r="AB13" s="30"/>
      <c r="AC13" s="26"/>
      <c r="AD13" s="26"/>
      <c r="AE13" s="26"/>
      <c r="AF13" s="26"/>
      <c r="AG13" s="26"/>
      <c r="AH13" s="26"/>
      <c r="AI13" s="30"/>
      <c r="AJ13" s="3">
        <f t="shared" si="10"/>
        <v>2</v>
      </c>
      <c r="AK13" s="3">
        <f t="shared" si="11"/>
        <v>3</v>
      </c>
      <c r="AL13" s="3">
        <f t="shared" si="12"/>
        <v>1</v>
      </c>
      <c r="AM13" s="33"/>
      <c r="AN13" s="3">
        <f t="shared" si="13"/>
        <v>2</v>
      </c>
      <c r="AO13" s="3">
        <f t="shared" si="14"/>
        <v>1</v>
      </c>
      <c r="AP13" s="3">
        <f t="shared" si="15"/>
        <v>2</v>
      </c>
      <c r="AQ13" s="3">
        <f t="shared" si="16"/>
        <v>0</v>
      </c>
      <c r="AR13" s="3">
        <f t="shared" si="17"/>
        <v>1</v>
      </c>
      <c r="AS13" s="28" t="e">
        <f>#REF!</f>
        <v>#REF!</v>
      </c>
      <c r="AT13" s="28" t="e">
        <f>#REF!*2</f>
        <v>#REF!</v>
      </c>
      <c r="AU13" s="28" t="e">
        <f>#REF!</f>
        <v>#REF!</v>
      </c>
      <c r="AV13" s="28" t="e">
        <f>#REF!*2</f>
        <v>#REF!</v>
      </c>
      <c r="AW13" s="28" t="e">
        <f>#REF!</f>
        <v>#REF!</v>
      </c>
      <c r="AX13" s="28" t="e">
        <f>#REF!*2</f>
        <v>#REF!</v>
      </c>
      <c r="AY13" s="28" t="e">
        <f>#REF!</f>
        <v>#REF!</v>
      </c>
      <c r="AZ13" s="28" t="e">
        <f>#REF!*2</f>
        <v>#REF!</v>
      </c>
      <c r="BA13" s="28" t="e">
        <f>#REF!</f>
        <v>#REF!</v>
      </c>
      <c r="BB13" s="28" t="e">
        <f>#REF!*2</f>
        <v>#REF!</v>
      </c>
      <c r="BC13" s="28" t="e">
        <f>#REF!</f>
        <v>#REF!</v>
      </c>
      <c r="BD13" s="28" t="e">
        <f>#REF!*2</f>
        <v>#REF!</v>
      </c>
      <c r="BE13" s="9" t="e">
        <f>#REF!-#REF!</f>
        <v>#REF!</v>
      </c>
      <c r="BF13" s="9" t="e">
        <f>#REF!-#REF!</f>
        <v>#REF!</v>
      </c>
      <c r="BG13" s="9" t="e">
        <f>#REF!-#REF!</f>
        <v>#REF!</v>
      </c>
      <c r="BH13" s="9" t="e">
        <f>#REF!-#REF!</f>
        <v>#REF!</v>
      </c>
      <c r="BI13" s="9" t="e">
        <f>#REF!-#REF!</f>
        <v>#REF!</v>
      </c>
      <c r="BJ13" s="33"/>
      <c r="BK13" s="3">
        <f t="shared" si="18"/>
        <v>2</v>
      </c>
      <c r="BL13" s="3">
        <f t="shared" si="19"/>
        <v>1</v>
      </c>
      <c r="BM13" s="3">
        <f t="shared" si="20"/>
        <v>2</v>
      </c>
      <c r="BN13" s="3">
        <f t="shared" si="21"/>
        <v>0</v>
      </c>
      <c r="BO13" s="3">
        <f t="shared" si="22"/>
        <v>1</v>
      </c>
      <c r="BP13" s="28" t="e">
        <f>#REF!</f>
        <v>#REF!</v>
      </c>
      <c r="BQ13" s="28" t="e">
        <f>#REF!*2</f>
        <v>#REF!</v>
      </c>
      <c r="BR13" s="28" t="e">
        <f>#REF!</f>
        <v>#REF!</v>
      </c>
      <c r="BS13" s="28" t="e">
        <f>#REF!*2</f>
        <v>#REF!</v>
      </c>
      <c r="BT13" s="28" t="e">
        <f>#REF!</f>
        <v>#REF!</v>
      </c>
      <c r="BU13" s="28" t="e">
        <f>#REF!*2</f>
        <v>#REF!</v>
      </c>
      <c r="BV13" s="28" t="e">
        <f>#REF!</f>
        <v>#REF!</v>
      </c>
      <c r="BW13" s="28" t="e">
        <f>#REF!*2</f>
        <v>#REF!</v>
      </c>
      <c r="BX13" s="28" t="e">
        <f>#REF!</f>
        <v>#REF!</v>
      </c>
      <c r="BY13" s="28" t="e">
        <f>#REF!*2</f>
        <v>#REF!</v>
      </c>
      <c r="BZ13" s="28" t="e">
        <f>#REF!</f>
        <v>#REF!</v>
      </c>
      <c r="CA13" s="28" t="e">
        <f>#REF!*2</f>
        <v>#REF!</v>
      </c>
      <c r="CB13" s="9">
        <f t="shared" si="23"/>
        <v>1</v>
      </c>
      <c r="CC13" s="9">
        <f t="shared" si="24"/>
        <v>8</v>
      </c>
      <c r="CD13" s="9">
        <f t="shared" si="25"/>
        <v>7</v>
      </c>
      <c r="CE13" s="9">
        <f t="shared" si="26"/>
        <v>4</v>
      </c>
      <c r="CF13" s="9">
        <f t="shared" si="27"/>
        <v>14</v>
      </c>
      <c r="CG13" s="33"/>
      <c r="CH13" s="9">
        <f t="shared" si="28"/>
        <v>1</v>
      </c>
      <c r="CI13" s="9">
        <f t="shared" si="29"/>
        <v>8</v>
      </c>
      <c r="CJ13" s="9">
        <f t="shared" si="30"/>
        <v>7</v>
      </c>
      <c r="CK13" s="9">
        <f t="shared" si="31"/>
        <v>4</v>
      </c>
      <c r="CL13" s="9">
        <f t="shared" si="32"/>
        <v>14</v>
      </c>
      <c r="CM13" s="32"/>
      <c r="CN13" s="3">
        <f t="shared" si="33"/>
        <v>1</v>
      </c>
      <c r="CO13" s="3">
        <f t="shared" si="34"/>
        <v>2</v>
      </c>
      <c r="CP13" s="3">
        <f t="shared" si="35"/>
        <v>1</v>
      </c>
      <c r="CQ13" s="3">
        <f t="shared" si="36"/>
        <v>2</v>
      </c>
      <c r="CR13" s="3">
        <f t="shared" si="37"/>
        <v>2</v>
      </c>
      <c r="CS13" s="31"/>
      <c r="CT13" s="3" cm="1">
        <f t="array" ref="CT13">SUMPRODUCT(--(MOD(CH13:CL13,2)=1))</f>
        <v>2</v>
      </c>
      <c r="CU13" s="3">
        <f t="shared" si="38"/>
        <v>3</v>
      </c>
      <c r="CV13" s="30"/>
      <c r="CW13" s="3" cm="1">
        <f t="array" ref="CW13">SUMPRODUCT(--(MOD(CH13:CL13,10)&gt;=1), --(MOD(CH13:CL13,10)&lt;=5))</f>
        <v>3</v>
      </c>
      <c r="CX13" s="3">
        <f t="shared" si="39"/>
        <v>2</v>
      </c>
      <c r="CY13" s="30"/>
      <c r="CZ13" s="3" cm="1">
        <f t="array" ref="CZ13">IFERROR(COUNT(_xlfn._xlws.FILTER(CH13:CL13, ISNUMBER(MATCH(CH13:CL13, {2,3,5,7,11,13,17,19,23,29,31,37,41,43}, 0)))), 0)</f>
        <v>1</v>
      </c>
      <c r="DA13" s="3" cm="1">
        <f t="array" ref="DA13">IFERROR(COUNT(_xlfn._xlws.FILTER(CH13:CL13, ISNUMBER(MATCH(CH13:CL13, {1,4,8,10,14,16,20,22,25,26,28,32,34,35,38,40,44}, 0)))), 0)</f>
        <v>4</v>
      </c>
      <c r="DB13" s="3" cm="1">
        <f t="array" ref="DB13">IFERROR(COUNT(_xlfn._xlws.FILTER(CH13:CL13, ISNUMBER(MATCH(CH13:CL13, {6,9,12,15,18,21,24,27,30,33,36,39,42,45}, 0)))), 0)</f>
        <v>0</v>
      </c>
      <c r="DC13" s="29"/>
      <c r="DD13" s="28" t="e">
        <f>#REF!</f>
        <v>#REF!</v>
      </c>
      <c r="DE13" s="28" t="e">
        <f>#REF!*2</f>
        <v>#REF!</v>
      </c>
      <c r="DF13" s="28" t="e">
        <f>#REF!</f>
        <v>#REF!</v>
      </c>
      <c r="DG13" s="28" t="e">
        <f>#REF!*2</f>
        <v>#REF!</v>
      </c>
      <c r="DH13" s="28" t="e">
        <f>#REF!</f>
        <v>#REF!</v>
      </c>
      <c r="DI13" s="28" t="e">
        <f>#REF!*2</f>
        <v>#REF!</v>
      </c>
      <c r="DJ13" s="28" t="e">
        <f>#REF!</f>
        <v>#REF!</v>
      </c>
      <c r="DK13" s="28" t="e">
        <f>#REF!*2</f>
        <v>#REF!</v>
      </c>
      <c r="DL13" s="28" t="e">
        <f>#REF!</f>
        <v>#REF!</v>
      </c>
      <c r="DM13" s="28" t="e">
        <f>#REF!*2</f>
        <v>#REF!</v>
      </c>
      <c r="DN13" s="27"/>
      <c r="DO13" s="26"/>
      <c r="DP13" s="26"/>
      <c r="DQ13" s="26"/>
      <c r="DR13" s="26"/>
      <c r="DS13" s="26"/>
      <c r="DT13" s="25"/>
    </row>
    <row r="14" spans="1:124" x14ac:dyDescent="0.3">
      <c r="B14" s="3">
        <v>8</v>
      </c>
      <c r="C14" s="3">
        <v>14</v>
      </c>
      <c r="D14" s="3">
        <v>28</v>
      </c>
      <c r="E14" s="3">
        <v>29</v>
      </c>
      <c r="F14" s="3">
        <v>34</v>
      </c>
      <c r="G14" s="3">
        <v>40</v>
      </c>
      <c r="H14" s="32"/>
      <c r="I14" s="3">
        <f t="shared" si="0"/>
        <v>2</v>
      </c>
      <c r="J14" s="3">
        <f t="shared" si="1"/>
        <v>2</v>
      </c>
      <c r="K14" s="3">
        <f t="shared" si="2"/>
        <v>2</v>
      </c>
      <c r="L14" s="3">
        <f t="shared" si="3"/>
        <v>1</v>
      </c>
      <c r="M14" s="3">
        <f t="shared" si="4"/>
        <v>2</v>
      </c>
      <c r="N14" s="3">
        <f t="shared" si="5"/>
        <v>2</v>
      </c>
      <c r="O14" s="32"/>
      <c r="P14" s="3" cm="1">
        <f t="array" ref="P14">SUMPRODUCT(--(MOD(B14:G14,2)=1))</f>
        <v>1</v>
      </c>
      <c r="Q14" s="3">
        <f t="shared" si="6"/>
        <v>5</v>
      </c>
      <c r="R14" s="34"/>
      <c r="S14" s="3">
        <f t="shared" si="7"/>
        <v>2</v>
      </c>
      <c r="T14" s="3">
        <f t="shared" si="8"/>
        <v>4</v>
      </c>
      <c r="U14" s="34"/>
      <c r="V14" s="3" cm="1">
        <f t="array" ref="V14">SUMPRODUCT(--(MOD(B14:G14,10)&gt;=1), --(MOD(B14:G14,10)&lt;=5))</f>
        <v>2</v>
      </c>
      <c r="W14" s="3">
        <f t="shared" si="9"/>
        <v>4</v>
      </c>
      <c r="X14" s="34"/>
      <c r="Y14" s="3" cm="1">
        <f t="array" ref="Y14">IFERROR(COUNT(_xlfn._xlws.FILTER(B14:G14, ISNUMBER(MATCH(B14:G14, {2,3,5,7,11,13,17,19,23,29,31,37,41,43}, 0)))), 0)</f>
        <v>1</v>
      </c>
      <c r="Z14" s="3" cm="1">
        <f t="array" ref="Z14">IFERROR(COUNT(_xlfn._xlws.FILTER(B14:G14, ISNUMBER(MATCH(B14:G14, {1,4,8,10,14,16,20,22,25,26,28,32,34,35,38,40,44}, 0)))), 0)</f>
        <v>5</v>
      </c>
      <c r="AA14" s="3" cm="1">
        <f t="array" ref="AA14">IFERROR(COUNT(_xlfn._xlws.FILTER(B14:G14, ISNUMBER(MATCH(B14:G14, {6,9,12,15,18,21,24,27,30,33,36,39,42,45}, 0)))), 0)</f>
        <v>0</v>
      </c>
      <c r="AB14" s="30"/>
      <c r="AC14" s="26"/>
      <c r="AD14" s="26"/>
      <c r="AE14" s="26"/>
      <c r="AF14" s="26"/>
      <c r="AG14" s="26"/>
      <c r="AH14" s="26"/>
      <c r="AI14" s="30"/>
      <c r="AJ14" s="3">
        <f t="shared" si="10"/>
        <v>2</v>
      </c>
      <c r="AK14" s="3">
        <f t="shared" si="11"/>
        <v>2</v>
      </c>
      <c r="AL14" s="3">
        <f t="shared" si="12"/>
        <v>2</v>
      </c>
      <c r="AM14" s="33"/>
      <c r="AN14" s="3">
        <f t="shared" si="13"/>
        <v>1</v>
      </c>
      <c r="AO14" s="3">
        <f t="shared" si="14"/>
        <v>1</v>
      </c>
      <c r="AP14" s="3">
        <f t="shared" si="15"/>
        <v>0</v>
      </c>
      <c r="AQ14" s="3">
        <f t="shared" si="16"/>
        <v>3</v>
      </c>
      <c r="AR14" s="3">
        <f t="shared" si="17"/>
        <v>1</v>
      </c>
      <c r="AS14" s="28" t="e">
        <f>#REF!</f>
        <v>#REF!</v>
      </c>
      <c r="AT14" s="28" t="e">
        <f>#REF!*2</f>
        <v>#REF!</v>
      </c>
      <c r="AU14" s="28" t="e">
        <f>#REF!</f>
        <v>#REF!</v>
      </c>
      <c r="AV14" s="28" t="e">
        <f>#REF!*2</f>
        <v>#REF!</v>
      </c>
      <c r="AW14" s="28" t="e">
        <f>#REF!</f>
        <v>#REF!</v>
      </c>
      <c r="AX14" s="28" t="e">
        <f>#REF!*2</f>
        <v>#REF!</v>
      </c>
      <c r="AY14" s="28" t="e">
        <f>#REF!</f>
        <v>#REF!</v>
      </c>
      <c r="AZ14" s="28" t="e">
        <f>#REF!*2</f>
        <v>#REF!</v>
      </c>
      <c r="BA14" s="28" t="e">
        <f>#REF!</f>
        <v>#REF!</v>
      </c>
      <c r="BB14" s="28" t="e">
        <f>#REF!*2</f>
        <v>#REF!</v>
      </c>
      <c r="BC14" s="28" t="e">
        <f>#REF!</f>
        <v>#REF!</v>
      </c>
      <c r="BD14" s="28" t="e">
        <f>#REF!*2</f>
        <v>#REF!</v>
      </c>
      <c r="BE14" s="9" t="e">
        <f>#REF!-#REF!</f>
        <v>#REF!</v>
      </c>
      <c r="BF14" s="9" t="e">
        <f>#REF!-#REF!</f>
        <v>#REF!</v>
      </c>
      <c r="BG14" s="9" t="e">
        <f>#REF!-#REF!</f>
        <v>#REF!</v>
      </c>
      <c r="BH14" s="9" t="e">
        <f>#REF!-#REF!</f>
        <v>#REF!</v>
      </c>
      <c r="BI14" s="9" t="e">
        <f>#REF!-#REF!</f>
        <v>#REF!</v>
      </c>
      <c r="BJ14" s="33"/>
      <c r="BK14" s="3">
        <f t="shared" si="18"/>
        <v>1</v>
      </c>
      <c r="BL14" s="3">
        <f t="shared" si="19"/>
        <v>1</v>
      </c>
      <c r="BM14" s="3">
        <f t="shared" si="20"/>
        <v>2</v>
      </c>
      <c r="BN14" s="3">
        <f t="shared" si="21"/>
        <v>1</v>
      </c>
      <c r="BO14" s="3">
        <f t="shared" si="22"/>
        <v>1</v>
      </c>
      <c r="BP14" s="28" t="e">
        <f>#REF!</f>
        <v>#REF!</v>
      </c>
      <c r="BQ14" s="28" t="e">
        <f>#REF!*2</f>
        <v>#REF!</v>
      </c>
      <c r="BR14" s="28" t="e">
        <f>#REF!</f>
        <v>#REF!</v>
      </c>
      <c r="BS14" s="28" t="e">
        <f>#REF!*2</f>
        <v>#REF!</v>
      </c>
      <c r="BT14" s="28" t="e">
        <f>#REF!</f>
        <v>#REF!</v>
      </c>
      <c r="BU14" s="28" t="e">
        <f>#REF!*2</f>
        <v>#REF!</v>
      </c>
      <c r="BV14" s="28" t="e">
        <f>#REF!</f>
        <v>#REF!</v>
      </c>
      <c r="BW14" s="28" t="e">
        <f>#REF!*2</f>
        <v>#REF!</v>
      </c>
      <c r="BX14" s="28" t="e">
        <f>#REF!</f>
        <v>#REF!</v>
      </c>
      <c r="BY14" s="28" t="e">
        <f>#REF!*2</f>
        <v>#REF!</v>
      </c>
      <c r="BZ14" s="28" t="e">
        <f>#REF!</f>
        <v>#REF!</v>
      </c>
      <c r="CA14" s="28" t="e">
        <f>#REF!*2</f>
        <v>#REF!</v>
      </c>
      <c r="CB14" s="9">
        <f t="shared" si="23"/>
        <v>6</v>
      </c>
      <c r="CC14" s="9">
        <f t="shared" si="24"/>
        <v>14</v>
      </c>
      <c r="CD14" s="9">
        <f t="shared" si="25"/>
        <v>1</v>
      </c>
      <c r="CE14" s="9">
        <f t="shared" si="26"/>
        <v>5</v>
      </c>
      <c r="CF14" s="9">
        <f t="shared" si="27"/>
        <v>6</v>
      </c>
      <c r="CG14" s="33"/>
      <c r="CH14" s="9">
        <f t="shared" si="28"/>
        <v>6</v>
      </c>
      <c r="CI14" s="9">
        <f t="shared" si="29"/>
        <v>14</v>
      </c>
      <c r="CJ14" s="9">
        <f t="shared" si="30"/>
        <v>1</v>
      </c>
      <c r="CK14" s="9">
        <f t="shared" si="31"/>
        <v>5</v>
      </c>
      <c r="CL14" s="9">
        <f t="shared" si="32"/>
        <v>6</v>
      </c>
      <c r="CM14" s="32"/>
      <c r="CN14" s="3">
        <f t="shared" si="33"/>
        <v>2</v>
      </c>
      <c r="CO14" s="3">
        <f t="shared" si="34"/>
        <v>2</v>
      </c>
      <c r="CP14" s="3">
        <f t="shared" si="35"/>
        <v>1</v>
      </c>
      <c r="CQ14" s="3">
        <f t="shared" si="36"/>
        <v>1</v>
      </c>
      <c r="CR14" s="3">
        <f t="shared" si="37"/>
        <v>2</v>
      </c>
      <c r="CS14" s="31"/>
      <c r="CT14" s="3" cm="1">
        <f t="array" ref="CT14">SUMPRODUCT(--(MOD(CH14:CL14,2)=1))</f>
        <v>2</v>
      </c>
      <c r="CU14" s="3">
        <f t="shared" si="38"/>
        <v>3</v>
      </c>
      <c r="CV14" s="30"/>
      <c r="CW14" s="3" cm="1">
        <f t="array" ref="CW14">SUMPRODUCT(--(MOD(CH14:CL14,10)&gt;=1), --(MOD(CH14:CL14,10)&lt;=5))</f>
        <v>3</v>
      </c>
      <c r="CX14" s="3">
        <f t="shared" si="39"/>
        <v>2</v>
      </c>
      <c r="CY14" s="30"/>
      <c r="CZ14" s="3" cm="1">
        <f t="array" ref="CZ14">IFERROR(COUNT(_xlfn._xlws.FILTER(CH14:CL14, ISNUMBER(MATCH(CH14:CL14, {2,3,5,7,11,13,17,19,23,29,31,37,41,43}, 0)))), 0)</f>
        <v>1</v>
      </c>
      <c r="DA14" s="3" cm="1">
        <f t="array" ref="DA14">IFERROR(COUNT(_xlfn._xlws.FILTER(CH14:CL14, ISNUMBER(MATCH(CH14:CL14, {1,4,8,10,14,16,20,22,25,26,28,32,34,35,38,40,44}, 0)))), 0)</f>
        <v>2</v>
      </c>
      <c r="DB14" s="3" cm="1">
        <f t="array" ref="DB14">IFERROR(COUNT(_xlfn._xlws.FILTER(CH14:CL14, ISNUMBER(MATCH(CH14:CL14, {6,9,12,15,18,21,24,27,30,33,36,39,42,45}, 0)))), 0)</f>
        <v>2</v>
      </c>
      <c r="DC14" s="29"/>
      <c r="DD14" s="28" t="e">
        <f>#REF!</f>
        <v>#REF!</v>
      </c>
      <c r="DE14" s="28" t="e">
        <f>#REF!*2</f>
        <v>#REF!</v>
      </c>
      <c r="DF14" s="28" t="e">
        <f>#REF!</f>
        <v>#REF!</v>
      </c>
      <c r="DG14" s="28" t="e">
        <f>#REF!*2</f>
        <v>#REF!</v>
      </c>
      <c r="DH14" s="28" t="e">
        <f>#REF!</f>
        <v>#REF!</v>
      </c>
      <c r="DI14" s="28" t="e">
        <f>#REF!*2</f>
        <v>#REF!</v>
      </c>
      <c r="DJ14" s="28" t="e">
        <f>#REF!</f>
        <v>#REF!</v>
      </c>
      <c r="DK14" s="28" t="e">
        <f>#REF!*2</f>
        <v>#REF!</v>
      </c>
      <c r="DL14" s="28" t="e">
        <f>#REF!</f>
        <v>#REF!</v>
      </c>
      <c r="DM14" s="28" t="e">
        <f>#REF!*2</f>
        <v>#REF!</v>
      </c>
      <c r="DN14" s="27"/>
      <c r="DO14" s="26"/>
      <c r="DP14" s="26"/>
      <c r="DQ14" s="26"/>
      <c r="DR14" s="26"/>
      <c r="DS14" s="26"/>
      <c r="DT14" s="25"/>
    </row>
    <row r="15" spans="1:124" x14ac:dyDescent="0.3">
      <c r="B15" s="3">
        <v>1</v>
      </c>
      <c r="C15" s="3">
        <v>12</v>
      </c>
      <c r="D15" s="3">
        <v>16</v>
      </c>
      <c r="E15" s="3">
        <v>19</v>
      </c>
      <c r="F15" s="3">
        <v>23</v>
      </c>
      <c r="G15" s="3">
        <v>43</v>
      </c>
      <c r="H15" s="32"/>
      <c r="I15" s="3">
        <f t="shared" si="0"/>
        <v>1</v>
      </c>
      <c r="J15" s="3">
        <f t="shared" si="1"/>
        <v>2</v>
      </c>
      <c r="K15" s="3">
        <f t="shared" si="2"/>
        <v>2</v>
      </c>
      <c r="L15" s="3">
        <f t="shared" si="3"/>
        <v>1</v>
      </c>
      <c r="M15" s="3">
        <f t="shared" si="4"/>
        <v>1</v>
      </c>
      <c r="N15" s="3">
        <f t="shared" si="5"/>
        <v>1</v>
      </c>
      <c r="O15" s="32"/>
      <c r="P15" s="3" cm="1">
        <f t="array" ref="P15">SUMPRODUCT(--(MOD(B15:G15,2)=1))</f>
        <v>4</v>
      </c>
      <c r="Q15" s="3">
        <f t="shared" si="6"/>
        <v>2</v>
      </c>
      <c r="R15" s="34"/>
      <c r="S15" s="3">
        <f t="shared" si="7"/>
        <v>5</v>
      </c>
      <c r="T15" s="3">
        <f t="shared" si="8"/>
        <v>1</v>
      </c>
      <c r="U15" s="34"/>
      <c r="V15" s="3" cm="1">
        <f t="array" ref="V15">SUMPRODUCT(--(MOD(B15:G15,10)&gt;=1), --(MOD(B15:G15,10)&lt;=5))</f>
        <v>4</v>
      </c>
      <c r="W15" s="3">
        <f t="shared" si="9"/>
        <v>2</v>
      </c>
      <c r="X15" s="34"/>
      <c r="Y15" s="3" cm="1">
        <f t="array" ref="Y15">IFERROR(COUNT(_xlfn._xlws.FILTER(B15:G15, ISNUMBER(MATCH(B15:G15, {2,3,5,7,11,13,17,19,23,29,31,37,41,43}, 0)))), 0)</f>
        <v>3</v>
      </c>
      <c r="Z15" s="3" cm="1">
        <f t="array" ref="Z15">IFERROR(COUNT(_xlfn._xlws.FILTER(B15:G15, ISNUMBER(MATCH(B15:G15, {1,4,8,10,14,16,20,22,25,26,28,32,34,35,38,40,44}, 0)))), 0)</f>
        <v>2</v>
      </c>
      <c r="AA15" s="3" cm="1">
        <f t="array" ref="AA15">IFERROR(COUNT(_xlfn._xlws.FILTER(B15:G15, ISNUMBER(MATCH(B15:G15, {6,9,12,15,18,21,24,27,30,33,36,39,42,45}, 0)))), 0)</f>
        <v>1</v>
      </c>
      <c r="AB15" s="30"/>
      <c r="AC15" s="26"/>
      <c r="AD15" s="26"/>
      <c r="AE15" s="26"/>
      <c r="AF15" s="26"/>
      <c r="AG15" s="26"/>
      <c r="AH15" s="26"/>
      <c r="AI15" s="30"/>
      <c r="AJ15" s="3">
        <f t="shared" si="10"/>
        <v>2</v>
      </c>
      <c r="AK15" s="3">
        <f t="shared" si="11"/>
        <v>3</v>
      </c>
      <c r="AL15" s="3">
        <f t="shared" si="12"/>
        <v>1</v>
      </c>
      <c r="AM15" s="33"/>
      <c r="AN15" s="3">
        <f t="shared" si="13"/>
        <v>1</v>
      </c>
      <c r="AO15" s="3">
        <f t="shared" si="14"/>
        <v>2</v>
      </c>
      <c r="AP15" s="3">
        <f t="shared" si="15"/>
        <v>2</v>
      </c>
      <c r="AQ15" s="3">
        <f t="shared" si="16"/>
        <v>0</v>
      </c>
      <c r="AR15" s="3">
        <f t="shared" si="17"/>
        <v>1</v>
      </c>
      <c r="AS15" s="28" t="e">
        <f>#REF!</f>
        <v>#REF!</v>
      </c>
      <c r="AT15" s="28" t="e">
        <f>#REF!*2</f>
        <v>#REF!</v>
      </c>
      <c r="AU15" s="28" t="e">
        <f>#REF!</f>
        <v>#REF!</v>
      </c>
      <c r="AV15" s="28" t="e">
        <f>#REF!*2</f>
        <v>#REF!</v>
      </c>
      <c r="AW15" s="28" t="e">
        <f>#REF!</f>
        <v>#REF!</v>
      </c>
      <c r="AX15" s="28" t="e">
        <f>#REF!*2</f>
        <v>#REF!</v>
      </c>
      <c r="AY15" s="28" t="e">
        <f>#REF!</f>
        <v>#REF!</v>
      </c>
      <c r="AZ15" s="28" t="e">
        <f>#REF!*2</f>
        <v>#REF!</v>
      </c>
      <c r="BA15" s="28" t="e">
        <f>#REF!</f>
        <v>#REF!</v>
      </c>
      <c r="BB15" s="28" t="e">
        <f>#REF!*2</f>
        <v>#REF!</v>
      </c>
      <c r="BC15" s="28" t="e">
        <f>#REF!</f>
        <v>#REF!</v>
      </c>
      <c r="BD15" s="28" t="e">
        <f>#REF!*2</f>
        <v>#REF!</v>
      </c>
      <c r="BE15" s="9" t="e">
        <f>#REF!-#REF!</f>
        <v>#REF!</v>
      </c>
      <c r="BF15" s="9" t="e">
        <f>#REF!-#REF!</f>
        <v>#REF!</v>
      </c>
      <c r="BG15" s="9" t="e">
        <f>#REF!-#REF!</f>
        <v>#REF!</v>
      </c>
      <c r="BH15" s="9" t="e">
        <f>#REF!-#REF!</f>
        <v>#REF!</v>
      </c>
      <c r="BI15" s="9" t="e">
        <f>#REF!-#REF!</f>
        <v>#REF!</v>
      </c>
      <c r="BJ15" s="33"/>
      <c r="BK15" s="3">
        <f t="shared" si="18"/>
        <v>1</v>
      </c>
      <c r="BL15" s="3">
        <f t="shared" si="19"/>
        <v>3</v>
      </c>
      <c r="BM15" s="3">
        <f t="shared" si="20"/>
        <v>1</v>
      </c>
      <c r="BN15" s="3">
        <f t="shared" si="21"/>
        <v>0</v>
      </c>
      <c r="BO15" s="3">
        <f t="shared" si="22"/>
        <v>1</v>
      </c>
      <c r="BP15" s="28" t="e">
        <f>#REF!</f>
        <v>#REF!</v>
      </c>
      <c r="BQ15" s="28" t="e">
        <f>#REF!*2</f>
        <v>#REF!</v>
      </c>
      <c r="BR15" s="28" t="e">
        <f>#REF!</f>
        <v>#REF!</v>
      </c>
      <c r="BS15" s="28" t="e">
        <f>#REF!*2</f>
        <v>#REF!</v>
      </c>
      <c r="BT15" s="28" t="e">
        <f>#REF!</f>
        <v>#REF!</v>
      </c>
      <c r="BU15" s="28" t="e">
        <f>#REF!*2</f>
        <v>#REF!</v>
      </c>
      <c r="BV15" s="28" t="e">
        <f>#REF!</f>
        <v>#REF!</v>
      </c>
      <c r="BW15" s="28" t="e">
        <f>#REF!*2</f>
        <v>#REF!</v>
      </c>
      <c r="BX15" s="28" t="e">
        <f>#REF!</f>
        <v>#REF!</v>
      </c>
      <c r="BY15" s="28" t="e">
        <f>#REF!*2</f>
        <v>#REF!</v>
      </c>
      <c r="BZ15" s="28" t="e">
        <f>#REF!</f>
        <v>#REF!</v>
      </c>
      <c r="CA15" s="28" t="e">
        <f>#REF!*2</f>
        <v>#REF!</v>
      </c>
      <c r="CB15" s="9">
        <f t="shared" si="23"/>
        <v>11</v>
      </c>
      <c r="CC15" s="9">
        <f t="shared" si="24"/>
        <v>4</v>
      </c>
      <c r="CD15" s="9">
        <f t="shared" si="25"/>
        <v>3</v>
      </c>
      <c r="CE15" s="9">
        <f t="shared" si="26"/>
        <v>4</v>
      </c>
      <c r="CF15" s="9">
        <f t="shared" si="27"/>
        <v>20</v>
      </c>
      <c r="CG15" s="33"/>
      <c r="CH15" s="9">
        <f t="shared" si="28"/>
        <v>11</v>
      </c>
      <c r="CI15" s="9">
        <f t="shared" si="29"/>
        <v>4</v>
      </c>
      <c r="CJ15" s="9">
        <f t="shared" si="30"/>
        <v>3</v>
      </c>
      <c r="CK15" s="9">
        <f t="shared" si="31"/>
        <v>4</v>
      </c>
      <c r="CL15" s="9">
        <f t="shared" si="32"/>
        <v>20</v>
      </c>
      <c r="CM15" s="32"/>
      <c r="CN15" s="3">
        <f t="shared" si="33"/>
        <v>1</v>
      </c>
      <c r="CO15" s="3">
        <f t="shared" si="34"/>
        <v>2</v>
      </c>
      <c r="CP15" s="3">
        <f t="shared" si="35"/>
        <v>1</v>
      </c>
      <c r="CQ15" s="3">
        <f t="shared" si="36"/>
        <v>2</v>
      </c>
      <c r="CR15" s="3">
        <f t="shared" si="37"/>
        <v>2</v>
      </c>
      <c r="CS15" s="31"/>
      <c r="CT15" s="3" cm="1">
        <f t="array" ref="CT15">SUMPRODUCT(--(MOD(CH15:CL15,2)=1))</f>
        <v>2</v>
      </c>
      <c r="CU15" s="3">
        <f t="shared" si="38"/>
        <v>3</v>
      </c>
      <c r="CV15" s="30"/>
      <c r="CW15" s="3" cm="1">
        <f t="array" ref="CW15">SUMPRODUCT(--(MOD(CH15:CL15,10)&gt;=1), --(MOD(CH15:CL15,10)&lt;=5))</f>
        <v>4</v>
      </c>
      <c r="CX15" s="3">
        <f t="shared" si="39"/>
        <v>1</v>
      </c>
      <c r="CY15" s="30"/>
      <c r="CZ15" s="3" cm="1">
        <f t="array" ref="CZ15">IFERROR(COUNT(_xlfn._xlws.FILTER(CH15:CL15, ISNUMBER(MATCH(CH15:CL15, {2,3,5,7,11,13,17,19,23,29,31,37,41,43}, 0)))), 0)</f>
        <v>2</v>
      </c>
      <c r="DA15" s="3" cm="1">
        <f t="array" ref="DA15">IFERROR(COUNT(_xlfn._xlws.FILTER(CH15:CL15, ISNUMBER(MATCH(CH15:CL15, {1,4,8,10,14,16,20,22,25,26,28,32,34,35,38,40,44}, 0)))), 0)</f>
        <v>3</v>
      </c>
      <c r="DB15" s="3" cm="1">
        <f t="array" ref="DB15">IFERROR(COUNT(_xlfn._xlws.FILTER(CH15:CL15, ISNUMBER(MATCH(CH15:CL15, {6,9,12,15,18,21,24,27,30,33,36,39,42,45}, 0)))), 0)</f>
        <v>0</v>
      </c>
      <c r="DC15" s="29"/>
      <c r="DD15" s="28" t="e">
        <f>#REF!</f>
        <v>#REF!</v>
      </c>
      <c r="DE15" s="28" t="e">
        <f>#REF!*2</f>
        <v>#REF!</v>
      </c>
      <c r="DF15" s="28" t="e">
        <f>#REF!</f>
        <v>#REF!</v>
      </c>
      <c r="DG15" s="28" t="e">
        <f>#REF!*2</f>
        <v>#REF!</v>
      </c>
      <c r="DH15" s="28" t="e">
        <f>#REF!</f>
        <v>#REF!</v>
      </c>
      <c r="DI15" s="28" t="e">
        <f>#REF!*2</f>
        <v>#REF!</v>
      </c>
      <c r="DJ15" s="28" t="e">
        <f>#REF!</f>
        <v>#REF!</v>
      </c>
      <c r="DK15" s="28" t="e">
        <f>#REF!*2</f>
        <v>#REF!</v>
      </c>
      <c r="DL15" s="28" t="e">
        <f>#REF!</f>
        <v>#REF!</v>
      </c>
      <c r="DM15" s="28" t="e">
        <f>#REF!*2</f>
        <v>#REF!</v>
      </c>
      <c r="DN15" s="27"/>
      <c r="DO15" s="26"/>
      <c r="DP15" s="26"/>
      <c r="DQ15" s="26"/>
      <c r="DR15" s="26"/>
      <c r="DS15" s="26"/>
      <c r="DT15" s="25"/>
    </row>
    <row r="16" spans="1:124" x14ac:dyDescent="0.3">
      <c r="B16" s="3">
        <v>14</v>
      </c>
      <c r="C16" s="3">
        <v>33</v>
      </c>
      <c r="D16" s="3">
        <v>34</v>
      </c>
      <c r="E16" s="3">
        <v>35</v>
      </c>
      <c r="F16" s="3">
        <v>37</v>
      </c>
      <c r="G16" s="3">
        <v>40</v>
      </c>
      <c r="H16" s="32"/>
      <c r="I16" s="3">
        <f t="shared" si="0"/>
        <v>2</v>
      </c>
      <c r="J16" s="3">
        <f t="shared" si="1"/>
        <v>1</v>
      </c>
      <c r="K16" s="3">
        <f t="shared" si="2"/>
        <v>2</v>
      </c>
      <c r="L16" s="3">
        <f t="shared" si="3"/>
        <v>1</v>
      </c>
      <c r="M16" s="3">
        <f t="shared" si="4"/>
        <v>1</v>
      </c>
      <c r="N16" s="3">
        <f t="shared" si="5"/>
        <v>2</v>
      </c>
      <c r="O16" s="32"/>
      <c r="P16" s="3" cm="1">
        <f t="array" ref="P16">SUMPRODUCT(--(MOD(B16:G16,2)=1))</f>
        <v>3</v>
      </c>
      <c r="Q16" s="3">
        <f t="shared" si="6"/>
        <v>3</v>
      </c>
      <c r="R16" s="34"/>
      <c r="S16" s="3">
        <f t="shared" si="7"/>
        <v>1</v>
      </c>
      <c r="T16" s="3">
        <f t="shared" si="8"/>
        <v>5</v>
      </c>
      <c r="U16" s="34"/>
      <c r="V16" s="3" cm="1">
        <f t="array" ref="V16">SUMPRODUCT(--(MOD(B16:G16,10)&gt;=1), --(MOD(B16:G16,10)&lt;=5))</f>
        <v>4</v>
      </c>
      <c r="W16" s="3">
        <f t="shared" si="9"/>
        <v>2</v>
      </c>
      <c r="X16" s="34"/>
      <c r="Y16" s="3" cm="1">
        <f t="array" ref="Y16">IFERROR(COUNT(_xlfn._xlws.FILTER(B16:G16, ISNUMBER(MATCH(B16:G16, {2,3,5,7,11,13,17,19,23,29,31,37,41,43}, 0)))), 0)</f>
        <v>1</v>
      </c>
      <c r="Z16" s="3" cm="1">
        <f t="array" ref="Z16">IFERROR(COUNT(_xlfn._xlws.FILTER(B16:G16, ISNUMBER(MATCH(B16:G16, {1,4,8,10,14,16,20,22,25,26,28,32,34,35,38,40,44}, 0)))), 0)</f>
        <v>4</v>
      </c>
      <c r="AA16" s="3" cm="1">
        <f t="array" ref="AA16">IFERROR(COUNT(_xlfn._xlws.FILTER(B16:G16, ISNUMBER(MATCH(B16:G16, {6,9,12,15,18,21,24,27,30,33,36,39,42,45}, 0)))), 0)</f>
        <v>1</v>
      </c>
      <c r="AB16" s="30"/>
      <c r="AC16" s="26"/>
      <c r="AD16" s="26"/>
      <c r="AE16" s="26"/>
      <c r="AF16" s="26"/>
      <c r="AG16" s="26"/>
      <c r="AH16" s="26"/>
      <c r="AI16" s="30"/>
      <c r="AJ16" s="3">
        <f t="shared" si="10"/>
        <v>1</v>
      </c>
      <c r="AK16" s="3">
        <f t="shared" si="11"/>
        <v>0</v>
      </c>
      <c r="AL16" s="3">
        <f t="shared" si="12"/>
        <v>5</v>
      </c>
      <c r="AM16" s="33"/>
      <c r="AN16" s="3">
        <f t="shared" si="13"/>
        <v>0</v>
      </c>
      <c r="AO16" s="3">
        <f t="shared" si="14"/>
        <v>1</v>
      </c>
      <c r="AP16" s="3">
        <f t="shared" si="15"/>
        <v>0</v>
      </c>
      <c r="AQ16" s="3">
        <f t="shared" si="16"/>
        <v>3</v>
      </c>
      <c r="AR16" s="3">
        <f t="shared" si="17"/>
        <v>2</v>
      </c>
      <c r="AS16" s="28" t="e">
        <f>#REF!</f>
        <v>#REF!</v>
      </c>
      <c r="AT16" s="28" t="e">
        <f>#REF!*2</f>
        <v>#REF!</v>
      </c>
      <c r="AU16" s="28" t="e">
        <f>#REF!</f>
        <v>#REF!</v>
      </c>
      <c r="AV16" s="28" t="e">
        <f>#REF!*2</f>
        <v>#REF!</v>
      </c>
      <c r="AW16" s="28" t="e">
        <f>#REF!</f>
        <v>#REF!</v>
      </c>
      <c r="AX16" s="28" t="e">
        <f>#REF!*2</f>
        <v>#REF!</v>
      </c>
      <c r="AY16" s="28" t="e">
        <f>#REF!</f>
        <v>#REF!</v>
      </c>
      <c r="AZ16" s="28" t="e">
        <f>#REF!*2</f>
        <v>#REF!</v>
      </c>
      <c r="BA16" s="28" t="e">
        <f>#REF!</f>
        <v>#REF!</v>
      </c>
      <c r="BB16" s="28" t="e">
        <f>#REF!*2</f>
        <v>#REF!</v>
      </c>
      <c r="BC16" s="28" t="e">
        <f>#REF!</f>
        <v>#REF!</v>
      </c>
      <c r="BD16" s="28" t="e">
        <f>#REF!*2</f>
        <v>#REF!</v>
      </c>
      <c r="BE16" s="9" t="e">
        <f>#REF!-#REF!</f>
        <v>#REF!</v>
      </c>
      <c r="BF16" s="9" t="e">
        <f>#REF!-#REF!</f>
        <v>#REF!</v>
      </c>
      <c r="BG16" s="9" t="e">
        <f>#REF!-#REF!</f>
        <v>#REF!</v>
      </c>
      <c r="BH16" s="9" t="e">
        <f>#REF!-#REF!</f>
        <v>#REF!</v>
      </c>
      <c r="BI16" s="9" t="e">
        <f>#REF!-#REF!</f>
        <v>#REF!</v>
      </c>
      <c r="BJ16" s="33"/>
      <c r="BK16" s="3">
        <f t="shared" si="18"/>
        <v>0</v>
      </c>
      <c r="BL16" s="3">
        <f t="shared" si="19"/>
        <v>1</v>
      </c>
      <c r="BM16" s="3">
        <f t="shared" si="20"/>
        <v>0</v>
      </c>
      <c r="BN16" s="3">
        <f t="shared" si="21"/>
        <v>4</v>
      </c>
      <c r="BO16" s="3">
        <f t="shared" si="22"/>
        <v>1</v>
      </c>
      <c r="BP16" s="28" t="e">
        <f>#REF!</f>
        <v>#REF!</v>
      </c>
      <c r="BQ16" s="28" t="e">
        <f>#REF!*2</f>
        <v>#REF!</v>
      </c>
      <c r="BR16" s="28" t="e">
        <f>#REF!</f>
        <v>#REF!</v>
      </c>
      <c r="BS16" s="28" t="e">
        <f>#REF!*2</f>
        <v>#REF!</v>
      </c>
      <c r="BT16" s="28" t="e">
        <f>#REF!</f>
        <v>#REF!</v>
      </c>
      <c r="BU16" s="28" t="e">
        <f>#REF!*2</f>
        <v>#REF!</v>
      </c>
      <c r="BV16" s="28" t="e">
        <f>#REF!</f>
        <v>#REF!</v>
      </c>
      <c r="BW16" s="28" t="e">
        <f>#REF!*2</f>
        <v>#REF!</v>
      </c>
      <c r="BX16" s="28" t="e">
        <f>#REF!</f>
        <v>#REF!</v>
      </c>
      <c r="BY16" s="28" t="e">
        <f>#REF!*2</f>
        <v>#REF!</v>
      </c>
      <c r="BZ16" s="28" t="e">
        <f>#REF!</f>
        <v>#REF!</v>
      </c>
      <c r="CA16" s="28" t="e">
        <f>#REF!*2</f>
        <v>#REF!</v>
      </c>
      <c r="CB16" s="9">
        <f t="shared" si="23"/>
        <v>19</v>
      </c>
      <c r="CC16" s="9">
        <f t="shared" si="24"/>
        <v>1</v>
      </c>
      <c r="CD16" s="9">
        <f t="shared" si="25"/>
        <v>1</v>
      </c>
      <c r="CE16" s="9">
        <f t="shared" si="26"/>
        <v>2</v>
      </c>
      <c r="CF16" s="9">
        <f t="shared" si="27"/>
        <v>3</v>
      </c>
      <c r="CG16" s="33"/>
      <c r="CH16" s="9">
        <f t="shared" si="28"/>
        <v>19</v>
      </c>
      <c r="CI16" s="9">
        <f t="shared" si="29"/>
        <v>1</v>
      </c>
      <c r="CJ16" s="9">
        <f t="shared" si="30"/>
        <v>1</v>
      </c>
      <c r="CK16" s="9">
        <f t="shared" si="31"/>
        <v>2</v>
      </c>
      <c r="CL16" s="9">
        <f t="shared" si="32"/>
        <v>3</v>
      </c>
      <c r="CM16" s="32"/>
      <c r="CN16" s="3">
        <f t="shared" si="33"/>
        <v>1</v>
      </c>
      <c r="CO16" s="3">
        <f t="shared" si="34"/>
        <v>1</v>
      </c>
      <c r="CP16" s="3">
        <f t="shared" si="35"/>
        <v>1</v>
      </c>
      <c r="CQ16" s="3">
        <f t="shared" si="36"/>
        <v>2</v>
      </c>
      <c r="CR16" s="3">
        <f t="shared" si="37"/>
        <v>1</v>
      </c>
      <c r="CS16" s="31"/>
      <c r="CT16" s="3" cm="1">
        <f t="array" ref="CT16">SUMPRODUCT(--(MOD(CH16:CL16,2)=1))</f>
        <v>4</v>
      </c>
      <c r="CU16" s="3">
        <f t="shared" si="38"/>
        <v>1</v>
      </c>
      <c r="CV16" s="30"/>
      <c r="CW16" s="3" cm="1">
        <f t="array" ref="CW16">SUMPRODUCT(--(MOD(CH16:CL16,10)&gt;=1), --(MOD(CH16:CL16,10)&lt;=5))</f>
        <v>4</v>
      </c>
      <c r="CX16" s="3">
        <f t="shared" si="39"/>
        <v>1</v>
      </c>
      <c r="CY16" s="30"/>
      <c r="CZ16" s="3" cm="1">
        <f t="array" ref="CZ16">IFERROR(COUNT(_xlfn._xlws.FILTER(CH16:CL16, ISNUMBER(MATCH(CH16:CL16, {2,3,5,7,11,13,17,19,23,29,31,37,41,43}, 0)))), 0)</f>
        <v>3</v>
      </c>
      <c r="DA16" s="3" cm="1">
        <f t="array" ref="DA16">IFERROR(COUNT(_xlfn._xlws.FILTER(CH16:CL16, ISNUMBER(MATCH(CH16:CL16, {1,4,8,10,14,16,20,22,25,26,28,32,34,35,38,40,44}, 0)))), 0)</f>
        <v>2</v>
      </c>
      <c r="DB16" s="3" cm="1">
        <f t="array" ref="DB16">IFERROR(COUNT(_xlfn._xlws.FILTER(CH16:CL16, ISNUMBER(MATCH(CH16:CL16, {6,9,12,15,18,21,24,27,30,33,36,39,42,45}, 0)))), 0)</f>
        <v>0</v>
      </c>
      <c r="DC16" s="29"/>
      <c r="DD16" s="28" t="e">
        <f>#REF!</f>
        <v>#REF!</v>
      </c>
      <c r="DE16" s="28" t="e">
        <f>#REF!*2</f>
        <v>#REF!</v>
      </c>
      <c r="DF16" s="28" t="e">
        <f>#REF!</f>
        <v>#REF!</v>
      </c>
      <c r="DG16" s="28" t="e">
        <f>#REF!*2</f>
        <v>#REF!</v>
      </c>
      <c r="DH16" s="28" t="e">
        <f>#REF!</f>
        <v>#REF!</v>
      </c>
      <c r="DI16" s="28" t="e">
        <f>#REF!*2</f>
        <v>#REF!</v>
      </c>
      <c r="DJ16" s="28" t="e">
        <f>#REF!</f>
        <v>#REF!</v>
      </c>
      <c r="DK16" s="28" t="e">
        <f>#REF!*2</f>
        <v>#REF!</v>
      </c>
      <c r="DL16" s="28" t="e">
        <f>#REF!</f>
        <v>#REF!</v>
      </c>
      <c r="DM16" s="28" t="e">
        <f>#REF!*2</f>
        <v>#REF!</v>
      </c>
      <c r="DN16" s="27"/>
      <c r="DO16" s="26"/>
      <c r="DP16" s="26"/>
      <c r="DQ16" s="26"/>
      <c r="DR16" s="26"/>
      <c r="DS16" s="26"/>
      <c r="DT16" s="25"/>
    </row>
    <row r="17" spans="2:124" x14ac:dyDescent="0.3">
      <c r="B17" s="3">
        <v>12</v>
      </c>
      <c r="C17" s="3">
        <v>16</v>
      </c>
      <c r="D17" s="3">
        <v>21</v>
      </c>
      <c r="E17" s="3">
        <v>24</v>
      </c>
      <c r="F17" s="3">
        <v>41</v>
      </c>
      <c r="G17" s="3">
        <v>43</v>
      </c>
      <c r="H17" s="32"/>
      <c r="I17" s="3">
        <f t="shared" si="0"/>
        <v>2</v>
      </c>
      <c r="J17" s="3">
        <f t="shared" si="1"/>
        <v>2</v>
      </c>
      <c r="K17" s="3">
        <f t="shared" si="2"/>
        <v>1</v>
      </c>
      <c r="L17" s="3">
        <f t="shared" si="3"/>
        <v>2</v>
      </c>
      <c r="M17" s="3">
        <f t="shared" si="4"/>
        <v>1</v>
      </c>
      <c r="N17" s="3">
        <f t="shared" si="5"/>
        <v>1</v>
      </c>
      <c r="O17" s="32"/>
      <c r="P17" s="3" cm="1">
        <f t="array" ref="P17">SUMPRODUCT(--(MOD(B17:G17,2)=1))</f>
        <v>3</v>
      </c>
      <c r="Q17" s="3">
        <f t="shared" si="6"/>
        <v>3</v>
      </c>
      <c r="R17" s="34"/>
      <c r="S17" s="3">
        <f t="shared" si="7"/>
        <v>3</v>
      </c>
      <c r="T17" s="3">
        <f t="shared" si="8"/>
        <v>3</v>
      </c>
      <c r="U17" s="34"/>
      <c r="V17" s="3" cm="1">
        <f t="array" ref="V17">SUMPRODUCT(--(MOD(B17:G17,10)&gt;=1), --(MOD(B17:G17,10)&lt;=5))</f>
        <v>5</v>
      </c>
      <c r="W17" s="3">
        <f t="shared" si="9"/>
        <v>1</v>
      </c>
      <c r="X17" s="34"/>
      <c r="Y17" s="3" cm="1">
        <f t="array" ref="Y17">IFERROR(COUNT(_xlfn._xlws.FILTER(B17:G17, ISNUMBER(MATCH(B17:G17, {2,3,5,7,11,13,17,19,23,29,31,37,41,43}, 0)))), 0)</f>
        <v>2</v>
      </c>
      <c r="Z17" s="3" cm="1">
        <f t="array" ref="Z17">IFERROR(COUNT(_xlfn._xlws.FILTER(B17:G17, ISNUMBER(MATCH(B17:G17, {1,4,8,10,14,16,20,22,25,26,28,32,34,35,38,40,44}, 0)))), 0)</f>
        <v>1</v>
      </c>
      <c r="AA17" s="3" cm="1">
        <f t="array" ref="AA17">IFERROR(COUNT(_xlfn._xlws.FILTER(B17:G17, ISNUMBER(MATCH(B17:G17, {6,9,12,15,18,21,24,27,30,33,36,39,42,45}, 0)))), 0)</f>
        <v>3</v>
      </c>
      <c r="AB17" s="30"/>
      <c r="AC17" s="26"/>
      <c r="AD17" s="26"/>
      <c r="AE17" s="26"/>
      <c r="AF17" s="26"/>
      <c r="AG17" s="26"/>
      <c r="AH17" s="26"/>
      <c r="AI17" s="30"/>
      <c r="AJ17" s="3">
        <f t="shared" si="10"/>
        <v>1</v>
      </c>
      <c r="AK17" s="3">
        <f t="shared" si="11"/>
        <v>3</v>
      </c>
      <c r="AL17" s="3">
        <f t="shared" si="12"/>
        <v>2</v>
      </c>
      <c r="AM17" s="33"/>
      <c r="AN17" s="3">
        <f t="shared" si="13"/>
        <v>0</v>
      </c>
      <c r="AO17" s="3">
        <f t="shared" si="14"/>
        <v>2</v>
      </c>
      <c r="AP17" s="3">
        <f t="shared" si="15"/>
        <v>2</v>
      </c>
      <c r="AQ17" s="3">
        <f t="shared" si="16"/>
        <v>0</v>
      </c>
      <c r="AR17" s="3">
        <f t="shared" si="17"/>
        <v>2</v>
      </c>
      <c r="AS17" s="28" t="e">
        <f>#REF!</f>
        <v>#REF!</v>
      </c>
      <c r="AT17" s="28" t="e">
        <f>#REF!*2</f>
        <v>#REF!</v>
      </c>
      <c r="AU17" s="28" t="e">
        <f>#REF!</f>
        <v>#REF!</v>
      </c>
      <c r="AV17" s="28" t="e">
        <f>#REF!*2</f>
        <v>#REF!</v>
      </c>
      <c r="AW17" s="28" t="e">
        <f>#REF!</f>
        <v>#REF!</v>
      </c>
      <c r="AX17" s="28" t="e">
        <f>#REF!*2</f>
        <v>#REF!</v>
      </c>
      <c r="AY17" s="28" t="e">
        <f>#REF!</f>
        <v>#REF!</v>
      </c>
      <c r="AZ17" s="28" t="e">
        <f>#REF!*2</f>
        <v>#REF!</v>
      </c>
      <c r="BA17" s="28" t="e">
        <f>#REF!</f>
        <v>#REF!</v>
      </c>
      <c r="BB17" s="28" t="e">
        <f>#REF!*2</f>
        <v>#REF!</v>
      </c>
      <c r="BC17" s="28" t="e">
        <f>#REF!</f>
        <v>#REF!</v>
      </c>
      <c r="BD17" s="28" t="e">
        <f>#REF!*2</f>
        <v>#REF!</v>
      </c>
      <c r="BE17" s="9" t="e">
        <f>#REF!-#REF!</f>
        <v>#REF!</v>
      </c>
      <c r="BF17" s="9" t="e">
        <f>#REF!-#REF!</f>
        <v>#REF!</v>
      </c>
      <c r="BG17" s="9" t="e">
        <f>#REF!-#REF!</f>
        <v>#REF!</v>
      </c>
      <c r="BH17" s="9" t="e">
        <f>#REF!-#REF!</f>
        <v>#REF!</v>
      </c>
      <c r="BI17" s="9" t="e">
        <f>#REF!-#REF!</f>
        <v>#REF!</v>
      </c>
      <c r="BJ17" s="33"/>
      <c r="BK17" s="3">
        <f t="shared" si="18"/>
        <v>0</v>
      </c>
      <c r="BL17" s="3">
        <f t="shared" si="19"/>
        <v>2</v>
      </c>
      <c r="BM17" s="3">
        <f t="shared" si="20"/>
        <v>2</v>
      </c>
      <c r="BN17" s="3">
        <f t="shared" si="21"/>
        <v>0</v>
      </c>
      <c r="BO17" s="3">
        <f t="shared" si="22"/>
        <v>2</v>
      </c>
      <c r="BP17" s="28" t="e">
        <f>#REF!</f>
        <v>#REF!</v>
      </c>
      <c r="BQ17" s="28" t="e">
        <f>#REF!*2</f>
        <v>#REF!</v>
      </c>
      <c r="BR17" s="28" t="e">
        <f>#REF!</f>
        <v>#REF!</v>
      </c>
      <c r="BS17" s="28" t="e">
        <f>#REF!*2</f>
        <v>#REF!</v>
      </c>
      <c r="BT17" s="28" t="e">
        <f>#REF!</f>
        <v>#REF!</v>
      </c>
      <c r="BU17" s="28" t="e">
        <f>#REF!*2</f>
        <v>#REF!</v>
      </c>
      <c r="BV17" s="28" t="e">
        <f>#REF!</f>
        <v>#REF!</v>
      </c>
      <c r="BW17" s="28" t="e">
        <f>#REF!*2</f>
        <v>#REF!</v>
      </c>
      <c r="BX17" s="28" t="e">
        <f>#REF!</f>
        <v>#REF!</v>
      </c>
      <c r="BY17" s="28" t="e">
        <f>#REF!*2</f>
        <v>#REF!</v>
      </c>
      <c r="BZ17" s="28" t="e">
        <f>#REF!</f>
        <v>#REF!</v>
      </c>
      <c r="CA17" s="28" t="e">
        <f>#REF!*2</f>
        <v>#REF!</v>
      </c>
      <c r="CB17" s="9">
        <f t="shared" si="23"/>
        <v>4</v>
      </c>
      <c r="CC17" s="9">
        <f t="shared" si="24"/>
        <v>5</v>
      </c>
      <c r="CD17" s="9">
        <f t="shared" si="25"/>
        <v>3</v>
      </c>
      <c r="CE17" s="9">
        <f t="shared" si="26"/>
        <v>17</v>
      </c>
      <c r="CF17" s="9">
        <f t="shared" si="27"/>
        <v>2</v>
      </c>
      <c r="CG17" s="33"/>
      <c r="CH17" s="9">
        <f t="shared" si="28"/>
        <v>4</v>
      </c>
      <c r="CI17" s="9">
        <f t="shared" si="29"/>
        <v>5</v>
      </c>
      <c r="CJ17" s="9">
        <f t="shared" si="30"/>
        <v>3</v>
      </c>
      <c r="CK17" s="9">
        <f t="shared" si="31"/>
        <v>17</v>
      </c>
      <c r="CL17" s="9">
        <f t="shared" si="32"/>
        <v>2</v>
      </c>
      <c r="CM17" s="32"/>
      <c r="CN17" s="3">
        <f t="shared" si="33"/>
        <v>2</v>
      </c>
      <c r="CO17" s="3">
        <f t="shared" si="34"/>
        <v>1</v>
      </c>
      <c r="CP17" s="3">
        <f t="shared" si="35"/>
        <v>1</v>
      </c>
      <c r="CQ17" s="3">
        <f t="shared" si="36"/>
        <v>1</v>
      </c>
      <c r="CR17" s="3">
        <f t="shared" si="37"/>
        <v>2</v>
      </c>
      <c r="CS17" s="31"/>
      <c r="CT17" s="3" cm="1">
        <f t="array" ref="CT17">SUMPRODUCT(--(MOD(CH17:CL17,2)=1))</f>
        <v>3</v>
      </c>
      <c r="CU17" s="3">
        <f t="shared" si="38"/>
        <v>2</v>
      </c>
      <c r="CV17" s="30"/>
      <c r="CW17" s="3" cm="1">
        <f t="array" ref="CW17">SUMPRODUCT(--(MOD(CH17:CL17,10)&gt;=1), --(MOD(CH17:CL17,10)&lt;=5))</f>
        <v>4</v>
      </c>
      <c r="CX17" s="3">
        <f t="shared" si="39"/>
        <v>1</v>
      </c>
      <c r="CY17" s="30"/>
      <c r="CZ17" s="3" cm="1">
        <f t="array" ref="CZ17">IFERROR(COUNT(_xlfn._xlws.FILTER(CH17:CL17, ISNUMBER(MATCH(CH17:CL17, {2,3,5,7,11,13,17,19,23,29,31,37,41,43}, 0)))), 0)</f>
        <v>4</v>
      </c>
      <c r="DA17" s="3" cm="1">
        <f t="array" ref="DA17">IFERROR(COUNT(_xlfn._xlws.FILTER(CH17:CL17, ISNUMBER(MATCH(CH17:CL17, {1,4,8,10,14,16,20,22,25,26,28,32,34,35,38,40,44}, 0)))), 0)</f>
        <v>1</v>
      </c>
      <c r="DB17" s="3" cm="1">
        <f t="array" ref="DB17">IFERROR(COUNT(_xlfn._xlws.FILTER(CH17:CL17, ISNUMBER(MATCH(CH17:CL17, {6,9,12,15,18,21,24,27,30,33,36,39,42,45}, 0)))), 0)</f>
        <v>0</v>
      </c>
      <c r="DC17" s="29"/>
      <c r="DD17" s="28" t="e">
        <f>#REF!</f>
        <v>#REF!</v>
      </c>
      <c r="DE17" s="28" t="e">
        <f>#REF!*2</f>
        <v>#REF!</v>
      </c>
      <c r="DF17" s="28" t="e">
        <f>#REF!</f>
        <v>#REF!</v>
      </c>
      <c r="DG17" s="28" t="e">
        <f>#REF!*2</f>
        <v>#REF!</v>
      </c>
      <c r="DH17" s="28" t="e">
        <f>#REF!</f>
        <v>#REF!</v>
      </c>
      <c r="DI17" s="28" t="e">
        <f>#REF!*2</f>
        <v>#REF!</v>
      </c>
      <c r="DJ17" s="28" t="e">
        <f>#REF!</f>
        <v>#REF!</v>
      </c>
      <c r="DK17" s="28" t="e">
        <f>#REF!*2</f>
        <v>#REF!</v>
      </c>
      <c r="DL17" s="28" t="e">
        <f>#REF!</f>
        <v>#REF!</v>
      </c>
      <c r="DM17" s="28" t="e">
        <f>#REF!*2</f>
        <v>#REF!</v>
      </c>
      <c r="DN17" s="27"/>
      <c r="DO17" s="26"/>
      <c r="DP17" s="26"/>
      <c r="DQ17" s="26"/>
      <c r="DR17" s="26"/>
      <c r="DS17" s="26"/>
      <c r="DT17" s="25"/>
    </row>
    <row r="18" spans="2:124" x14ac:dyDescent="0.3">
      <c r="B18" s="3">
        <v>3</v>
      </c>
      <c r="C18" s="3">
        <v>20</v>
      </c>
      <c r="D18" s="3">
        <v>28</v>
      </c>
      <c r="E18" s="3">
        <v>38</v>
      </c>
      <c r="F18" s="3">
        <v>40</v>
      </c>
      <c r="G18" s="3">
        <v>43</v>
      </c>
      <c r="H18" s="32"/>
      <c r="I18" s="3">
        <f t="shared" si="0"/>
        <v>1</v>
      </c>
      <c r="J18" s="3">
        <f t="shared" si="1"/>
        <v>2</v>
      </c>
      <c r="K18" s="3">
        <f t="shared" si="2"/>
        <v>2</v>
      </c>
      <c r="L18" s="3">
        <f t="shared" si="3"/>
        <v>2</v>
      </c>
      <c r="M18" s="3">
        <f t="shared" si="4"/>
        <v>2</v>
      </c>
      <c r="N18" s="3">
        <f t="shared" si="5"/>
        <v>1</v>
      </c>
      <c r="O18" s="32"/>
      <c r="P18" s="3" cm="1">
        <f t="array" ref="P18">SUMPRODUCT(--(MOD(B18:G18,2)=1))</f>
        <v>2</v>
      </c>
      <c r="Q18" s="3">
        <f t="shared" si="6"/>
        <v>4</v>
      </c>
      <c r="R18" s="34"/>
      <c r="S18" s="3">
        <f t="shared" si="7"/>
        <v>2</v>
      </c>
      <c r="T18" s="3">
        <f t="shared" si="8"/>
        <v>4</v>
      </c>
      <c r="U18" s="34"/>
      <c r="V18" s="3" cm="1">
        <f t="array" ref="V18">SUMPRODUCT(--(MOD(B18:G18,10)&gt;=1), --(MOD(B18:G18,10)&lt;=5))</f>
        <v>2</v>
      </c>
      <c r="W18" s="3">
        <f t="shared" si="9"/>
        <v>4</v>
      </c>
      <c r="X18" s="34"/>
      <c r="Y18" s="3" cm="1">
        <f t="array" ref="Y18">IFERROR(COUNT(_xlfn._xlws.FILTER(B18:G18, ISNUMBER(MATCH(B18:G18, {2,3,5,7,11,13,17,19,23,29,31,37,41,43}, 0)))), 0)</f>
        <v>2</v>
      </c>
      <c r="Z18" s="3" cm="1">
        <f t="array" ref="Z18">IFERROR(COUNT(_xlfn._xlws.FILTER(B18:G18, ISNUMBER(MATCH(B18:G18, {1,4,8,10,14,16,20,22,25,26,28,32,34,35,38,40,44}, 0)))), 0)</f>
        <v>4</v>
      </c>
      <c r="AA18" s="3" cm="1">
        <f t="array" ref="AA18">IFERROR(COUNT(_xlfn._xlws.FILTER(B18:G18, ISNUMBER(MATCH(B18:G18, {6,9,12,15,18,21,24,27,30,33,36,39,42,45}, 0)))), 0)</f>
        <v>0</v>
      </c>
      <c r="AB18" s="30"/>
      <c r="AC18" s="26"/>
      <c r="AD18" s="26"/>
      <c r="AE18" s="26"/>
      <c r="AF18" s="26"/>
      <c r="AG18" s="26"/>
      <c r="AH18" s="26"/>
      <c r="AI18" s="30"/>
      <c r="AJ18" s="3">
        <f t="shared" si="10"/>
        <v>1</v>
      </c>
      <c r="AK18" s="3">
        <f t="shared" si="11"/>
        <v>2</v>
      </c>
      <c r="AL18" s="3">
        <f t="shared" si="12"/>
        <v>3</v>
      </c>
      <c r="AM18" s="33"/>
      <c r="AN18" s="3">
        <f t="shared" si="13"/>
        <v>1</v>
      </c>
      <c r="AO18" s="3">
        <f t="shared" si="14"/>
        <v>0</v>
      </c>
      <c r="AP18" s="3">
        <f t="shared" si="15"/>
        <v>1</v>
      </c>
      <c r="AQ18" s="3">
        <f t="shared" si="16"/>
        <v>1</v>
      </c>
      <c r="AR18" s="3">
        <f t="shared" si="17"/>
        <v>3</v>
      </c>
      <c r="AS18" s="28" t="e">
        <f>#REF!</f>
        <v>#REF!</v>
      </c>
      <c r="AT18" s="28" t="e">
        <f>#REF!*2</f>
        <v>#REF!</v>
      </c>
      <c r="AU18" s="28" t="e">
        <f>#REF!</f>
        <v>#REF!</v>
      </c>
      <c r="AV18" s="28" t="e">
        <f>#REF!*2</f>
        <v>#REF!</v>
      </c>
      <c r="AW18" s="28" t="e">
        <f>#REF!</f>
        <v>#REF!</v>
      </c>
      <c r="AX18" s="28" t="e">
        <f>#REF!*2</f>
        <v>#REF!</v>
      </c>
      <c r="AY18" s="28" t="e">
        <f>#REF!</f>
        <v>#REF!</v>
      </c>
      <c r="AZ18" s="28" t="e">
        <f>#REF!*2</f>
        <v>#REF!</v>
      </c>
      <c r="BA18" s="28" t="e">
        <f>#REF!</f>
        <v>#REF!</v>
      </c>
      <c r="BB18" s="28" t="e">
        <f>#REF!*2</f>
        <v>#REF!</v>
      </c>
      <c r="BC18" s="28" t="e">
        <f>#REF!</f>
        <v>#REF!</v>
      </c>
      <c r="BD18" s="28" t="e">
        <f>#REF!*2</f>
        <v>#REF!</v>
      </c>
      <c r="BE18" s="9" t="e">
        <f>#REF!-#REF!</f>
        <v>#REF!</v>
      </c>
      <c r="BF18" s="9" t="e">
        <f>#REF!-#REF!</f>
        <v>#REF!</v>
      </c>
      <c r="BG18" s="9" t="e">
        <f>#REF!-#REF!</f>
        <v>#REF!</v>
      </c>
      <c r="BH18" s="9" t="e">
        <f>#REF!-#REF!</f>
        <v>#REF!</v>
      </c>
      <c r="BI18" s="9" t="e">
        <f>#REF!-#REF!</f>
        <v>#REF!</v>
      </c>
      <c r="BJ18" s="33"/>
      <c r="BK18" s="3">
        <f t="shared" si="18"/>
        <v>1</v>
      </c>
      <c r="BL18" s="3">
        <f t="shared" si="19"/>
        <v>0</v>
      </c>
      <c r="BM18" s="3">
        <f t="shared" si="20"/>
        <v>2</v>
      </c>
      <c r="BN18" s="3">
        <f t="shared" si="21"/>
        <v>1</v>
      </c>
      <c r="BO18" s="3">
        <f t="shared" si="22"/>
        <v>2</v>
      </c>
      <c r="BP18" s="28" t="e">
        <f>#REF!</f>
        <v>#REF!</v>
      </c>
      <c r="BQ18" s="28" t="e">
        <f>#REF!*2</f>
        <v>#REF!</v>
      </c>
      <c r="BR18" s="28" t="e">
        <f>#REF!</f>
        <v>#REF!</v>
      </c>
      <c r="BS18" s="28" t="e">
        <f>#REF!*2</f>
        <v>#REF!</v>
      </c>
      <c r="BT18" s="28" t="e">
        <f>#REF!</f>
        <v>#REF!</v>
      </c>
      <c r="BU18" s="28" t="e">
        <f>#REF!*2</f>
        <v>#REF!</v>
      </c>
      <c r="BV18" s="28" t="e">
        <f>#REF!</f>
        <v>#REF!</v>
      </c>
      <c r="BW18" s="28" t="e">
        <f>#REF!*2</f>
        <v>#REF!</v>
      </c>
      <c r="BX18" s="28" t="e">
        <f>#REF!</f>
        <v>#REF!</v>
      </c>
      <c r="BY18" s="28" t="e">
        <f>#REF!*2</f>
        <v>#REF!</v>
      </c>
      <c r="BZ18" s="28" t="e">
        <f>#REF!</f>
        <v>#REF!</v>
      </c>
      <c r="CA18" s="28" t="e">
        <f>#REF!*2</f>
        <v>#REF!</v>
      </c>
      <c r="CB18" s="9">
        <f t="shared" si="23"/>
        <v>17</v>
      </c>
      <c r="CC18" s="9">
        <f t="shared" si="24"/>
        <v>8</v>
      </c>
      <c r="CD18" s="9">
        <f t="shared" si="25"/>
        <v>10</v>
      </c>
      <c r="CE18" s="9">
        <f t="shared" si="26"/>
        <v>2</v>
      </c>
      <c r="CF18" s="9">
        <f t="shared" si="27"/>
        <v>3</v>
      </c>
      <c r="CG18" s="33"/>
      <c r="CH18" s="9">
        <f t="shared" si="28"/>
        <v>17</v>
      </c>
      <c r="CI18" s="9">
        <f t="shared" si="29"/>
        <v>8</v>
      </c>
      <c r="CJ18" s="9">
        <f t="shared" si="30"/>
        <v>10</v>
      </c>
      <c r="CK18" s="9">
        <f t="shared" si="31"/>
        <v>2</v>
      </c>
      <c r="CL18" s="9">
        <f t="shared" si="32"/>
        <v>3</v>
      </c>
      <c r="CM18" s="32"/>
      <c r="CN18" s="3">
        <f t="shared" si="33"/>
        <v>1</v>
      </c>
      <c r="CO18" s="3">
        <f t="shared" si="34"/>
        <v>2</v>
      </c>
      <c r="CP18" s="3">
        <f t="shared" si="35"/>
        <v>2</v>
      </c>
      <c r="CQ18" s="3">
        <f t="shared" si="36"/>
        <v>2</v>
      </c>
      <c r="CR18" s="3">
        <f t="shared" si="37"/>
        <v>1</v>
      </c>
      <c r="CS18" s="31"/>
      <c r="CT18" s="3" cm="1">
        <f t="array" ref="CT18">SUMPRODUCT(--(MOD(CH18:CL18,2)=1))</f>
        <v>2</v>
      </c>
      <c r="CU18" s="3">
        <f t="shared" si="38"/>
        <v>3</v>
      </c>
      <c r="CV18" s="30"/>
      <c r="CW18" s="3" cm="1">
        <f t="array" ref="CW18">SUMPRODUCT(--(MOD(CH18:CL18,10)&gt;=1), --(MOD(CH18:CL18,10)&lt;=5))</f>
        <v>2</v>
      </c>
      <c r="CX18" s="3">
        <f t="shared" si="39"/>
        <v>3</v>
      </c>
      <c r="CY18" s="30"/>
      <c r="CZ18" s="3" cm="1">
        <f t="array" ref="CZ18">IFERROR(COUNT(_xlfn._xlws.FILTER(CH18:CL18, ISNUMBER(MATCH(CH18:CL18, {2,3,5,7,11,13,17,19,23,29,31,37,41,43}, 0)))), 0)</f>
        <v>3</v>
      </c>
      <c r="DA18" s="3" cm="1">
        <f t="array" ref="DA18">IFERROR(COUNT(_xlfn._xlws.FILTER(CH18:CL18, ISNUMBER(MATCH(CH18:CL18, {1,4,8,10,14,16,20,22,25,26,28,32,34,35,38,40,44}, 0)))), 0)</f>
        <v>2</v>
      </c>
      <c r="DB18" s="3" cm="1">
        <f t="array" ref="DB18">IFERROR(COUNT(_xlfn._xlws.FILTER(CH18:CL18, ISNUMBER(MATCH(CH18:CL18, {6,9,12,15,18,21,24,27,30,33,36,39,42,45}, 0)))), 0)</f>
        <v>0</v>
      </c>
      <c r="DC18" s="29"/>
      <c r="DD18" s="28" t="e">
        <f>#REF!</f>
        <v>#REF!</v>
      </c>
      <c r="DE18" s="28" t="e">
        <f>#REF!*2</f>
        <v>#REF!</v>
      </c>
      <c r="DF18" s="28" t="e">
        <f>#REF!</f>
        <v>#REF!</v>
      </c>
      <c r="DG18" s="28" t="e">
        <f>#REF!*2</f>
        <v>#REF!</v>
      </c>
      <c r="DH18" s="28" t="e">
        <f>#REF!</f>
        <v>#REF!</v>
      </c>
      <c r="DI18" s="28" t="e">
        <f>#REF!*2</f>
        <v>#REF!</v>
      </c>
      <c r="DJ18" s="28" t="e">
        <f>#REF!</f>
        <v>#REF!</v>
      </c>
      <c r="DK18" s="28" t="e">
        <f>#REF!*2</f>
        <v>#REF!</v>
      </c>
      <c r="DL18" s="28" t="e">
        <f>#REF!</f>
        <v>#REF!</v>
      </c>
      <c r="DM18" s="28" t="e">
        <f>#REF!*2</f>
        <v>#REF!</v>
      </c>
      <c r="DN18" s="27"/>
      <c r="DO18" s="26"/>
      <c r="DP18" s="26"/>
      <c r="DQ18" s="26"/>
      <c r="DR18" s="26"/>
      <c r="DS18" s="26"/>
      <c r="DT18" s="25"/>
    </row>
    <row r="19" spans="2:124" x14ac:dyDescent="0.3">
      <c r="B19" s="3">
        <v>17</v>
      </c>
      <c r="C19" s="3">
        <v>26</v>
      </c>
      <c r="D19" s="3">
        <v>29</v>
      </c>
      <c r="E19" s="3">
        <v>30</v>
      </c>
      <c r="F19" s="3">
        <v>31</v>
      </c>
      <c r="G19" s="3">
        <v>43</v>
      </c>
      <c r="H19" s="32"/>
      <c r="I19" s="3">
        <f t="shared" si="0"/>
        <v>1</v>
      </c>
      <c r="J19" s="3">
        <f t="shared" si="1"/>
        <v>2</v>
      </c>
      <c r="K19" s="3">
        <f t="shared" si="2"/>
        <v>1</v>
      </c>
      <c r="L19" s="3">
        <f t="shared" si="3"/>
        <v>2</v>
      </c>
      <c r="M19" s="3">
        <f t="shared" si="4"/>
        <v>1</v>
      </c>
      <c r="N19" s="3">
        <f t="shared" si="5"/>
        <v>1</v>
      </c>
      <c r="O19" s="32"/>
      <c r="P19" s="3" cm="1">
        <f t="array" ref="P19">SUMPRODUCT(--(MOD(B19:G19,2)=1))</f>
        <v>4</v>
      </c>
      <c r="Q19" s="3">
        <f t="shared" si="6"/>
        <v>2</v>
      </c>
      <c r="R19" s="34"/>
      <c r="S19" s="3">
        <f t="shared" si="7"/>
        <v>1</v>
      </c>
      <c r="T19" s="3">
        <f t="shared" si="8"/>
        <v>5</v>
      </c>
      <c r="U19" s="34"/>
      <c r="V19" s="3" cm="1">
        <f t="array" ref="V19">SUMPRODUCT(--(MOD(B19:G19,10)&gt;=1), --(MOD(B19:G19,10)&lt;=5))</f>
        <v>2</v>
      </c>
      <c r="W19" s="3">
        <f t="shared" si="9"/>
        <v>4</v>
      </c>
      <c r="X19" s="34"/>
      <c r="Y19" s="3" cm="1">
        <f t="array" ref="Y19">IFERROR(COUNT(_xlfn._xlws.FILTER(B19:G19, ISNUMBER(MATCH(B19:G19, {2,3,5,7,11,13,17,19,23,29,31,37,41,43}, 0)))), 0)</f>
        <v>4</v>
      </c>
      <c r="Z19" s="3" cm="1">
        <f t="array" ref="Z19">IFERROR(COUNT(_xlfn._xlws.FILTER(B19:G19, ISNUMBER(MATCH(B19:G19, {1,4,8,10,14,16,20,22,25,26,28,32,34,35,38,40,44}, 0)))), 0)</f>
        <v>1</v>
      </c>
      <c r="AA19" s="3" cm="1">
        <f t="array" ref="AA19">IFERROR(COUNT(_xlfn._xlws.FILTER(B19:G19, ISNUMBER(MATCH(B19:G19, {6,9,12,15,18,21,24,27,30,33,36,39,42,45}, 0)))), 0)</f>
        <v>1</v>
      </c>
      <c r="AB19" s="30"/>
      <c r="AC19" s="26"/>
      <c r="AD19" s="26"/>
      <c r="AE19" s="26"/>
      <c r="AF19" s="26"/>
      <c r="AG19" s="26"/>
      <c r="AH19" s="26"/>
      <c r="AI19" s="30"/>
      <c r="AJ19" s="3">
        <f t="shared" si="10"/>
        <v>0</v>
      </c>
      <c r="AK19" s="3">
        <f t="shared" si="11"/>
        <v>5</v>
      </c>
      <c r="AL19" s="3">
        <f t="shared" si="12"/>
        <v>1</v>
      </c>
      <c r="AM19" s="33"/>
      <c r="AN19" s="3">
        <f t="shared" si="13"/>
        <v>0</v>
      </c>
      <c r="AO19" s="3">
        <f t="shared" si="14"/>
        <v>1</v>
      </c>
      <c r="AP19" s="3">
        <f t="shared" si="15"/>
        <v>1</v>
      </c>
      <c r="AQ19" s="3">
        <f t="shared" si="16"/>
        <v>3</v>
      </c>
      <c r="AR19" s="3">
        <f t="shared" si="17"/>
        <v>1</v>
      </c>
      <c r="AS19" s="28" t="e">
        <f>#REF!</f>
        <v>#REF!</v>
      </c>
      <c r="AT19" s="28" t="e">
        <f>#REF!*2</f>
        <v>#REF!</v>
      </c>
      <c r="AU19" s="28" t="e">
        <f>#REF!</f>
        <v>#REF!</v>
      </c>
      <c r="AV19" s="28" t="e">
        <f>#REF!*2</f>
        <v>#REF!</v>
      </c>
      <c r="AW19" s="28" t="e">
        <f>#REF!</f>
        <v>#REF!</v>
      </c>
      <c r="AX19" s="28" t="e">
        <f>#REF!*2</f>
        <v>#REF!</v>
      </c>
      <c r="AY19" s="28" t="e">
        <f>#REF!</f>
        <v>#REF!</v>
      </c>
      <c r="AZ19" s="28" t="e">
        <f>#REF!*2</f>
        <v>#REF!</v>
      </c>
      <c r="BA19" s="28" t="e">
        <f>#REF!</f>
        <v>#REF!</v>
      </c>
      <c r="BB19" s="28" t="e">
        <f>#REF!*2</f>
        <v>#REF!</v>
      </c>
      <c r="BC19" s="28" t="e">
        <f>#REF!</f>
        <v>#REF!</v>
      </c>
      <c r="BD19" s="28" t="e">
        <f>#REF!*2</f>
        <v>#REF!</v>
      </c>
      <c r="BE19" s="9" t="e">
        <f>#REF!-#REF!</f>
        <v>#REF!</v>
      </c>
      <c r="BF19" s="9" t="e">
        <f>#REF!-#REF!</f>
        <v>#REF!</v>
      </c>
      <c r="BG19" s="9" t="e">
        <f>#REF!-#REF!</f>
        <v>#REF!</v>
      </c>
      <c r="BH19" s="9" t="e">
        <f>#REF!-#REF!</f>
        <v>#REF!</v>
      </c>
      <c r="BI19" s="9" t="e">
        <f>#REF!-#REF!</f>
        <v>#REF!</v>
      </c>
      <c r="BJ19" s="33"/>
      <c r="BK19" s="3">
        <f t="shared" si="18"/>
        <v>0</v>
      </c>
      <c r="BL19" s="3">
        <f t="shared" si="19"/>
        <v>1</v>
      </c>
      <c r="BM19" s="3">
        <f t="shared" si="20"/>
        <v>2</v>
      </c>
      <c r="BN19" s="3">
        <f t="shared" si="21"/>
        <v>2</v>
      </c>
      <c r="BO19" s="3">
        <f t="shared" si="22"/>
        <v>1</v>
      </c>
      <c r="BP19" s="28" t="e">
        <f>#REF!</f>
        <v>#REF!</v>
      </c>
      <c r="BQ19" s="28" t="e">
        <f>#REF!*2</f>
        <v>#REF!</v>
      </c>
      <c r="BR19" s="28" t="e">
        <f>#REF!</f>
        <v>#REF!</v>
      </c>
      <c r="BS19" s="28" t="e">
        <f>#REF!*2</f>
        <v>#REF!</v>
      </c>
      <c r="BT19" s="28" t="e">
        <f>#REF!</f>
        <v>#REF!</v>
      </c>
      <c r="BU19" s="28" t="e">
        <f>#REF!*2</f>
        <v>#REF!</v>
      </c>
      <c r="BV19" s="28" t="e">
        <f>#REF!</f>
        <v>#REF!</v>
      </c>
      <c r="BW19" s="28" t="e">
        <f>#REF!*2</f>
        <v>#REF!</v>
      </c>
      <c r="BX19" s="28" t="e">
        <f>#REF!</f>
        <v>#REF!</v>
      </c>
      <c r="BY19" s="28" t="e">
        <f>#REF!*2</f>
        <v>#REF!</v>
      </c>
      <c r="BZ19" s="28" t="e">
        <f>#REF!</f>
        <v>#REF!</v>
      </c>
      <c r="CA19" s="28" t="e">
        <f>#REF!*2</f>
        <v>#REF!</v>
      </c>
      <c r="CB19" s="9">
        <f t="shared" si="23"/>
        <v>9</v>
      </c>
      <c r="CC19" s="9">
        <f t="shared" si="24"/>
        <v>3</v>
      </c>
      <c r="CD19" s="9">
        <f t="shared" si="25"/>
        <v>1</v>
      </c>
      <c r="CE19" s="9">
        <f t="shared" si="26"/>
        <v>1</v>
      </c>
      <c r="CF19" s="9">
        <f t="shared" si="27"/>
        <v>12</v>
      </c>
      <c r="CG19" s="33"/>
      <c r="CH19" s="9">
        <f t="shared" si="28"/>
        <v>9</v>
      </c>
      <c r="CI19" s="9">
        <f t="shared" si="29"/>
        <v>3</v>
      </c>
      <c r="CJ19" s="9">
        <f t="shared" si="30"/>
        <v>1</v>
      </c>
      <c r="CK19" s="9">
        <f t="shared" si="31"/>
        <v>1</v>
      </c>
      <c r="CL19" s="9">
        <f t="shared" si="32"/>
        <v>12</v>
      </c>
      <c r="CM19" s="32"/>
      <c r="CN19" s="3">
        <f t="shared" si="33"/>
        <v>1</v>
      </c>
      <c r="CO19" s="3">
        <f t="shared" si="34"/>
        <v>1</v>
      </c>
      <c r="CP19" s="3">
        <f t="shared" si="35"/>
        <v>1</v>
      </c>
      <c r="CQ19" s="3">
        <f t="shared" si="36"/>
        <v>1</v>
      </c>
      <c r="CR19" s="3">
        <f t="shared" si="37"/>
        <v>2</v>
      </c>
      <c r="CS19" s="31"/>
      <c r="CT19" s="3" cm="1">
        <f t="array" ref="CT19">SUMPRODUCT(--(MOD(CH19:CL19,2)=1))</f>
        <v>4</v>
      </c>
      <c r="CU19" s="3">
        <f t="shared" si="38"/>
        <v>1</v>
      </c>
      <c r="CV19" s="30"/>
      <c r="CW19" s="3" cm="1">
        <f t="array" ref="CW19">SUMPRODUCT(--(MOD(CH19:CL19,10)&gt;=1), --(MOD(CH19:CL19,10)&lt;=5))</f>
        <v>4</v>
      </c>
      <c r="CX19" s="3">
        <f t="shared" si="39"/>
        <v>1</v>
      </c>
      <c r="CY19" s="30"/>
      <c r="CZ19" s="3" cm="1">
        <f t="array" ref="CZ19">IFERROR(COUNT(_xlfn._xlws.FILTER(CH19:CL19, ISNUMBER(MATCH(CH19:CL19, {2,3,5,7,11,13,17,19,23,29,31,37,41,43}, 0)))), 0)</f>
        <v>1</v>
      </c>
      <c r="DA19" s="3" cm="1">
        <f t="array" ref="DA19">IFERROR(COUNT(_xlfn._xlws.FILTER(CH19:CL19, ISNUMBER(MATCH(CH19:CL19, {1,4,8,10,14,16,20,22,25,26,28,32,34,35,38,40,44}, 0)))), 0)</f>
        <v>2</v>
      </c>
      <c r="DB19" s="3" cm="1">
        <f t="array" ref="DB19">IFERROR(COUNT(_xlfn._xlws.FILTER(CH19:CL19, ISNUMBER(MATCH(CH19:CL19, {6,9,12,15,18,21,24,27,30,33,36,39,42,45}, 0)))), 0)</f>
        <v>2</v>
      </c>
      <c r="DC19" s="29"/>
      <c r="DD19" s="28" t="e">
        <f>#REF!</f>
        <v>#REF!</v>
      </c>
      <c r="DE19" s="28" t="e">
        <f>#REF!*2</f>
        <v>#REF!</v>
      </c>
      <c r="DF19" s="28" t="e">
        <f>#REF!</f>
        <v>#REF!</v>
      </c>
      <c r="DG19" s="28" t="e">
        <f>#REF!*2</f>
        <v>#REF!</v>
      </c>
      <c r="DH19" s="28" t="e">
        <f>#REF!</f>
        <v>#REF!</v>
      </c>
      <c r="DI19" s="28" t="e">
        <f>#REF!*2</f>
        <v>#REF!</v>
      </c>
      <c r="DJ19" s="28" t="e">
        <f>#REF!</f>
        <v>#REF!</v>
      </c>
      <c r="DK19" s="28" t="e">
        <f>#REF!*2</f>
        <v>#REF!</v>
      </c>
      <c r="DL19" s="28" t="e">
        <f>#REF!</f>
        <v>#REF!</v>
      </c>
      <c r="DM19" s="28" t="e">
        <f>#REF!*2</f>
        <v>#REF!</v>
      </c>
      <c r="DN19" s="27"/>
      <c r="DO19" s="26"/>
      <c r="DP19" s="26"/>
      <c r="DQ19" s="26"/>
      <c r="DR19" s="26"/>
      <c r="DS19" s="26"/>
      <c r="DT19" s="25"/>
    </row>
    <row r="20" spans="2:124" x14ac:dyDescent="0.3">
      <c r="B20" s="3">
        <v>6</v>
      </c>
      <c r="C20" s="3">
        <v>7</v>
      </c>
      <c r="D20" s="3">
        <v>13</v>
      </c>
      <c r="E20" s="3">
        <v>28</v>
      </c>
      <c r="F20" s="3">
        <v>36</v>
      </c>
      <c r="G20" s="3">
        <v>42</v>
      </c>
      <c r="H20" s="32"/>
      <c r="I20" s="3">
        <f t="shared" si="0"/>
        <v>2</v>
      </c>
      <c r="J20" s="3">
        <f t="shared" si="1"/>
        <v>1</v>
      </c>
      <c r="K20" s="3">
        <f t="shared" si="2"/>
        <v>1</v>
      </c>
      <c r="L20" s="3">
        <f t="shared" si="3"/>
        <v>2</v>
      </c>
      <c r="M20" s="3">
        <f t="shared" si="4"/>
        <v>2</v>
      </c>
      <c r="N20" s="3">
        <f t="shared" si="5"/>
        <v>2</v>
      </c>
      <c r="O20" s="32"/>
      <c r="P20" s="3" cm="1">
        <f t="array" ref="P20">SUMPRODUCT(--(MOD(B20:G20,2)=1))</f>
        <v>2</v>
      </c>
      <c r="Q20" s="3">
        <f t="shared" si="6"/>
        <v>4</v>
      </c>
      <c r="R20" s="34"/>
      <c r="S20" s="3">
        <f t="shared" si="7"/>
        <v>3</v>
      </c>
      <c r="T20" s="3">
        <f t="shared" si="8"/>
        <v>3</v>
      </c>
      <c r="U20" s="34"/>
      <c r="V20" s="3" cm="1">
        <f t="array" ref="V20">SUMPRODUCT(--(MOD(B20:G20,10)&gt;=1), --(MOD(B20:G20,10)&lt;=5))</f>
        <v>2</v>
      </c>
      <c r="W20" s="3">
        <f t="shared" si="9"/>
        <v>4</v>
      </c>
      <c r="X20" s="34"/>
      <c r="Y20" s="3" cm="1">
        <f t="array" ref="Y20">IFERROR(COUNT(_xlfn._xlws.FILTER(B20:G20, ISNUMBER(MATCH(B20:G20, {2,3,5,7,11,13,17,19,23,29,31,37,41,43}, 0)))), 0)</f>
        <v>2</v>
      </c>
      <c r="Z20" s="3" cm="1">
        <f t="array" ref="Z20">IFERROR(COUNT(_xlfn._xlws.FILTER(B20:G20, ISNUMBER(MATCH(B20:G20, {1,4,8,10,14,16,20,22,25,26,28,32,34,35,38,40,44}, 0)))), 0)</f>
        <v>1</v>
      </c>
      <c r="AA20" s="3" cm="1">
        <f t="array" ref="AA20">IFERROR(COUNT(_xlfn._xlws.FILTER(B20:G20, ISNUMBER(MATCH(B20:G20, {6,9,12,15,18,21,24,27,30,33,36,39,42,45}, 0)))), 0)</f>
        <v>3</v>
      </c>
      <c r="AB20" s="30"/>
      <c r="AC20" s="26"/>
      <c r="AD20" s="26"/>
      <c r="AE20" s="26"/>
      <c r="AF20" s="26"/>
      <c r="AG20" s="26"/>
      <c r="AH20" s="26"/>
      <c r="AI20" s="30"/>
      <c r="AJ20" s="3">
        <f t="shared" si="10"/>
        <v>3</v>
      </c>
      <c r="AK20" s="3">
        <f t="shared" si="11"/>
        <v>1</v>
      </c>
      <c r="AL20" s="3">
        <f t="shared" si="12"/>
        <v>2</v>
      </c>
      <c r="AM20" s="33"/>
      <c r="AN20" s="3">
        <f t="shared" si="13"/>
        <v>2</v>
      </c>
      <c r="AO20" s="3">
        <f t="shared" si="14"/>
        <v>1</v>
      </c>
      <c r="AP20" s="3">
        <f t="shared" si="15"/>
        <v>0</v>
      </c>
      <c r="AQ20" s="3">
        <f t="shared" si="16"/>
        <v>2</v>
      </c>
      <c r="AR20" s="3">
        <f t="shared" si="17"/>
        <v>1</v>
      </c>
      <c r="AS20" s="28" t="e">
        <f>#REF!</f>
        <v>#REF!</v>
      </c>
      <c r="AT20" s="28" t="e">
        <f>#REF!*2</f>
        <v>#REF!</v>
      </c>
      <c r="AU20" s="28" t="e">
        <f>#REF!</f>
        <v>#REF!</v>
      </c>
      <c r="AV20" s="28" t="e">
        <f>#REF!*2</f>
        <v>#REF!</v>
      </c>
      <c r="AW20" s="28" t="e">
        <f>#REF!</f>
        <v>#REF!</v>
      </c>
      <c r="AX20" s="28" t="e">
        <f>#REF!*2</f>
        <v>#REF!</v>
      </c>
      <c r="AY20" s="28" t="e">
        <f>#REF!</f>
        <v>#REF!</v>
      </c>
      <c r="AZ20" s="28" t="e">
        <f>#REF!*2</f>
        <v>#REF!</v>
      </c>
      <c r="BA20" s="28" t="e">
        <f>#REF!</f>
        <v>#REF!</v>
      </c>
      <c r="BB20" s="28" t="e">
        <f>#REF!*2</f>
        <v>#REF!</v>
      </c>
      <c r="BC20" s="28" t="e">
        <f>#REF!</f>
        <v>#REF!</v>
      </c>
      <c r="BD20" s="28" t="e">
        <f>#REF!*2</f>
        <v>#REF!</v>
      </c>
      <c r="BE20" s="9" t="e">
        <f>#REF!-#REF!</f>
        <v>#REF!</v>
      </c>
      <c r="BF20" s="9" t="e">
        <f>#REF!-#REF!</f>
        <v>#REF!</v>
      </c>
      <c r="BG20" s="9" t="e">
        <f>#REF!-#REF!</f>
        <v>#REF!</v>
      </c>
      <c r="BH20" s="9" t="e">
        <f>#REF!-#REF!</f>
        <v>#REF!</v>
      </c>
      <c r="BI20" s="9" t="e">
        <f>#REF!-#REF!</f>
        <v>#REF!</v>
      </c>
      <c r="BJ20" s="33"/>
      <c r="BK20" s="3">
        <f t="shared" si="18"/>
        <v>2</v>
      </c>
      <c r="BL20" s="3">
        <f t="shared" si="19"/>
        <v>1</v>
      </c>
      <c r="BM20" s="3">
        <f t="shared" si="20"/>
        <v>1</v>
      </c>
      <c r="BN20" s="3">
        <f t="shared" si="21"/>
        <v>1</v>
      </c>
      <c r="BO20" s="3">
        <f t="shared" si="22"/>
        <v>1</v>
      </c>
      <c r="BP20" s="28" t="e">
        <f>#REF!</f>
        <v>#REF!</v>
      </c>
      <c r="BQ20" s="28" t="e">
        <f>#REF!*2</f>
        <v>#REF!</v>
      </c>
      <c r="BR20" s="28" t="e">
        <f>#REF!</f>
        <v>#REF!</v>
      </c>
      <c r="BS20" s="28" t="e">
        <f>#REF!*2</f>
        <v>#REF!</v>
      </c>
      <c r="BT20" s="28" t="e">
        <f>#REF!</f>
        <v>#REF!</v>
      </c>
      <c r="BU20" s="28" t="e">
        <f>#REF!*2</f>
        <v>#REF!</v>
      </c>
      <c r="BV20" s="28" t="e">
        <f>#REF!</f>
        <v>#REF!</v>
      </c>
      <c r="BW20" s="28" t="e">
        <f>#REF!*2</f>
        <v>#REF!</v>
      </c>
      <c r="BX20" s="28" t="e">
        <f>#REF!</f>
        <v>#REF!</v>
      </c>
      <c r="BY20" s="28" t="e">
        <f>#REF!*2</f>
        <v>#REF!</v>
      </c>
      <c r="BZ20" s="28" t="e">
        <f>#REF!</f>
        <v>#REF!</v>
      </c>
      <c r="CA20" s="28" t="e">
        <f>#REF!*2</f>
        <v>#REF!</v>
      </c>
      <c r="CB20" s="9">
        <f t="shared" si="23"/>
        <v>1</v>
      </c>
      <c r="CC20" s="9">
        <f t="shared" si="24"/>
        <v>6</v>
      </c>
      <c r="CD20" s="9">
        <f t="shared" si="25"/>
        <v>15</v>
      </c>
      <c r="CE20" s="9">
        <f t="shared" si="26"/>
        <v>8</v>
      </c>
      <c r="CF20" s="9">
        <f t="shared" si="27"/>
        <v>6</v>
      </c>
      <c r="CG20" s="33"/>
      <c r="CH20" s="9">
        <f t="shared" si="28"/>
        <v>1</v>
      </c>
      <c r="CI20" s="9">
        <f t="shared" si="29"/>
        <v>6</v>
      </c>
      <c r="CJ20" s="9">
        <f t="shared" si="30"/>
        <v>15</v>
      </c>
      <c r="CK20" s="9">
        <f t="shared" si="31"/>
        <v>8</v>
      </c>
      <c r="CL20" s="9">
        <f t="shared" si="32"/>
        <v>6</v>
      </c>
      <c r="CM20" s="32"/>
      <c r="CN20" s="3">
        <f t="shared" si="33"/>
        <v>1</v>
      </c>
      <c r="CO20" s="3">
        <f t="shared" si="34"/>
        <v>2</v>
      </c>
      <c r="CP20" s="3">
        <f t="shared" si="35"/>
        <v>1</v>
      </c>
      <c r="CQ20" s="3">
        <f t="shared" si="36"/>
        <v>2</v>
      </c>
      <c r="CR20" s="3">
        <f t="shared" si="37"/>
        <v>2</v>
      </c>
      <c r="CS20" s="31"/>
      <c r="CT20" s="3" cm="1">
        <f t="array" ref="CT20">SUMPRODUCT(--(MOD(CH20:CL20,2)=1))</f>
        <v>2</v>
      </c>
      <c r="CU20" s="3">
        <f t="shared" si="38"/>
        <v>3</v>
      </c>
      <c r="CV20" s="30"/>
      <c r="CW20" s="3" cm="1">
        <f t="array" ref="CW20">SUMPRODUCT(--(MOD(CH20:CL20,10)&gt;=1), --(MOD(CH20:CL20,10)&lt;=5))</f>
        <v>2</v>
      </c>
      <c r="CX20" s="3">
        <f t="shared" si="39"/>
        <v>3</v>
      </c>
      <c r="CY20" s="30"/>
      <c r="CZ20" s="3" cm="1">
        <f t="array" ref="CZ20">IFERROR(COUNT(_xlfn._xlws.FILTER(CH20:CL20, ISNUMBER(MATCH(CH20:CL20, {2,3,5,7,11,13,17,19,23,29,31,37,41,43}, 0)))), 0)</f>
        <v>0</v>
      </c>
      <c r="DA20" s="3" cm="1">
        <f t="array" ref="DA20">IFERROR(COUNT(_xlfn._xlws.FILTER(CH20:CL20, ISNUMBER(MATCH(CH20:CL20, {1,4,8,10,14,16,20,22,25,26,28,32,34,35,38,40,44}, 0)))), 0)</f>
        <v>2</v>
      </c>
      <c r="DB20" s="3" cm="1">
        <f t="array" ref="DB20">IFERROR(COUNT(_xlfn._xlws.FILTER(CH20:CL20, ISNUMBER(MATCH(CH20:CL20, {6,9,12,15,18,21,24,27,30,33,36,39,42,45}, 0)))), 0)</f>
        <v>3</v>
      </c>
      <c r="DC20" s="29"/>
      <c r="DD20" s="28" t="e">
        <f>#REF!</f>
        <v>#REF!</v>
      </c>
      <c r="DE20" s="28" t="e">
        <f>#REF!*2</f>
        <v>#REF!</v>
      </c>
      <c r="DF20" s="28" t="e">
        <f>#REF!</f>
        <v>#REF!</v>
      </c>
      <c r="DG20" s="28" t="e">
        <f>#REF!*2</f>
        <v>#REF!</v>
      </c>
      <c r="DH20" s="28" t="e">
        <f>#REF!</f>
        <v>#REF!</v>
      </c>
      <c r="DI20" s="28" t="e">
        <f>#REF!*2</f>
        <v>#REF!</v>
      </c>
      <c r="DJ20" s="28" t="e">
        <f>#REF!</f>
        <v>#REF!</v>
      </c>
      <c r="DK20" s="28" t="e">
        <f>#REF!*2</f>
        <v>#REF!</v>
      </c>
      <c r="DL20" s="28" t="e">
        <f>#REF!</f>
        <v>#REF!</v>
      </c>
      <c r="DM20" s="28" t="e">
        <f>#REF!*2</f>
        <v>#REF!</v>
      </c>
      <c r="DN20" s="27"/>
      <c r="DO20" s="26"/>
      <c r="DP20" s="26"/>
      <c r="DQ20" s="26"/>
      <c r="DR20" s="26"/>
      <c r="DS20" s="26"/>
      <c r="DT20" s="25"/>
    </row>
    <row r="21" spans="2:124" x14ac:dyDescent="0.3">
      <c r="B21" s="3">
        <v>13</v>
      </c>
      <c r="C21" s="3">
        <v>14</v>
      </c>
      <c r="D21" s="3">
        <v>22</v>
      </c>
      <c r="E21" s="3">
        <v>26</v>
      </c>
      <c r="F21" s="3">
        <v>37</v>
      </c>
      <c r="G21" s="3">
        <v>38</v>
      </c>
      <c r="H21" s="32"/>
      <c r="I21" s="3">
        <f t="shared" si="0"/>
        <v>1</v>
      </c>
      <c r="J21" s="3">
        <f t="shared" si="1"/>
        <v>2</v>
      </c>
      <c r="K21" s="3">
        <f t="shared" si="2"/>
        <v>2</v>
      </c>
      <c r="L21" s="3">
        <f t="shared" si="3"/>
        <v>2</v>
      </c>
      <c r="M21" s="3">
        <f t="shared" si="4"/>
        <v>1</v>
      </c>
      <c r="N21" s="3">
        <f t="shared" si="5"/>
        <v>2</v>
      </c>
      <c r="O21" s="32"/>
      <c r="P21" s="3" cm="1">
        <f t="array" ref="P21">SUMPRODUCT(--(MOD(B21:G21,2)=1))</f>
        <v>2</v>
      </c>
      <c r="Q21" s="3">
        <f t="shared" si="6"/>
        <v>4</v>
      </c>
      <c r="R21" s="34"/>
      <c r="S21" s="3">
        <f t="shared" si="7"/>
        <v>3</v>
      </c>
      <c r="T21" s="3">
        <f t="shared" si="8"/>
        <v>3</v>
      </c>
      <c r="U21" s="34"/>
      <c r="V21" s="3" cm="1">
        <f t="array" ref="V21">SUMPRODUCT(--(MOD(B21:G21,10)&gt;=1), --(MOD(B21:G21,10)&lt;=5))</f>
        <v>3</v>
      </c>
      <c r="W21" s="3">
        <f t="shared" si="9"/>
        <v>3</v>
      </c>
      <c r="X21" s="34"/>
      <c r="Y21" s="3" cm="1">
        <f t="array" ref="Y21">IFERROR(COUNT(_xlfn._xlws.FILTER(B21:G21, ISNUMBER(MATCH(B21:G21, {2,3,5,7,11,13,17,19,23,29,31,37,41,43}, 0)))), 0)</f>
        <v>2</v>
      </c>
      <c r="Z21" s="3" cm="1">
        <f t="array" ref="Z21">IFERROR(COUNT(_xlfn._xlws.FILTER(B21:G21, ISNUMBER(MATCH(B21:G21, {1,4,8,10,14,16,20,22,25,26,28,32,34,35,38,40,44}, 0)))), 0)</f>
        <v>4</v>
      </c>
      <c r="AA21" s="3" cm="1">
        <f t="array" ref="AA21">IFERROR(COUNT(_xlfn._xlws.FILTER(B21:G21, ISNUMBER(MATCH(B21:G21, {6,9,12,15,18,21,24,27,30,33,36,39,42,45}, 0)))), 0)</f>
        <v>0</v>
      </c>
      <c r="AB21" s="30"/>
      <c r="AC21" s="26"/>
      <c r="AD21" s="26"/>
      <c r="AE21" s="26"/>
      <c r="AF21" s="26"/>
      <c r="AG21" s="26"/>
      <c r="AH21" s="26"/>
      <c r="AI21" s="30"/>
      <c r="AJ21" s="3">
        <f t="shared" si="10"/>
        <v>2</v>
      </c>
      <c r="AK21" s="3">
        <f t="shared" si="11"/>
        <v>2</v>
      </c>
      <c r="AL21" s="3">
        <f t="shared" si="12"/>
        <v>2</v>
      </c>
      <c r="AM21" s="33"/>
      <c r="AN21" s="3">
        <f t="shared" si="13"/>
        <v>0</v>
      </c>
      <c r="AO21" s="3">
        <f t="shared" si="14"/>
        <v>2</v>
      </c>
      <c r="AP21" s="3">
        <f t="shared" si="15"/>
        <v>2</v>
      </c>
      <c r="AQ21" s="3">
        <f t="shared" si="16"/>
        <v>0</v>
      </c>
      <c r="AR21" s="3">
        <f t="shared" si="17"/>
        <v>2</v>
      </c>
      <c r="AS21" s="28" t="e">
        <f>#REF!</f>
        <v>#REF!</v>
      </c>
      <c r="AT21" s="28" t="e">
        <f>#REF!*2</f>
        <v>#REF!</v>
      </c>
      <c r="AU21" s="28" t="e">
        <f>#REF!</f>
        <v>#REF!</v>
      </c>
      <c r="AV21" s="28" t="e">
        <f>#REF!*2</f>
        <v>#REF!</v>
      </c>
      <c r="AW21" s="28" t="e">
        <f>#REF!</f>
        <v>#REF!</v>
      </c>
      <c r="AX21" s="28" t="e">
        <f>#REF!*2</f>
        <v>#REF!</v>
      </c>
      <c r="AY21" s="28" t="e">
        <f>#REF!</f>
        <v>#REF!</v>
      </c>
      <c r="AZ21" s="28" t="e">
        <f>#REF!*2</f>
        <v>#REF!</v>
      </c>
      <c r="BA21" s="28" t="e">
        <f>#REF!</f>
        <v>#REF!</v>
      </c>
      <c r="BB21" s="28" t="e">
        <f>#REF!*2</f>
        <v>#REF!</v>
      </c>
      <c r="BC21" s="28" t="e">
        <f>#REF!</f>
        <v>#REF!</v>
      </c>
      <c r="BD21" s="28" t="e">
        <f>#REF!*2</f>
        <v>#REF!</v>
      </c>
      <c r="BE21" s="9" t="e">
        <f>#REF!-#REF!</f>
        <v>#REF!</v>
      </c>
      <c r="BF21" s="9" t="e">
        <f>#REF!-#REF!</f>
        <v>#REF!</v>
      </c>
      <c r="BG21" s="9" t="e">
        <f>#REF!-#REF!</f>
        <v>#REF!</v>
      </c>
      <c r="BH21" s="9" t="e">
        <f>#REF!-#REF!</f>
        <v>#REF!</v>
      </c>
      <c r="BI21" s="9" t="e">
        <f>#REF!-#REF!</f>
        <v>#REF!</v>
      </c>
      <c r="BJ21" s="33"/>
      <c r="BK21" s="3">
        <f t="shared" si="18"/>
        <v>0</v>
      </c>
      <c r="BL21" s="3">
        <f t="shared" si="19"/>
        <v>2</v>
      </c>
      <c r="BM21" s="3">
        <f t="shared" si="20"/>
        <v>2</v>
      </c>
      <c r="BN21" s="3">
        <f t="shared" si="21"/>
        <v>2</v>
      </c>
      <c r="BO21" s="3">
        <f t="shared" si="22"/>
        <v>0</v>
      </c>
      <c r="BP21" s="28" t="e">
        <f>#REF!</f>
        <v>#REF!</v>
      </c>
      <c r="BQ21" s="28" t="e">
        <f>#REF!*2</f>
        <v>#REF!</v>
      </c>
      <c r="BR21" s="28" t="e">
        <f>#REF!</f>
        <v>#REF!</v>
      </c>
      <c r="BS21" s="28" t="e">
        <f>#REF!*2</f>
        <v>#REF!</v>
      </c>
      <c r="BT21" s="28" t="e">
        <f>#REF!</f>
        <v>#REF!</v>
      </c>
      <c r="BU21" s="28" t="e">
        <f>#REF!*2</f>
        <v>#REF!</v>
      </c>
      <c r="BV21" s="28" t="e">
        <f>#REF!</f>
        <v>#REF!</v>
      </c>
      <c r="BW21" s="28" t="e">
        <f>#REF!*2</f>
        <v>#REF!</v>
      </c>
      <c r="BX21" s="28" t="e">
        <f>#REF!</f>
        <v>#REF!</v>
      </c>
      <c r="BY21" s="28" t="e">
        <f>#REF!*2</f>
        <v>#REF!</v>
      </c>
      <c r="BZ21" s="28" t="e">
        <f>#REF!</f>
        <v>#REF!</v>
      </c>
      <c r="CA21" s="28" t="e">
        <f>#REF!*2</f>
        <v>#REF!</v>
      </c>
      <c r="CB21" s="9">
        <f t="shared" si="23"/>
        <v>1</v>
      </c>
      <c r="CC21" s="9">
        <f t="shared" si="24"/>
        <v>8</v>
      </c>
      <c r="CD21" s="9">
        <f t="shared" si="25"/>
        <v>4</v>
      </c>
      <c r="CE21" s="9">
        <f t="shared" si="26"/>
        <v>11</v>
      </c>
      <c r="CF21" s="9">
        <f t="shared" si="27"/>
        <v>1</v>
      </c>
      <c r="CG21" s="33"/>
      <c r="CH21" s="9">
        <f t="shared" si="28"/>
        <v>1</v>
      </c>
      <c r="CI21" s="9">
        <f t="shared" si="29"/>
        <v>8</v>
      </c>
      <c r="CJ21" s="9">
        <f t="shared" si="30"/>
        <v>4</v>
      </c>
      <c r="CK21" s="9">
        <f t="shared" si="31"/>
        <v>11</v>
      </c>
      <c r="CL21" s="9">
        <f t="shared" si="32"/>
        <v>1</v>
      </c>
      <c r="CM21" s="32"/>
      <c r="CN21" s="3">
        <f t="shared" si="33"/>
        <v>1</v>
      </c>
      <c r="CO21" s="3">
        <f t="shared" si="34"/>
        <v>2</v>
      </c>
      <c r="CP21" s="3">
        <f t="shared" si="35"/>
        <v>2</v>
      </c>
      <c r="CQ21" s="3">
        <f t="shared" si="36"/>
        <v>1</v>
      </c>
      <c r="CR21" s="3">
        <f t="shared" si="37"/>
        <v>1</v>
      </c>
      <c r="CS21" s="31"/>
      <c r="CT21" s="3" cm="1">
        <f t="array" ref="CT21">SUMPRODUCT(--(MOD(CH21:CL21,2)=1))</f>
        <v>3</v>
      </c>
      <c r="CU21" s="3">
        <f t="shared" si="38"/>
        <v>2</v>
      </c>
      <c r="CV21" s="30"/>
      <c r="CW21" s="3" cm="1">
        <f t="array" ref="CW21">SUMPRODUCT(--(MOD(CH21:CL21,10)&gt;=1), --(MOD(CH21:CL21,10)&lt;=5))</f>
        <v>4</v>
      </c>
      <c r="CX21" s="3">
        <f t="shared" si="39"/>
        <v>1</v>
      </c>
      <c r="CY21" s="30"/>
      <c r="CZ21" s="3" cm="1">
        <f t="array" ref="CZ21">IFERROR(COUNT(_xlfn._xlws.FILTER(CH21:CL21, ISNUMBER(MATCH(CH21:CL21, {2,3,5,7,11,13,17,19,23,29,31,37,41,43}, 0)))), 0)</f>
        <v>1</v>
      </c>
      <c r="DA21" s="3" cm="1">
        <f t="array" ref="DA21">IFERROR(COUNT(_xlfn._xlws.FILTER(CH21:CL21, ISNUMBER(MATCH(CH21:CL21, {1,4,8,10,14,16,20,22,25,26,28,32,34,35,38,40,44}, 0)))), 0)</f>
        <v>4</v>
      </c>
      <c r="DB21" s="3" cm="1">
        <f t="array" ref="DB21">IFERROR(COUNT(_xlfn._xlws.FILTER(CH21:CL21, ISNUMBER(MATCH(CH21:CL21, {6,9,12,15,18,21,24,27,30,33,36,39,42,45}, 0)))), 0)</f>
        <v>0</v>
      </c>
      <c r="DC21" s="29"/>
      <c r="DD21" s="28" t="e">
        <f>#REF!</f>
        <v>#REF!</v>
      </c>
      <c r="DE21" s="28" t="e">
        <f>#REF!*2</f>
        <v>#REF!</v>
      </c>
      <c r="DF21" s="28" t="e">
        <f>#REF!</f>
        <v>#REF!</v>
      </c>
      <c r="DG21" s="28" t="e">
        <f>#REF!*2</f>
        <v>#REF!</v>
      </c>
      <c r="DH21" s="28" t="e">
        <f>#REF!</f>
        <v>#REF!</v>
      </c>
      <c r="DI21" s="28" t="e">
        <f>#REF!*2</f>
        <v>#REF!</v>
      </c>
      <c r="DJ21" s="28" t="e">
        <f>#REF!</f>
        <v>#REF!</v>
      </c>
      <c r="DK21" s="28" t="e">
        <f>#REF!*2</f>
        <v>#REF!</v>
      </c>
      <c r="DL21" s="28" t="e">
        <f>#REF!</f>
        <v>#REF!</v>
      </c>
      <c r="DM21" s="28" t="e">
        <f>#REF!*2</f>
        <v>#REF!</v>
      </c>
      <c r="DN21" s="27"/>
      <c r="DO21" s="26"/>
      <c r="DP21" s="26"/>
      <c r="DQ21" s="26"/>
      <c r="DR21" s="26"/>
      <c r="DS21" s="26"/>
      <c r="DT21" s="25"/>
    </row>
    <row r="22" spans="2:124" x14ac:dyDescent="0.3">
      <c r="B22" s="3">
        <v>10</v>
      </c>
      <c r="C22" s="3">
        <v>12</v>
      </c>
      <c r="D22" s="3">
        <v>29</v>
      </c>
      <c r="E22" s="3">
        <v>31</v>
      </c>
      <c r="F22" s="3">
        <v>40</v>
      </c>
      <c r="G22" s="3">
        <v>44</v>
      </c>
      <c r="H22" s="32"/>
      <c r="I22" s="3">
        <f t="shared" si="0"/>
        <v>2</v>
      </c>
      <c r="J22" s="3">
        <f t="shared" si="1"/>
        <v>2</v>
      </c>
      <c r="K22" s="3">
        <f t="shared" si="2"/>
        <v>1</v>
      </c>
      <c r="L22" s="3">
        <f t="shared" si="3"/>
        <v>1</v>
      </c>
      <c r="M22" s="3">
        <f t="shared" si="4"/>
        <v>2</v>
      </c>
      <c r="N22" s="3">
        <f t="shared" si="5"/>
        <v>2</v>
      </c>
      <c r="O22" s="32"/>
      <c r="P22" s="3" cm="1">
        <f t="array" ref="P22">SUMPRODUCT(--(MOD(B22:G22,2)=1))</f>
        <v>2</v>
      </c>
      <c r="Q22" s="3">
        <f t="shared" si="6"/>
        <v>4</v>
      </c>
      <c r="R22" s="34"/>
      <c r="S22" s="3">
        <f t="shared" si="7"/>
        <v>2</v>
      </c>
      <c r="T22" s="3">
        <f t="shared" si="8"/>
        <v>4</v>
      </c>
      <c r="U22" s="34"/>
      <c r="V22" s="3" cm="1">
        <f t="array" ref="V22">SUMPRODUCT(--(MOD(B22:G22,10)&gt;=1), --(MOD(B22:G22,10)&lt;=5))</f>
        <v>3</v>
      </c>
      <c r="W22" s="3">
        <f t="shared" si="9"/>
        <v>3</v>
      </c>
      <c r="X22" s="34"/>
      <c r="Y22" s="3" cm="1">
        <f t="array" ref="Y22">IFERROR(COUNT(_xlfn._xlws.FILTER(B22:G22, ISNUMBER(MATCH(B22:G22, {2,3,5,7,11,13,17,19,23,29,31,37,41,43}, 0)))), 0)</f>
        <v>2</v>
      </c>
      <c r="Z22" s="3" cm="1">
        <f t="array" ref="Z22">IFERROR(COUNT(_xlfn._xlws.FILTER(B22:G22, ISNUMBER(MATCH(B22:G22, {1,4,8,10,14,16,20,22,25,26,28,32,34,35,38,40,44}, 0)))), 0)</f>
        <v>3</v>
      </c>
      <c r="AA22" s="3" cm="1">
        <f t="array" ref="AA22">IFERROR(COUNT(_xlfn._xlws.FILTER(B22:G22, ISNUMBER(MATCH(B22:G22, {6,9,12,15,18,21,24,27,30,33,36,39,42,45}, 0)))), 0)</f>
        <v>1</v>
      </c>
      <c r="AB22" s="30"/>
      <c r="AC22" s="26"/>
      <c r="AD22" s="26"/>
      <c r="AE22" s="26"/>
      <c r="AF22" s="26"/>
      <c r="AG22" s="26"/>
      <c r="AH22" s="26"/>
      <c r="AI22" s="30"/>
      <c r="AJ22" s="3">
        <f t="shared" si="10"/>
        <v>2</v>
      </c>
      <c r="AK22" s="3">
        <f t="shared" si="11"/>
        <v>2</v>
      </c>
      <c r="AL22" s="3">
        <f t="shared" si="12"/>
        <v>2</v>
      </c>
      <c r="AM22" s="33"/>
      <c r="AN22" s="3">
        <f t="shared" si="13"/>
        <v>0</v>
      </c>
      <c r="AO22" s="3">
        <f t="shared" si="14"/>
        <v>2</v>
      </c>
      <c r="AP22" s="3">
        <f t="shared" si="15"/>
        <v>0</v>
      </c>
      <c r="AQ22" s="3">
        <f t="shared" si="16"/>
        <v>2</v>
      </c>
      <c r="AR22" s="3">
        <f t="shared" si="17"/>
        <v>2</v>
      </c>
      <c r="AS22" s="28" t="e">
        <f>#REF!</f>
        <v>#REF!</v>
      </c>
      <c r="AT22" s="28" t="e">
        <f>#REF!*2</f>
        <v>#REF!</v>
      </c>
      <c r="AU22" s="28" t="e">
        <f>#REF!</f>
        <v>#REF!</v>
      </c>
      <c r="AV22" s="28" t="e">
        <f>#REF!*2</f>
        <v>#REF!</v>
      </c>
      <c r="AW22" s="28" t="e">
        <f>#REF!</f>
        <v>#REF!</v>
      </c>
      <c r="AX22" s="28" t="e">
        <f>#REF!*2</f>
        <v>#REF!</v>
      </c>
      <c r="AY22" s="28" t="e">
        <f>#REF!</f>
        <v>#REF!</v>
      </c>
      <c r="AZ22" s="28" t="e">
        <f>#REF!*2</f>
        <v>#REF!</v>
      </c>
      <c r="BA22" s="28" t="e">
        <f>#REF!</f>
        <v>#REF!</v>
      </c>
      <c r="BB22" s="28" t="e">
        <f>#REF!*2</f>
        <v>#REF!</v>
      </c>
      <c r="BC22" s="28" t="e">
        <f>#REF!</f>
        <v>#REF!</v>
      </c>
      <c r="BD22" s="28" t="e">
        <f>#REF!*2</f>
        <v>#REF!</v>
      </c>
      <c r="BE22" s="9" t="e">
        <f>#REF!-#REF!</f>
        <v>#REF!</v>
      </c>
      <c r="BF22" s="9" t="e">
        <f>#REF!-#REF!</f>
        <v>#REF!</v>
      </c>
      <c r="BG22" s="9" t="e">
        <f>#REF!-#REF!</f>
        <v>#REF!</v>
      </c>
      <c r="BH22" s="9" t="e">
        <f>#REF!-#REF!</f>
        <v>#REF!</v>
      </c>
      <c r="BI22" s="9" t="e">
        <f>#REF!-#REF!</f>
        <v>#REF!</v>
      </c>
      <c r="BJ22" s="33"/>
      <c r="BK22" s="3">
        <f t="shared" si="18"/>
        <v>0</v>
      </c>
      <c r="BL22" s="3">
        <f t="shared" si="19"/>
        <v>2</v>
      </c>
      <c r="BM22" s="3">
        <f t="shared" si="20"/>
        <v>1</v>
      </c>
      <c r="BN22" s="3">
        <f t="shared" si="21"/>
        <v>1</v>
      </c>
      <c r="BO22" s="3">
        <f t="shared" si="22"/>
        <v>2</v>
      </c>
      <c r="BP22" s="28" t="e">
        <f>#REF!</f>
        <v>#REF!</v>
      </c>
      <c r="BQ22" s="28" t="e">
        <f>#REF!*2</f>
        <v>#REF!</v>
      </c>
      <c r="BR22" s="28" t="e">
        <f>#REF!</f>
        <v>#REF!</v>
      </c>
      <c r="BS22" s="28" t="e">
        <f>#REF!*2</f>
        <v>#REF!</v>
      </c>
      <c r="BT22" s="28" t="e">
        <f>#REF!</f>
        <v>#REF!</v>
      </c>
      <c r="BU22" s="28" t="e">
        <f>#REF!*2</f>
        <v>#REF!</v>
      </c>
      <c r="BV22" s="28" t="e">
        <f>#REF!</f>
        <v>#REF!</v>
      </c>
      <c r="BW22" s="28" t="e">
        <f>#REF!*2</f>
        <v>#REF!</v>
      </c>
      <c r="BX22" s="28" t="e">
        <f>#REF!</f>
        <v>#REF!</v>
      </c>
      <c r="BY22" s="28" t="e">
        <f>#REF!*2</f>
        <v>#REF!</v>
      </c>
      <c r="BZ22" s="28" t="e">
        <f>#REF!</f>
        <v>#REF!</v>
      </c>
      <c r="CA22" s="28" t="e">
        <f>#REF!*2</f>
        <v>#REF!</v>
      </c>
      <c r="CB22" s="9">
        <f t="shared" si="23"/>
        <v>2</v>
      </c>
      <c r="CC22" s="9">
        <f t="shared" si="24"/>
        <v>17</v>
      </c>
      <c r="CD22" s="9">
        <f t="shared" si="25"/>
        <v>2</v>
      </c>
      <c r="CE22" s="9">
        <f t="shared" si="26"/>
        <v>9</v>
      </c>
      <c r="CF22" s="9">
        <f t="shared" si="27"/>
        <v>4</v>
      </c>
      <c r="CG22" s="33"/>
      <c r="CH22" s="9">
        <f t="shared" si="28"/>
        <v>2</v>
      </c>
      <c r="CI22" s="9">
        <f t="shared" si="29"/>
        <v>17</v>
      </c>
      <c r="CJ22" s="9">
        <f t="shared" si="30"/>
        <v>2</v>
      </c>
      <c r="CK22" s="9">
        <f t="shared" si="31"/>
        <v>9</v>
      </c>
      <c r="CL22" s="9">
        <f t="shared" si="32"/>
        <v>4</v>
      </c>
      <c r="CM22" s="32"/>
      <c r="CN22" s="3">
        <f t="shared" si="33"/>
        <v>2</v>
      </c>
      <c r="CO22" s="3">
        <f t="shared" si="34"/>
        <v>1</v>
      </c>
      <c r="CP22" s="3">
        <f t="shared" si="35"/>
        <v>2</v>
      </c>
      <c r="CQ22" s="3">
        <f t="shared" si="36"/>
        <v>1</v>
      </c>
      <c r="CR22" s="3">
        <f t="shared" si="37"/>
        <v>2</v>
      </c>
      <c r="CS22" s="31"/>
      <c r="CT22" s="3" cm="1">
        <f t="array" ref="CT22">SUMPRODUCT(--(MOD(CH22:CL22,2)=1))</f>
        <v>2</v>
      </c>
      <c r="CU22" s="3">
        <f t="shared" si="38"/>
        <v>3</v>
      </c>
      <c r="CV22" s="30"/>
      <c r="CW22" s="3" cm="1">
        <f t="array" ref="CW22">SUMPRODUCT(--(MOD(CH22:CL22,10)&gt;=1), --(MOD(CH22:CL22,10)&lt;=5))</f>
        <v>3</v>
      </c>
      <c r="CX22" s="3">
        <f t="shared" si="39"/>
        <v>2</v>
      </c>
      <c r="CY22" s="30"/>
      <c r="CZ22" s="3" cm="1">
        <f t="array" ref="CZ22">IFERROR(COUNT(_xlfn._xlws.FILTER(CH22:CL22, ISNUMBER(MATCH(CH22:CL22, {2,3,5,7,11,13,17,19,23,29,31,37,41,43}, 0)))), 0)</f>
        <v>3</v>
      </c>
      <c r="DA22" s="3" cm="1">
        <f t="array" ref="DA22">IFERROR(COUNT(_xlfn._xlws.FILTER(CH22:CL22, ISNUMBER(MATCH(CH22:CL22, {1,4,8,10,14,16,20,22,25,26,28,32,34,35,38,40,44}, 0)))), 0)</f>
        <v>1</v>
      </c>
      <c r="DB22" s="3" cm="1">
        <f t="array" ref="DB22">IFERROR(COUNT(_xlfn._xlws.FILTER(CH22:CL22, ISNUMBER(MATCH(CH22:CL22, {6,9,12,15,18,21,24,27,30,33,36,39,42,45}, 0)))), 0)</f>
        <v>1</v>
      </c>
      <c r="DC22" s="29"/>
      <c r="DD22" s="28" t="e">
        <f>#REF!</f>
        <v>#REF!</v>
      </c>
      <c r="DE22" s="28" t="e">
        <f>#REF!*2</f>
        <v>#REF!</v>
      </c>
      <c r="DF22" s="28" t="e">
        <f>#REF!</f>
        <v>#REF!</v>
      </c>
      <c r="DG22" s="28" t="e">
        <f>#REF!*2</f>
        <v>#REF!</v>
      </c>
      <c r="DH22" s="28" t="e">
        <f>#REF!</f>
        <v>#REF!</v>
      </c>
      <c r="DI22" s="28" t="e">
        <f>#REF!*2</f>
        <v>#REF!</v>
      </c>
      <c r="DJ22" s="28" t="e">
        <f>#REF!</f>
        <v>#REF!</v>
      </c>
      <c r="DK22" s="28" t="e">
        <f>#REF!*2</f>
        <v>#REF!</v>
      </c>
      <c r="DL22" s="28" t="e">
        <f>#REF!</f>
        <v>#REF!</v>
      </c>
      <c r="DM22" s="28" t="e">
        <f>#REF!*2</f>
        <v>#REF!</v>
      </c>
      <c r="DN22" s="27"/>
      <c r="DO22" s="26"/>
      <c r="DP22" s="26"/>
      <c r="DQ22" s="26"/>
      <c r="DR22" s="26"/>
      <c r="DS22" s="26"/>
      <c r="DT22" s="25"/>
    </row>
    <row r="23" spans="2:124" x14ac:dyDescent="0.3">
      <c r="B23" s="3">
        <v>1</v>
      </c>
      <c r="C23" s="3">
        <v>7</v>
      </c>
      <c r="D23" s="3">
        <v>21</v>
      </c>
      <c r="E23" s="3">
        <v>30</v>
      </c>
      <c r="F23" s="3">
        <v>35</v>
      </c>
      <c r="G23" s="3">
        <v>38</v>
      </c>
      <c r="H23" s="32"/>
      <c r="I23" s="3">
        <f t="shared" si="0"/>
        <v>1</v>
      </c>
      <c r="J23" s="3">
        <f t="shared" si="1"/>
        <v>1</v>
      </c>
      <c r="K23" s="3">
        <f t="shared" si="2"/>
        <v>1</v>
      </c>
      <c r="L23" s="3">
        <f t="shared" si="3"/>
        <v>2</v>
      </c>
      <c r="M23" s="3">
        <f t="shared" si="4"/>
        <v>1</v>
      </c>
      <c r="N23" s="3">
        <f t="shared" si="5"/>
        <v>2</v>
      </c>
      <c r="O23" s="32"/>
      <c r="P23" s="3" cm="1">
        <f t="array" ref="P23">SUMPRODUCT(--(MOD(B23:G23,2)=1))</f>
        <v>4</v>
      </c>
      <c r="Q23" s="3">
        <f t="shared" si="6"/>
        <v>2</v>
      </c>
      <c r="R23" s="34"/>
      <c r="S23" s="3">
        <f t="shared" si="7"/>
        <v>3</v>
      </c>
      <c r="T23" s="3">
        <f t="shared" si="8"/>
        <v>3</v>
      </c>
      <c r="U23" s="34"/>
      <c r="V23" s="3" cm="1">
        <f t="array" ref="V23">SUMPRODUCT(--(MOD(B23:G23,10)&gt;=1), --(MOD(B23:G23,10)&lt;=5))</f>
        <v>3</v>
      </c>
      <c r="W23" s="3">
        <f t="shared" si="9"/>
        <v>3</v>
      </c>
      <c r="X23" s="34"/>
      <c r="Y23" s="3" cm="1">
        <f t="array" ref="Y23">IFERROR(COUNT(_xlfn._xlws.FILTER(B23:G23, ISNUMBER(MATCH(B23:G23, {2,3,5,7,11,13,17,19,23,29,31,37,41,43}, 0)))), 0)</f>
        <v>1</v>
      </c>
      <c r="Z23" s="3" cm="1">
        <f t="array" ref="Z23">IFERROR(COUNT(_xlfn._xlws.FILTER(B23:G23, ISNUMBER(MATCH(B23:G23, {1,4,8,10,14,16,20,22,25,26,28,32,34,35,38,40,44}, 0)))), 0)</f>
        <v>3</v>
      </c>
      <c r="AA23" s="3" cm="1">
        <f t="array" ref="AA23">IFERROR(COUNT(_xlfn._xlws.FILTER(B23:G23, ISNUMBER(MATCH(B23:G23, {6,9,12,15,18,21,24,27,30,33,36,39,42,45}, 0)))), 0)</f>
        <v>2</v>
      </c>
      <c r="AB23" s="30"/>
      <c r="AC23" s="26"/>
      <c r="AD23" s="26"/>
      <c r="AE23" s="26"/>
      <c r="AF23" s="26"/>
      <c r="AG23" s="26"/>
      <c r="AH23" s="26"/>
      <c r="AI23" s="30"/>
      <c r="AJ23" s="3">
        <f t="shared" si="10"/>
        <v>2</v>
      </c>
      <c r="AK23" s="3">
        <f t="shared" si="11"/>
        <v>2</v>
      </c>
      <c r="AL23" s="3">
        <f t="shared" si="12"/>
        <v>2</v>
      </c>
      <c r="AM23" s="33"/>
      <c r="AN23" s="3">
        <f t="shared" si="13"/>
        <v>2</v>
      </c>
      <c r="AO23" s="3">
        <f t="shared" si="14"/>
        <v>0</v>
      </c>
      <c r="AP23" s="3">
        <f t="shared" si="15"/>
        <v>1</v>
      </c>
      <c r="AQ23" s="3">
        <f t="shared" si="16"/>
        <v>2</v>
      </c>
      <c r="AR23" s="3">
        <f t="shared" si="17"/>
        <v>1</v>
      </c>
      <c r="AS23" s="28" t="e">
        <f>#REF!</f>
        <v>#REF!</v>
      </c>
      <c r="AT23" s="28" t="e">
        <f>#REF!*2</f>
        <v>#REF!</v>
      </c>
      <c r="AU23" s="28" t="e">
        <f>#REF!</f>
        <v>#REF!</v>
      </c>
      <c r="AV23" s="28" t="e">
        <f>#REF!*2</f>
        <v>#REF!</v>
      </c>
      <c r="AW23" s="28" t="e">
        <f>#REF!</f>
        <v>#REF!</v>
      </c>
      <c r="AX23" s="28" t="e">
        <f>#REF!*2</f>
        <v>#REF!</v>
      </c>
      <c r="AY23" s="28" t="e">
        <f>#REF!</f>
        <v>#REF!</v>
      </c>
      <c r="AZ23" s="28" t="e">
        <f>#REF!*2</f>
        <v>#REF!</v>
      </c>
      <c r="BA23" s="28" t="e">
        <f>#REF!</f>
        <v>#REF!</v>
      </c>
      <c r="BB23" s="28" t="e">
        <f>#REF!*2</f>
        <v>#REF!</v>
      </c>
      <c r="BC23" s="28" t="e">
        <f>#REF!</f>
        <v>#REF!</v>
      </c>
      <c r="BD23" s="28" t="e">
        <f>#REF!*2</f>
        <v>#REF!</v>
      </c>
      <c r="BE23" s="9" t="e">
        <f>#REF!-#REF!</f>
        <v>#REF!</v>
      </c>
      <c r="BF23" s="9" t="e">
        <f>#REF!-#REF!</f>
        <v>#REF!</v>
      </c>
      <c r="BG23" s="9" t="e">
        <f>#REF!-#REF!</f>
        <v>#REF!</v>
      </c>
      <c r="BH23" s="9" t="e">
        <f>#REF!-#REF!</f>
        <v>#REF!</v>
      </c>
      <c r="BI23" s="9" t="e">
        <f>#REF!-#REF!</f>
        <v>#REF!</v>
      </c>
      <c r="BJ23" s="33"/>
      <c r="BK23" s="3">
        <f t="shared" si="18"/>
        <v>2</v>
      </c>
      <c r="BL23" s="3">
        <f t="shared" si="19"/>
        <v>0</v>
      </c>
      <c r="BM23" s="3">
        <f t="shared" si="20"/>
        <v>1</v>
      </c>
      <c r="BN23" s="3">
        <f t="shared" si="21"/>
        <v>3</v>
      </c>
      <c r="BO23" s="3">
        <f t="shared" si="22"/>
        <v>0</v>
      </c>
      <c r="BP23" s="28" t="e">
        <f>#REF!</f>
        <v>#REF!</v>
      </c>
      <c r="BQ23" s="28" t="e">
        <f>#REF!*2</f>
        <v>#REF!</v>
      </c>
      <c r="BR23" s="28" t="e">
        <f>#REF!</f>
        <v>#REF!</v>
      </c>
      <c r="BS23" s="28" t="e">
        <f>#REF!*2</f>
        <v>#REF!</v>
      </c>
      <c r="BT23" s="28" t="e">
        <f>#REF!</f>
        <v>#REF!</v>
      </c>
      <c r="BU23" s="28" t="e">
        <f>#REF!*2</f>
        <v>#REF!</v>
      </c>
      <c r="BV23" s="28" t="e">
        <f>#REF!</f>
        <v>#REF!</v>
      </c>
      <c r="BW23" s="28" t="e">
        <f>#REF!*2</f>
        <v>#REF!</v>
      </c>
      <c r="BX23" s="28" t="e">
        <f>#REF!</f>
        <v>#REF!</v>
      </c>
      <c r="BY23" s="28" t="e">
        <f>#REF!*2</f>
        <v>#REF!</v>
      </c>
      <c r="BZ23" s="28" t="e">
        <f>#REF!</f>
        <v>#REF!</v>
      </c>
      <c r="CA23" s="28" t="e">
        <f>#REF!*2</f>
        <v>#REF!</v>
      </c>
      <c r="CB23" s="9">
        <f t="shared" si="23"/>
        <v>6</v>
      </c>
      <c r="CC23" s="9">
        <f t="shared" si="24"/>
        <v>14</v>
      </c>
      <c r="CD23" s="9">
        <f t="shared" si="25"/>
        <v>9</v>
      </c>
      <c r="CE23" s="9">
        <f t="shared" si="26"/>
        <v>5</v>
      </c>
      <c r="CF23" s="9">
        <f t="shared" si="27"/>
        <v>3</v>
      </c>
      <c r="CG23" s="33"/>
      <c r="CH23" s="9">
        <f t="shared" si="28"/>
        <v>6</v>
      </c>
      <c r="CI23" s="9">
        <f t="shared" si="29"/>
        <v>14</v>
      </c>
      <c r="CJ23" s="9">
        <f t="shared" si="30"/>
        <v>9</v>
      </c>
      <c r="CK23" s="9">
        <f t="shared" si="31"/>
        <v>5</v>
      </c>
      <c r="CL23" s="9">
        <f t="shared" si="32"/>
        <v>3</v>
      </c>
      <c r="CM23" s="32"/>
      <c r="CN23" s="3">
        <f t="shared" si="33"/>
        <v>2</v>
      </c>
      <c r="CO23" s="3">
        <f t="shared" si="34"/>
        <v>2</v>
      </c>
      <c r="CP23" s="3">
        <f t="shared" si="35"/>
        <v>1</v>
      </c>
      <c r="CQ23" s="3">
        <f t="shared" si="36"/>
        <v>1</v>
      </c>
      <c r="CR23" s="3">
        <f t="shared" si="37"/>
        <v>1</v>
      </c>
      <c r="CS23" s="31"/>
      <c r="CT23" s="3" cm="1">
        <f t="array" ref="CT23">SUMPRODUCT(--(MOD(CH23:CL23,2)=1))</f>
        <v>3</v>
      </c>
      <c r="CU23" s="3">
        <f t="shared" si="38"/>
        <v>2</v>
      </c>
      <c r="CV23" s="30"/>
      <c r="CW23" s="3" cm="1">
        <f t="array" ref="CW23">SUMPRODUCT(--(MOD(CH23:CL23,10)&gt;=1), --(MOD(CH23:CL23,10)&lt;=5))</f>
        <v>3</v>
      </c>
      <c r="CX23" s="3">
        <f t="shared" si="39"/>
        <v>2</v>
      </c>
      <c r="CY23" s="30"/>
      <c r="CZ23" s="3" cm="1">
        <f t="array" ref="CZ23">IFERROR(COUNT(_xlfn._xlws.FILTER(CH23:CL23, ISNUMBER(MATCH(CH23:CL23, {2,3,5,7,11,13,17,19,23,29,31,37,41,43}, 0)))), 0)</f>
        <v>2</v>
      </c>
      <c r="DA23" s="3" cm="1">
        <f t="array" ref="DA23">IFERROR(COUNT(_xlfn._xlws.FILTER(CH23:CL23, ISNUMBER(MATCH(CH23:CL23, {1,4,8,10,14,16,20,22,25,26,28,32,34,35,38,40,44}, 0)))), 0)</f>
        <v>1</v>
      </c>
      <c r="DB23" s="3" cm="1">
        <f t="array" ref="DB23">IFERROR(COUNT(_xlfn._xlws.FILTER(CH23:CL23, ISNUMBER(MATCH(CH23:CL23, {6,9,12,15,18,21,24,27,30,33,36,39,42,45}, 0)))), 0)</f>
        <v>2</v>
      </c>
      <c r="DC23" s="29"/>
      <c r="DD23" s="28" t="e">
        <f>#REF!</f>
        <v>#REF!</v>
      </c>
      <c r="DE23" s="28" t="e">
        <f>#REF!*2</f>
        <v>#REF!</v>
      </c>
      <c r="DF23" s="28" t="e">
        <f>#REF!</f>
        <v>#REF!</v>
      </c>
      <c r="DG23" s="28" t="e">
        <f>#REF!*2</f>
        <v>#REF!</v>
      </c>
      <c r="DH23" s="28" t="e">
        <f>#REF!</f>
        <v>#REF!</v>
      </c>
      <c r="DI23" s="28" t="e">
        <f>#REF!*2</f>
        <v>#REF!</v>
      </c>
      <c r="DJ23" s="28" t="e">
        <f>#REF!</f>
        <v>#REF!</v>
      </c>
      <c r="DK23" s="28" t="e">
        <f>#REF!*2</f>
        <v>#REF!</v>
      </c>
      <c r="DL23" s="28" t="e">
        <f>#REF!</f>
        <v>#REF!</v>
      </c>
      <c r="DM23" s="28" t="e">
        <f>#REF!*2</f>
        <v>#REF!</v>
      </c>
      <c r="DN23" s="27"/>
      <c r="DO23" s="26"/>
      <c r="DP23" s="26"/>
      <c r="DQ23" s="26"/>
      <c r="DR23" s="26"/>
      <c r="DS23" s="26"/>
      <c r="DT23" s="25"/>
    </row>
    <row r="24" spans="2:124" x14ac:dyDescent="0.3">
      <c r="B24" s="3">
        <v>6</v>
      </c>
      <c r="C24" s="3">
        <v>16</v>
      </c>
      <c r="D24" s="3">
        <v>34</v>
      </c>
      <c r="E24" s="3">
        <v>37</v>
      </c>
      <c r="F24" s="3">
        <v>39</v>
      </c>
      <c r="G24" s="3">
        <v>40</v>
      </c>
      <c r="H24" s="32"/>
      <c r="I24" s="3">
        <f t="shared" si="0"/>
        <v>2</v>
      </c>
      <c r="J24" s="3">
        <f t="shared" si="1"/>
        <v>2</v>
      </c>
      <c r="K24" s="3">
        <f t="shared" si="2"/>
        <v>2</v>
      </c>
      <c r="L24" s="3">
        <f t="shared" si="3"/>
        <v>1</v>
      </c>
      <c r="M24" s="3">
        <f t="shared" si="4"/>
        <v>1</v>
      </c>
      <c r="N24" s="3">
        <f t="shared" si="5"/>
        <v>2</v>
      </c>
      <c r="O24" s="32"/>
      <c r="P24" s="3" cm="1">
        <f t="array" ref="P24">SUMPRODUCT(--(MOD(B24:G24,2)=1))</f>
        <v>2</v>
      </c>
      <c r="Q24" s="3">
        <f t="shared" si="6"/>
        <v>4</v>
      </c>
      <c r="R24" s="34"/>
      <c r="S24" s="3">
        <f t="shared" si="7"/>
        <v>2</v>
      </c>
      <c r="T24" s="3">
        <f t="shared" si="8"/>
        <v>4</v>
      </c>
      <c r="U24" s="34"/>
      <c r="V24" s="3" cm="1">
        <f t="array" ref="V24">SUMPRODUCT(--(MOD(B24:G24,10)&gt;=1), --(MOD(B24:G24,10)&lt;=5))</f>
        <v>1</v>
      </c>
      <c r="W24" s="3">
        <f t="shared" si="9"/>
        <v>5</v>
      </c>
      <c r="X24" s="34"/>
      <c r="Y24" s="3" cm="1">
        <f t="array" ref="Y24">IFERROR(COUNT(_xlfn._xlws.FILTER(B24:G24, ISNUMBER(MATCH(B24:G24, {2,3,5,7,11,13,17,19,23,29,31,37,41,43}, 0)))), 0)</f>
        <v>1</v>
      </c>
      <c r="Z24" s="3" cm="1">
        <f t="array" ref="Z24">IFERROR(COUNT(_xlfn._xlws.FILTER(B24:G24, ISNUMBER(MATCH(B24:G24, {1,4,8,10,14,16,20,22,25,26,28,32,34,35,38,40,44}, 0)))), 0)</f>
        <v>3</v>
      </c>
      <c r="AA24" s="3" cm="1">
        <f t="array" ref="AA24">IFERROR(COUNT(_xlfn._xlws.FILTER(B24:G24, ISNUMBER(MATCH(B24:G24, {6,9,12,15,18,21,24,27,30,33,36,39,42,45}, 0)))), 0)</f>
        <v>2</v>
      </c>
      <c r="AB24" s="30"/>
      <c r="AC24" s="26"/>
      <c r="AD24" s="26"/>
      <c r="AE24" s="26"/>
      <c r="AF24" s="26"/>
      <c r="AG24" s="26"/>
      <c r="AH24" s="26"/>
      <c r="AI24" s="30"/>
      <c r="AJ24" s="3">
        <f t="shared" si="10"/>
        <v>1</v>
      </c>
      <c r="AK24" s="3">
        <f t="shared" si="11"/>
        <v>1</v>
      </c>
      <c r="AL24" s="3">
        <f t="shared" si="12"/>
        <v>4</v>
      </c>
      <c r="AM24" s="33"/>
      <c r="AN24" s="3">
        <f t="shared" si="13"/>
        <v>1</v>
      </c>
      <c r="AO24" s="3">
        <f t="shared" si="14"/>
        <v>1</v>
      </c>
      <c r="AP24" s="3">
        <f t="shared" si="15"/>
        <v>0</v>
      </c>
      <c r="AQ24" s="3">
        <f t="shared" si="16"/>
        <v>1</v>
      </c>
      <c r="AR24" s="3">
        <f t="shared" si="17"/>
        <v>3</v>
      </c>
      <c r="AS24" s="28" t="e">
        <f>#REF!</f>
        <v>#REF!</v>
      </c>
      <c r="AT24" s="28" t="e">
        <f>#REF!*2</f>
        <v>#REF!</v>
      </c>
      <c r="AU24" s="28" t="e">
        <f>#REF!</f>
        <v>#REF!</v>
      </c>
      <c r="AV24" s="28" t="e">
        <f>#REF!*2</f>
        <v>#REF!</v>
      </c>
      <c r="AW24" s="28" t="e">
        <f>#REF!</f>
        <v>#REF!</v>
      </c>
      <c r="AX24" s="28" t="e">
        <f>#REF!*2</f>
        <v>#REF!</v>
      </c>
      <c r="AY24" s="28" t="e">
        <f>#REF!</f>
        <v>#REF!</v>
      </c>
      <c r="AZ24" s="28" t="e">
        <f>#REF!*2</f>
        <v>#REF!</v>
      </c>
      <c r="BA24" s="28" t="e">
        <f>#REF!</f>
        <v>#REF!</v>
      </c>
      <c r="BB24" s="28" t="e">
        <f>#REF!*2</f>
        <v>#REF!</v>
      </c>
      <c r="BC24" s="28" t="e">
        <f>#REF!</f>
        <v>#REF!</v>
      </c>
      <c r="BD24" s="28" t="e">
        <f>#REF!*2</f>
        <v>#REF!</v>
      </c>
      <c r="BE24" s="9" t="e">
        <f>#REF!-#REF!</f>
        <v>#REF!</v>
      </c>
      <c r="BF24" s="9" t="e">
        <f>#REF!-#REF!</f>
        <v>#REF!</v>
      </c>
      <c r="BG24" s="9" t="e">
        <f>#REF!-#REF!</f>
        <v>#REF!</v>
      </c>
      <c r="BH24" s="9" t="e">
        <f>#REF!-#REF!</f>
        <v>#REF!</v>
      </c>
      <c r="BI24" s="9" t="e">
        <f>#REF!-#REF!</f>
        <v>#REF!</v>
      </c>
      <c r="BJ24" s="33"/>
      <c r="BK24" s="3">
        <f t="shared" si="18"/>
        <v>1</v>
      </c>
      <c r="BL24" s="3">
        <f t="shared" si="19"/>
        <v>1</v>
      </c>
      <c r="BM24" s="3">
        <f t="shared" si="20"/>
        <v>0</v>
      </c>
      <c r="BN24" s="3">
        <f t="shared" si="21"/>
        <v>3</v>
      </c>
      <c r="BO24" s="3">
        <f t="shared" si="22"/>
        <v>1</v>
      </c>
      <c r="BP24" s="28" t="e">
        <f>#REF!</f>
        <v>#REF!</v>
      </c>
      <c r="BQ24" s="28" t="e">
        <f>#REF!*2</f>
        <v>#REF!</v>
      </c>
      <c r="BR24" s="28" t="e">
        <f>#REF!</f>
        <v>#REF!</v>
      </c>
      <c r="BS24" s="28" t="e">
        <f>#REF!*2</f>
        <v>#REF!</v>
      </c>
      <c r="BT24" s="28" t="e">
        <f>#REF!</f>
        <v>#REF!</v>
      </c>
      <c r="BU24" s="28" t="e">
        <f>#REF!*2</f>
        <v>#REF!</v>
      </c>
      <c r="BV24" s="28" t="e">
        <f>#REF!</f>
        <v>#REF!</v>
      </c>
      <c r="BW24" s="28" t="e">
        <f>#REF!*2</f>
        <v>#REF!</v>
      </c>
      <c r="BX24" s="28" t="e">
        <f>#REF!</f>
        <v>#REF!</v>
      </c>
      <c r="BY24" s="28" t="e">
        <f>#REF!*2</f>
        <v>#REF!</v>
      </c>
      <c r="BZ24" s="28" t="e">
        <f>#REF!</f>
        <v>#REF!</v>
      </c>
      <c r="CA24" s="28" t="e">
        <f>#REF!*2</f>
        <v>#REF!</v>
      </c>
      <c r="CB24" s="9">
        <f t="shared" si="23"/>
        <v>10</v>
      </c>
      <c r="CC24" s="9">
        <f t="shared" si="24"/>
        <v>18</v>
      </c>
      <c r="CD24" s="9">
        <f t="shared" si="25"/>
        <v>3</v>
      </c>
      <c r="CE24" s="9">
        <f t="shared" si="26"/>
        <v>2</v>
      </c>
      <c r="CF24" s="9">
        <f t="shared" si="27"/>
        <v>1</v>
      </c>
      <c r="CG24" s="33"/>
      <c r="CH24" s="9">
        <f t="shared" si="28"/>
        <v>10</v>
      </c>
      <c r="CI24" s="9">
        <f t="shared" si="29"/>
        <v>18</v>
      </c>
      <c r="CJ24" s="9">
        <f t="shared" si="30"/>
        <v>3</v>
      </c>
      <c r="CK24" s="9">
        <f t="shared" si="31"/>
        <v>2</v>
      </c>
      <c r="CL24" s="9">
        <f t="shared" si="32"/>
        <v>1</v>
      </c>
      <c r="CM24" s="32"/>
      <c r="CN24" s="3">
        <f t="shared" si="33"/>
        <v>2</v>
      </c>
      <c r="CO24" s="3">
        <f t="shared" si="34"/>
        <v>2</v>
      </c>
      <c r="CP24" s="3">
        <f t="shared" si="35"/>
        <v>1</v>
      </c>
      <c r="CQ24" s="3">
        <f t="shared" si="36"/>
        <v>2</v>
      </c>
      <c r="CR24" s="3">
        <f t="shared" si="37"/>
        <v>1</v>
      </c>
      <c r="CS24" s="31"/>
      <c r="CT24" s="3" cm="1">
        <f t="array" ref="CT24">SUMPRODUCT(--(MOD(CH24:CL24,2)=1))</f>
        <v>2</v>
      </c>
      <c r="CU24" s="3">
        <f t="shared" si="38"/>
        <v>3</v>
      </c>
      <c r="CV24" s="30"/>
      <c r="CW24" s="3" cm="1">
        <f t="array" ref="CW24">SUMPRODUCT(--(MOD(CH24:CL24,10)&gt;=1), --(MOD(CH24:CL24,10)&lt;=5))</f>
        <v>3</v>
      </c>
      <c r="CX24" s="3">
        <f t="shared" si="39"/>
        <v>2</v>
      </c>
      <c r="CY24" s="30"/>
      <c r="CZ24" s="3" cm="1">
        <f t="array" ref="CZ24">IFERROR(COUNT(_xlfn._xlws.FILTER(CH24:CL24, ISNUMBER(MATCH(CH24:CL24, {2,3,5,7,11,13,17,19,23,29,31,37,41,43}, 0)))), 0)</f>
        <v>2</v>
      </c>
      <c r="DA24" s="3" cm="1">
        <f t="array" ref="DA24">IFERROR(COUNT(_xlfn._xlws.FILTER(CH24:CL24, ISNUMBER(MATCH(CH24:CL24, {1,4,8,10,14,16,20,22,25,26,28,32,34,35,38,40,44}, 0)))), 0)</f>
        <v>2</v>
      </c>
      <c r="DB24" s="3" cm="1">
        <f t="array" ref="DB24">IFERROR(COUNT(_xlfn._xlws.FILTER(CH24:CL24, ISNUMBER(MATCH(CH24:CL24, {6,9,12,15,18,21,24,27,30,33,36,39,42,45}, 0)))), 0)</f>
        <v>1</v>
      </c>
      <c r="DC24" s="29"/>
      <c r="DD24" s="28" t="e">
        <f>#REF!</f>
        <v>#REF!</v>
      </c>
      <c r="DE24" s="28" t="e">
        <f>#REF!*2</f>
        <v>#REF!</v>
      </c>
      <c r="DF24" s="28" t="e">
        <f>#REF!</f>
        <v>#REF!</v>
      </c>
      <c r="DG24" s="28" t="e">
        <f>#REF!*2</f>
        <v>#REF!</v>
      </c>
      <c r="DH24" s="28" t="e">
        <f>#REF!</f>
        <v>#REF!</v>
      </c>
      <c r="DI24" s="28" t="e">
        <f>#REF!*2</f>
        <v>#REF!</v>
      </c>
      <c r="DJ24" s="28" t="e">
        <f>#REF!</f>
        <v>#REF!</v>
      </c>
      <c r="DK24" s="28" t="e">
        <f>#REF!*2</f>
        <v>#REF!</v>
      </c>
      <c r="DL24" s="28" t="e">
        <f>#REF!</f>
        <v>#REF!</v>
      </c>
      <c r="DM24" s="28" t="e">
        <f>#REF!*2</f>
        <v>#REF!</v>
      </c>
      <c r="DN24" s="27"/>
      <c r="DO24" s="26"/>
      <c r="DP24" s="26"/>
      <c r="DQ24" s="26"/>
      <c r="DR24" s="26"/>
      <c r="DS24" s="26"/>
      <c r="DT24" s="25"/>
    </row>
    <row r="25" spans="2:124" x14ac:dyDescent="0.3">
      <c r="B25" s="3">
        <v>1</v>
      </c>
      <c r="C25" s="3">
        <v>3</v>
      </c>
      <c r="D25" s="3">
        <v>4</v>
      </c>
      <c r="E25" s="3">
        <v>29</v>
      </c>
      <c r="F25" s="3">
        <v>42</v>
      </c>
      <c r="G25" s="3">
        <v>45</v>
      </c>
      <c r="H25" s="32"/>
      <c r="I25" s="3">
        <f t="shared" si="0"/>
        <v>1</v>
      </c>
      <c r="J25" s="3">
        <f t="shared" si="1"/>
        <v>1</v>
      </c>
      <c r="K25" s="3">
        <f t="shared" si="2"/>
        <v>2</v>
      </c>
      <c r="L25" s="3">
        <f t="shared" si="3"/>
        <v>1</v>
      </c>
      <c r="M25" s="3">
        <f t="shared" si="4"/>
        <v>2</v>
      </c>
      <c r="N25" s="3">
        <f t="shared" si="5"/>
        <v>1</v>
      </c>
      <c r="O25" s="32"/>
      <c r="P25" s="3" cm="1">
        <f t="array" ref="P25">SUMPRODUCT(--(MOD(B25:G25,2)=1))</f>
        <v>4</v>
      </c>
      <c r="Q25" s="3">
        <f t="shared" si="6"/>
        <v>2</v>
      </c>
      <c r="R25" s="34"/>
      <c r="S25" s="3">
        <f t="shared" si="7"/>
        <v>3</v>
      </c>
      <c r="T25" s="3">
        <f t="shared" si="8"/>
        <v>3</v>
      </c>
      <c r="U25" s="34"/>
      <c r="V25" s="3" cm="1">
        <f t="array" ref="V25">SUMPRODUCT(--(MOD(B25:G25,10)&gt;=1), --(MOD(B25:G25,10)&lt;=5))</f>
        <v>5</v>
      </c>
      <c r="W25" s="3">
        <f t="shared" si="9"/>
        <v>1</v>
      </c>
      <c r="X25" s="34"/>
      <c r="Y25" s="3" cm="1">
        <f t="array" ref="Y25">IFERROR(COUNT(_xlfn._xlws.FILTER(B25:G25, ISNUMBER(MATCH(B25:G25, {2,3,5,7,11,13,17,19,23,29,31,37,41,43}, 0)))), 0)</f>
        <v>2</v>
      </c>
      <c r="Z25" s="3" cm="1">
        <f t="array" ref="Z25">IFERROR(COUNT(_xlfn._xlws.FILTER(B25:G25, ISNUMBER(MATCH(B25:G25, {1,4,8,10,14,16,20,22,25,26,28,32,34,35,38,40,44}, 0)))), 0)</f>
        <v>2</v>
      </c>
      <c r="AA25" s="3" cm="1">
        <f t="array" ref="AA25">IFERROR(COUNT(_xlfn._xlws.FILTER(B25:G25, ISNUMBER(MATCH(B25:G25, {6,9,12,15,18,21,24,27,30,33,36,39,42,45}, 0)))), 0)</f>
        <v>2</v>
      </c>
      <c r="AB25" s="30"/>
      <c r="AC25" s="26"/>
      <c r="AD25" s="26"/>
      <c r="AE25" s="26"/>
      <c r="AF25" s="26"/>
      <c r="AG25" s="26"/>
      <c r="AH25" s="26"/>
      <c r="AI25" s="30"/>
      <c r="AJ25" s="3">
        <f t="shared" si="10"/>
        <v>3</v>
      </c>
      <c r="AK25" s="3">
        <f t="shared" si="11"/>
        <v>1</v>
      </c>
      <c r="AL25" s="3">
        <f t="shared" si="12"/>
        <v>2</v>
      </c>
      <c r="AM25" s="33"/>
      <c r="AN25" s="3">
        <f t="shared" si="13"/>
        <v>3</v>
      </c>
      <c r="AO25" s="3">
        <f t="shared" si="14"/>
        <v>0</v>
      </c>
      <c r="AP25" s="3">
        <f t="shared" si="15"/>
        <v>0</v>
      </c>
      <c r="AQ25" s="3">
        <f t="shared" si="16"/>
        <v>1</v>
      </c>
      <c r="AR25" s="3">
        <f t="shared" si="17"/>
        <v>2</v>
      </c>
      <c r="AS25" s="28" t="e">
        <f>#REF!</f>
        <v>#REF!</v>
      </c>
      <c r="AT25" s="28" t="e">
        <f>#REF!*2</f>
        <v>#REF!</v>
      </c>
      <c r="AU25" s="28" t="e">
        <f>#REF!</f>
        <v>#REF!</v>
      </c>
      <c r="AV25" s="28" t="e">
        <f>#REF!*2</f>
        <v>#REF!</v>
      </c>
      <c r="AW25" s="28" t="e">
        <f>#REF!</f>
        <v>#REF!</v>
      </c>
      <c r="AX25" s="28" t="e">
        <f>#REF!*2</f>
        <v>#REF!</v>
      </c>
      <c r="AY25" s="28" t="e">
        <f>#REF!</f>
        <v>#REF!</v>
      </c>
      <c r="AZ25" s="28" t="e">
        <f>#REF!*2</f>
        <v>#REF!</v>
      </c>
      <c r="BA25" s="28" t="e">
        <f>#REF!</f>
        <v>#REF!</v>
      </c>
      <c r="BB25" s="28" t="e">
        <f>#REF!*2</f>
        <v>#REF!</v>
      </c>
      <c r="BC25" s="28" t="e">
        <f>#REF!</f>
        <v>#REF!</v>
      </c>
      <c r="BD25" s="28" t="e">
        <f>#REF!*2</f>
        <v>#REF!</v>
      </c>
      <c r="BE25" s="9" t="e">
        <f>#REF!-#REF!</f>
        <v>#REF!</v>
      </c>
      <c r="BF25" s="9" t="e">
        <f>#REF!-#REF!</f>
        <v>#REF!</v>
      </c>
      <c r="BG25" s="9" t="e">
        <f>#REF!-#REF!</f>
        <v>#REF!</v>
      </c>
      <c r="BH25" s="9" t="e">
        <f>#REF!-#REF!</f>
        <v>#REF!</v>
      </c>
      <c r="BI25" s="9" t="e">
        <f>#REF!-#REF!</f>
        <v>#REF!</v>
      </c>
      <c r="BJ25" s="33"/>
      <c r="BK25" s="3">
        <f t="shared" si="18"/>
        <v>3</v>
      </c>
      <c r="BL25" s="3">
        <f t="shared" si="19"/>
        <v>0</v>
      </c>
      <c r="BM25" s="3">
        <f t="shared" si="20"/>
        <v>1</v>
      </c>
      <c r="BN25" s="3">
        <f t="shared" si="21"/>
        <v>0</v>
      </c>
      <c r="BO25" s="3">
        <f t="shared" si="22"/>
        <v>2</v>
      </c>
      <c r="BP25" s="28" t="e">
        <f>#REF!</f>
        <v>#REF!</v>
      </c>
      <c r="BQ25" s="28" t="e">
        <f>#REF!*2</f>
        <v>#REF!</v>
      </c>
      <c r="BR25" s="28" t="e">
        <f>#REF!</f>
        <v>#REF!</v>
      </c>
      <c r="BS25" s="28" t="e">
        <f>#REF!*2</f>
        <v>#REF!</v>
      </c>
      <c r="BT25" s="28" t="e">
        <f>#REF!</f>
        <v>#REF!</v>
      </c>
      <c r="BU25" s="28" t="e">
        <f>#REF!*2</f>
        <v>#REF!</v>
      </c>
      <c r="BV25" s="28" t="e">
        <f>#REF!</f>
        <v>#REF!</v>
      </c>
      <c r="BW25" s="28" t="e">
        <f>#REF!*2</f>
        <v>#REF!</v>
      </c>
      <c r="BX25" s="28" t="e">
        <f>#REF!</f>
        <v>#REF!</v>
      </c>
      <c r="BY25" s="28" t="e">
        <f>#REF!*2</f>
        <v>#REF!</v>
      </c>
      <c r="BZ25" s="28" t="e">
        <f>#REF!</f>
        <v>#REF!</v>
      </c>
      <c r="CA25" s="28" t="e">
        <f>#REF!*2</f>
        <v>#REF!</v>
      </c>
      <c r="CB25" s="9">
        <f t="shared" si="23"/>
        <v>2</v>
      </c>
      <c r="CC25" s="9">
        <f t="shared" si="24"/>
        <v>1</v>
      </c>
      <c r="CD25" s="9">
        <f t="shared" si="25"/>
        <v>25</v>
      </c>
      <c r="CE25" s="9">
        <f t="shared" si="26"/>
        <v>13</v>
      </c>
      <c r="CF25" s="9">
        <f t="shared" si="27"/>
        <v>3</v>
      </c>
      <c r="CG25" s="33"/>
      <c r="CH25" s="9">
        <f t="shared" si="28"/>
        <v>2</v>
      </c>
      <c r="CI25" s="9">
        <f t="shared" si="29"/>
        <v>1</v>
      </c>
      <c r="CJ25" s="9">
        <f t="shared" si="30"/>
        <v>25</v>
      </c>
      <c r="CK25" s="9">
        <f t="shared" si="31"/>
        <v>13</v>
      </c>
      <c r="CL25" s="9">
        <f t="shared" si="32"/>
        <v>3</v>
      </c>
      <c r="CM25" s="32"/>
      <c r="CN25" s="3">
        <f t="shared" si="33"/>
        <v>2</v>
      </c>
      <c r="CO25" s="3">
        <f t="shared" si="34"/>
        <v>1</v>
      </c>
      <c r="CP25" s="3">
        <f t="shared" si="35"/>
        <v>1</v>
      </c>
      <c r="CQ25" s="3">
        <f t="shared" si="36"/>
        <v>1</v>
      </c>
      <c r="CR25" s="3">
        <f t="shared" si="37"/>
        <v>1</v>
      </c>
      <c r="CS25" s="31"/>
      <c r="CT25" s="3" cm="1">
        <f t="array" ref="CT25">SUMPRODUCT(--(MOD(CH25:CL25,2)=1))</f>
        <v>4</v>
      </c>
      <c r="CU25" s="3">
        <f t="shared" si="38"/>
        <v>1</v>
      </c>
      <c r="CV25" s="30"/>
      <c r="CW25" s="3" cm="1">
        <f t="array" ref="CW25">SUMPRODUCT(--(MOD(CH25:CL25,10)&gt;=1), --(MOD(CH25:CL25,10)&lt;=5))</f>
        <v>5</v>
      </c>
      <c r="CX25" s="3">
        <f t="shared" si="39"/>
        <v>0</v>
      </c>
      <c r="CY25" s="30"/>
      <c r="CZ25" s="3" cm="1">
        <f t="array" ref="CZ25">IFERROR(COUNT(_xlfn._xlws.FILTER(CH25:CL25, ISNUMBER(MATCH(CH25:CL25, {2,3,5,7,11,13,17,19,23,29,31,37,41,43}, 0)))), 0)</f>
        <v>3</v>
      </c>
      <c r="DA25" s="3" cm="1">
        <f t="array" ref="DA25">IFERROR(COUNT(_xlfn._xlws.FILTER(CH25:CL25, ISNUMBER(MATCH(CH25:CL25, {1,4,8,10,14,16,20,22,25,26,28,32,34,35,38,40,44}, 0)))), 0)</f>
        <v>2</v>
      </c>
      <c r="DB25" s="3" cm="1">
        <f t="array" ref="DB25">IFERROR(COUNT(_xlfn._xlws.FILTER(CH25:CL25, ISNUMBER(MATCH(CH25:CL25, {6,9,12,15,18,21,24,27,30,33,36,39,42,45}, 0)))), 0)</f>
        <v>0</v>
      </c>
      <c r="DC25" s="29"/>
      <c r="DD25" s="28" t="e">
        <f>#REF!</f>
        <v>#REF!</v>
      </c>
      <c r="DE25" s="28" t="e">
        <f>#REF!*2</f>
        <v>#REF!</v>
      </c>
      <c r="DF25" s="28" t="e">
        <f>#REF!</f>
        <v>#REF!</v>
      </c>
      <c r="DG25" s="28" t="e">
        <f>#REF!*2</f>
        <v>#REF!</v>
      </c>
      <c r="DH25" s="28" t="e">
        <f>#REF!</f>
        <v>#REF!</v>
      </c>
      <c r="DI25" s="28" t="e">
        <f>#REF!*2</f>
        <v>#REF!</v>
      </c>
      <c r="DJ25" s="28" t="e">
        <f>#REF!</f>
        <v>#REF!</v>
      </c>
      <c r="DK25" s="28" t="e">
        <f>#REF!*2</f>
        <v>#REF!</v>
      </c>
      <c r="DL25" s="28" t="e">
        <f>#REF!</f>
        <v>#REF!</v>
      </c>
      <c r="DM25" s="28" t="e">
        <f>#REF!*2</f>
        <v>#REF!</v>
      </c>
      <c r="DN25" s="27"/>
      <c r="DO25" s="26"/>
      <c r="DP25" s="26"/>
      <c r="DQ25" s="26"/>
      <c r="DR25" s="26"/>
      <c r="DS25" s="26"/>
      <c r="DT25" s="25"/>
    </row>
    <row r="26" spans="2:124" x14ac:dyDescent="0.3">
      <c r="B26" s="3">
        <v>6</v>
      </c>
      <c r="C26" s="3">
        <v>14</v>
      </c>
      <c r="D26" s="3">
        <v>30</v>
      </c>
      <c r="E26" s="3">
        <v>31</v>
      </c>
      <c r="F26" s="3">
        <v>40</v>
      </c>
      <c r="G26" s="3">
        <v>41</v>
      </c>
      <c r="H26" s="32"/>
      <c r="I26" s="3">
        <f t="shared" si="0"/>
        <v>2</v>
      </c>
      <c r="J26" s="3">
        <f t="shared" si="1"/>
        <v>2</v>
      </c>
      <c r="K26" s="3">
        <f t="shared" si="2"/>
        <v>2</v>
      </c>
      <c r="L26" s="3">
        <f t="shared" si="3"/>
        <v>1</v>
      </c>
      <c r="M26" s="3">
        <f t="shared" si="4"/>
        <v>2</v>
      </c>
      <c r="N26" s="3">
        <f t="shared" si="5"/>
        <v>1</v>
      </c>
      <c r="O26" s="32"/>
      <c r="P26" s="3" cm="1">
        <f t="array" ref="P26">SUMPRODUCT(--(MOD(B26:G26,2)=1))</f>
        <v>2</v>
      </c>
      <c r="Q26" s="3">
        <f t="shared" si="6"/>
        <v>4</v>
      </c>
      <c r="R26" s="34"/>
      <c r="S26" s="3">
        <f t="shared" si="7"/>
        <v>2</v>
      </c>
      <c r="T26" s="3">
        <f t="shared" si="8"/>
        <v>4</v>
      </c>
      <c r="U26" s="34"/>
      <c r="V26" s="3" cm="1">
        <f t="array" ref="V26">SUMPRODUCT(--(MOD(B26:G26,10)&gt;=1), --(MOD(B26:G26,10)&lt;=5))</f>
        <v>3</v>
      </c>
      <c r="W26" s="3">
        <f t="shared" si="9"/>
        <v>3</v>
      </c>
      <c r="X26" s="34"/>
      <c r="Y26" s="3" cm="1">
        <f t="array" ref="Y26">IFERROR(COUNT(_xlfn._xlws.FILTER(B26:G26, ISNUMBER(MATCH(B26:G26, {2,3,5,7,11,13,17,19,23,29,31,37,41,43}, 0)))), 0)</f>
        <v>2</v>
      </c>
      <c r="Z26" s="3" cm="1">
        <f t="array" ref="Z26">IFERROR(COUNT(_xlfn._xlws.FILTER(B26:G26, ISNUMBER(MATCH(B26:G26, {1,4,8,10,14,16,20,22,25,26,28,32,34,35,38,40,44}, 0)))), 0)</f>
        <v>2</v>
      </c>
      <c r="AA26" s="3" cm="1">
        <f t="array" ref="AA26">IFERROR(COUNT(_xlfn._xlws.FILTER(B26:G26, ISNUMBER(MATCH(B26:G26, {6,9,12,15,18,21,24,27,30,33,36,39,42,45}, 0)))), 0)</f>
        <v>2</v>
      </c>
      <c r="AB26" s="30"/>
      <c r="AC26" s="26"/>
      <c r="AD26" s="26"/>
      <c r="AE26" s="26"/>
      <c r="AF26" s="26"/>
      <c r="AG26" s="26"/>
      <c r="AH26" s="26"/>
      <c r="AI26" s="30"/>
      <c r="AJ26" s="3">
        <f t="shared" si="10"/>
        <v>2</v>
      </c>
      <c r="AK26" s="3">
        <f t="shared" si="11"/>
        <v>2</v>
      </c>
      <c r="AL26" s="3">
        <f t="shared" si="12"/>
        <v>2</v>
      </c>
      <c r="AM26" s="33"/>
      <c r="AN26" s="3">
        <f t="shared" si="13"/>
        <v>1</v>
      </c>
      <c r="AO26" s="3">
        <f t="shared" si="14"/>
        <v>1</v>
      </c>
      <c r="AP26" s="3">
        <f t="shared" si="15"/>
        <v>0</v>
      </c>
      <c r="AQ26" s="3">
        <f t="shared" si="16"/>
        <v>2</v>
      </c>
      <c r="AR26" s="3">
        <f t="shared" si="17"/>
        <v>2</v>
      </c>
      <c r="AS26" s="28" t="e">
        <f>#REF!</f>
        <v>#REF!</v>
      </c>
      <c r="AT26" s="28" t="e">
        <f>#REF!*2</f>
        <v>#REF!</v>
      </c>
      <c r="AU26" s="28" t="e">
        <f>#REF!</f>
        <v>#REF!</v>
      </c>
      <c r="AV26" s="28" t="e">
        <f>#REF!*2</f>
        <v>#REF!</v>
      </c>
      <c r="AW26" s="28" t="e">
        <f>#REF!</f>
        <v>#REF!</v>
      </c>
      <c r="AX26" s="28" t="e">
        <f>#REF!*2</f>
        <v>#REF!</v>
      </c>
      <c r="AY26" s="28" t="e">
        <f>#REF!</f>
        <v>#REF!</v>
      </c>
      <c r="AZ26" s="28" t="e">
        <f>#REF!*2</f>
        <v>#REF!</v>
      </c>
      <c r="BA26" s="28" t="e">
        <f>#REF!</f>
        <v>#REF!</v>
      </c>
      <c r="BB26" s="28" t="e">
        <f>#REF!*2</f>
        <v>#REF!</v>
      </c>
      <c r="BC26" s="28" t="e">
        <f>#REF!</f>
        <v>#REF!</v>
      </c>
      <c r="BD26" s="28" t="e">
        <f>#REF!*2</f>
        <v>#REF!</v>
      </c>
      <c r="BE26" s="9" t="e">
        <f>#REF!-#REF!</f>
        <v>#REF!</v>
      </c>
      <c r="BF26" s="9" t="e">
        <f>#REF!-#REF!</f>
        <v>#REF!</v>
      </c>
      <c r="BG26" s="9" t="e">
        <f>#REF!-#REF!</f>
        <v>#REF!</v>
      </c>
      <c r="BH26" s="9" t="e">
        <f>#REF!-#REF!</f>
        <v>#REF!</v>
      </c>
      <c r="BI26" s="9" t="e">
        <f>#REF!-#REF!</f>
        <v>#REF!</v>
      </c>
      <c r="BJ26" s="33"/>
      <c r="BK26" s="3">
        <f t="shared" si="18"/>
        <v>1</v>
      </c>
      <c r="BL26" s="3">
        <f t="shared" si="19"/>
        <v>1</v>
      </c>
      <c r="BM26" s="3">
        <f t="shared" si="20"/>
        <v>0</v>
      </c>
      <c r="BN26" s="3">
        <f t="shared" si="21"/>
        <v>2</v>
      </c>
      <c r="BO26" s="3">
        <f t="shared" si="22"/>
        <v>2</v>
      </c>
      <c r="BP26" s="28" t="e">
        <f>#REF!</f>
        <v>#REF!</v>
      </c>
      <c r="BQ26" s="28" t="e">
        <f>#REF!*2</f>
        <v>#REF!</v>
      </c>
      <c r="BR26" s="28" t="e">
        <f>#REF!</f>
        <v>#REF!</v>
      </c>
      <c r="BS26" s="28" t="e">
        <f>#REF!*2</f>
        <v>#REF!</v>
      </c>
      <c r="BT26" s="28" t="e">
        <f>#REF!</f>
        <v>#REF!</v>
      </c>
      <c r="BU26" s="28" t="e">
        <f>#REF!*2</f>
        <v>#REF!</v>
      </c>
      <c r="BV26" s="28" t="e">
        <f>#REF!</f>
        <v>#REF!</v>
      </c>
      <c r="BW26" s="28" t="e">
        <f>#REF!*2</f>
        <v>#REF!</v>
      </c>
      <c r="BX26" s="28" t="e">
        <f>#REF!</f>
        <v>#REF!</v>
      </c>
      <c r="BY26" s="28" t="e">
        <f>#REF!*2</f>
        <v>#REF!</v>
      </c>
      <c r="BZ26" s="28" t="e">
        <f>#REF!</f>
        <v>#REF!</v>
      </c>
      <c r="CA26" s="28" t="e">
        <f>#REF!*2</f>
        <v>#REF!</v>
      </c>
      <c r="CB26" s="9">
        <f t="shared" si="23"/>
        <v>8</v>
      </c>
      <c r="CC26" s="9">
        <f t="shared" si="24"/>
        <v>16</v>
      </c>
      <c r="CD26" s="9">
        <f t="shared" si="25"/>
        <v>1</v>
      </c>
      <c r="CE26" s="9">
        <f t="shared" si="26"/>
        <v>9</v>
      </c>
      <c r="CF26" s="9">
        <f t="shared" si="27"/>
        <v>1</v>
      </c>
      <c r="CG26" s="33"/>
      <c r="CH26" s="9">
        <f t="shared" si="28"/>
        <v>8</v>
      </c>
      <c r="CI26" s="9">
        <f t="shared" si="29"/>
        <v>16</v>
      </c>
      <c r="CJ26" s="9">
        <f t="shared" si="30"/>
        <v>1</v>
      </c>
      <c r="CK26" s="9">
        <f t="shared" si="31"/>
        <v>9</v>
      </c>
      <c r="CL26" s="9">
        <f t="shared" si="32"/>
        <v>1</v>
      </c>
      <c r="CM26" s="32"/>
      <c r="CN26" s="3">
        <f t="shared" si="33"/>
        <v>2</v>
      </c>
      <c r="CO26" s="3">
        <f t="shared" si="34"/>
        <v>2</v>
      </c>
      <c r="CP26" s="3">
        <f t="shared" si="35"/>
        <v>1</v>
      </c>
      <c r="CQ26" s="3">
        <f t="shared" si="36"/>
        <v>1</v>
      </c>
      <c r="CR26" s="3">
        <f t="shared" si="37"/>
        <v>1</v>
      </c>
      <c r="CS26" s="31"/>
      <c r="CT26" s="3" cm="1">
        <f t="array" ref="CT26">SUMPRODUCT(--(MOD(CH26:CL26,2)=1))</f>
        <v>3</v>
      </c>
      <c r="CU26" s="3">
        <f t="shared" si="38"/>
        <v>2</v>
      </c>
      <c r="CV26" s="30"/>
      <c r="CW26" s="3" cm="1">
        <f t="array" ref="CW26">SUMPRODUCT(--(MOD(CH26:CL26,10)&gt;=1), --(MOD(CH26:CL26,10)&lt;=5))</f>
        <v>2</v>
      </c>
      <c r="CX26" s="3">
        <f t="shared" si="39"/>
        <v>3</v>
      </c>
      <c r="CY26" s="30"/>
      <c r="CZ26" s="3" cm="1">
        <f t="array" ref="CZ26">IFERROR(COUNT(_xlfn._xlws.FILTER(CH26:CL26, ISNUMBER(MATCH(CH26:CL26, {2,3,5,7,11,13,17,19,23,29,31,37,41,43}, 0)))), 0)</f>
        <v>0</v>
      </c>
      <c r="DA26" s="3" cm="1">
        <f t="array" ref="DA26">IFERROR(COUNT(_xlfn._xlws.FILTER(CH26:CL26, ISNUMBER(MATCH(CH26:CL26, {1,4,8,10,14,16,20,22,25,26,28,32,34,35,38,40,44}, 0)))), 0)</f>
        <v>4</v>
      </c>
      <c r="DB26" s="3" cm="1">
        <f t="array" ref="DB26">IFERROR(COUNT(_xlfn._xlws.FILTER(CH26:CL26, ISNUMBER(MATCH(CH26:CL26, {6,9,12,15,18,21,24,27,30,33,36,39,42,45}, 0)))), 0)</f>
        <v>1</v>
      </c>
      <c r="DC26" s="29"/>
      <c r="DD26" s="28" t="e">
        <f>#REF!</f>
        <v>#REF!</v>
      </c>
      <c r="DE26" s="28" t="e">
        <f>#REF!*2</f>
        <v>#REF!</v>
      </c>
      <c r="DF26" s="28" t="e">
        <f>#REF!</f>
        <v>#REF!</v>
      </c>
      <c r="DG26" s="28" t="e">
        <f>#REF!*2</f>
        <v>#REF!</v>
      </c>
      <c r="DH26" s="28" t="e">
        <f>#REF!</f>
        <v>#REF!</v>
      </c>
      <c r="DI26" s="28" t="e">
        <f>#REF!*2</f>
        <v>#REF!</v>
      </c>
      <c r="DJ26" s="28" t="e">
        <f>#REF!</f>
        <v>#REF!</v>
      </c>
      <c r="DK26" s="28" t="e">
        <f>#REF!*2</f>
        <v>#REF!</v>
      </c>
      <c r="DL26" s="28" t="e">
        <f>#REF!</f>
        <v>#REF!</v>
      </c>
      <c r="DM26" s="28" t="e">
        <f>#REF!*2</f>
        <v>#REF!</v>
      </c>
      <c r="DN26" s="27"/>
      <c r="DO26" s="26"/>
      <c r="DP26" s="26"/>
      <c r="DQ26" s="26"/>
      <c r="DR26" s="26"/>
      <c r="DS26" s="26"/>
      <c r="DT26" s="25"/>
    </row>
    <row r="27" spans="2:124" x14ac:dyDescent="0.3">
      <c r="B27" s="3">
        <v>7</v>
      </c>
      <c r="C27" s="3">
        <v>19</v>
      </c>
      <c r="D27" s="3">
        <v>26</v>
      </c>
      <c r="E27" s="3">
        <v>37</v>
      </c>
      <c r="F27" s="3">
        <v>39</v>
      </c>
      <c r="G27" s="3">
        <v>44</v>
      </c>
      <c r="H27" s="32"/>
      <c r="I27" s="3">
        <f t="shared" si="0"/>
        <v>1</v>
      </c>
      <c r="J27" s="3">
        <f t="shared" si="1"/>
        <v>1</v>
      </c>
      <c r="K27" s="3">
        <f t="shared" si="2"/>
        <v>2</v>
      </c>
      <c r="L27" s="3">
        <f t="shared" si="3"/>
        <v>1</v>
      </c>
      <c r="M27" s="3">
        <f t="shared" si="4"/>
        <v>1</v>
      </c>
      <c r="N27" s="3">
        <f t="shared" si="5"/>
        <v>2</v>
      </c>
      <c r="O27" s="32"/>
      <c r="P27" s="3" cm="1">
        <f t="array" ref="P27">SUMPRODUCT(--(MOD(B27:G27,2)=1))</f>
        <v>4</v>
      </c>
      <c r="Q27" s="3">
        <f t="shared" si="6"/>
        <v>2</v>
      </c>
      <c r="R27" s="34"/>
      <c r="S27" s="3">
        <f t="shared" si="7"/>
        <v>2</v>
      </c>
      <c r="T27" s="3">
        <f t="shared" si="8"/>
        <v>4</v>
      </c>
      <c r="U27" s="34"/>
      <c r="V27" s="3" cm="1">
        <f t="array" ref="V27">SUMPRODUCT(--(MOD(B27:G27,10)&gt;=1), --(MOD(B27:G27,10)&lt;=5))</f>
        <v>1</v>
      </c>
      <c r="W27" s="3">
        <f t="shared" si="9"/>
        <v>5</v>
      </c>
      <c r="X27" s="34"/>
      <c r="Y27" s="3" cm="1">
        <f t="array" ref="Y27">IFERROR(COUNT(_xlfn._xlws.FILTER(B27:G27, ISNUMBER(MATCH(B27:G27, {2,3,5,7,11,13,17,19,23,29,31,37,41,43}, 0)))), 0)</f>
        <v>3</v>
      </c>
      <c r="Z27" s="3" cm="1">
        <f t="array" ref="Z27">IFERROR(COUNT(_xlfn._xlws.FILTER(B27:G27, ISNUMBER(MATCH(B27:G27, {1,4,8,10,14,16,20,22,25,26,28,32,34,35,38,40,44}, 0)))), 0)</f>
        <v>2</v>
      </c>
      <c r="AA27" s="3" cm="1">
        <f t="array" ref="AA27">IFERROR(COUNT(_xlfn._xlws.FILTER(B27:G27, ISNUMBER(MATCH(B27:G27, {6,9,12,15,18,21,24,27,30,33,36,39,42,45}, 0)))), 0)</f>
        <v>1</v>
      </c>
      <c r="AB27" s="30"/>
      <c r="AC27" s="26"/>
      <c r="AD27" s="26"/>
      <c r="AE27" s="26"/>
      <c r="AF27" s="26"/>
      <c r="AG27" s="26"/>
      <c r="AH27" s="26"/>
      <c r="AI27" s="30"/>
      <c r="AJ27" s="3">
        <f t="shared" si="10"/>
        <v>1</v>
      </c>
      <c r="AK27" s="3">
        <f t="shared" si="11"/>
        <v>2</v>
      </c>
      <c r="AL27" s="3">
        <f t="shared" si="12"/>
        <v>3</v>
      </c>
      <c r="AM27" s="33"/>
      <c r="AN27" s="3">
        <f t="shared" si="13"/>
        <v>1</v>
      </c>
      <c r="AO27" s="3">
        <f t="shared" si="14"/>
        <v>0</v>
      </c>
      <c r="AP27" s="3">
        <f t="shared" si="15"/>
        <v>2</v>
      </c>
      <c r="AQ27" s="3">
        <f t="shared" si="16"/>
        <v>0</v>
      </c>
      <c r="AR27" s="3">
        <f t="shared" si="17"/>
        <v>3</v>
      </c>
      <c r="AS27" s="28" t="e">
        <f>#REF!</f>
        <v>#REF!</v>
      </c>
      <c r="AT27" s="28" t="e">
        <f>#REF!*2</f>
        <v>#REF!</v>
      </c>
      <c r="AU27" s="28" t="e">
        <f>#REF!</f>
        <v>#REF!</v>
      </c>
      <c r="AV27" s="28" t="e">
        <f>#REF!*2</f>
        <v>#REF!</v>
      </c>
      <c r="AW27" s="28" t="e">
        <f>#REF!</f>
        <v>#REF!</v>
      </c>
      <c r="AX27" s="28" t="e">
        <f>#REF!*2</f>
        <v>#REF!</v>
      </c>
      <c r="AY27" s="28" t="e">
        <f>#REF!</f>
        <v>#REF!</v>
      </c>
      <c r="AZ27" s="28" t="e">
        <f>#REF!*2</f>
        <v>#REF!</v>
      </c>
      <c r="BA27" s="28" t="e">
        <f>#REF!</f>
        <v>#REF!</v>
      </c>
      <c r="BB27" s="28" t="e">
        <f>#REF!*2</f>
        <v>#REF!</v>
      </c>
      <c r="BC27" s="28" t="e">
        <f>#REF!</f>
        <v>#REF!</v>
      </c>
      <c r="BD27" s="28" t="e">
        <f>#REF!*2</f>
        <v>#REF!</v>
      </c>
      <c r="BE27" s="9" t="e">
        <f>#REF!-#REF!</f>
        <v>#REF!</v>
      </c>
      <c r="BF27" s="9" t="e">
        <f>#REF!-#REF!</f>
        <v>#REF!</v>
      </c>
      <c r="BG27" s="9" t="e">
        <f>#REF!-#REF!</f>
        <v>#REF!</v>
      </c>
      <c r="BH27" s="9" t="e">
        <f>#REF!-#REF!</f>
        <v>#REF!</v>
      </c>
      <c r="BI27" s="9" t="e">
        <f>#REF!-#REF!</f>
        <v>#REF!</v>
      </c>
      <c r="BJ27" s="33"/>
      <c r="BK27" s="3">
        <f t="shared" si="18"/>
        <v>1</v>
      </c>
      <c r="BL27" s="3">
        <f t="shared" si="19"/>
        <v>1</v>
      </c>
      <c r="BM27" s="3">
        <f t="shared" si="20"/>
        <v>1</v>
      </c>
      <c r="BN27" s="3">
        <f t="shared" si="21"/>
        <v>2</v>
      </c>
      <c r="BO27" s="3">
        <f t="shared" si="22"/>
        <v>1</v>
      </c>
      <c r="BP27" s="28" t="e">
        <f>#REF!</f>
        <v>#REF!</v>
      </c>
      <c r="BQ27" s="28" t="e">
        <f>#REF!*2</f>
        <v>#REF!</v>
      </c>
      <c r="BR27" s="28" t="e">
        <f>#REF!</f>
        <v>#REF!</v>
      </c>
      <c r="BS27" s="28" t="e">
        <f>#REF!*2</f>
        <v>#REF!</v>
      </c>
      <c r="BT27" s="28" t="e">
        <f>#REF!</f>
        <v>#REF!</v>
      </c>
      <c r="BU27" s="28" t="e">
        <f>#REF!*2</f>
        <v>#REF!</v>
      </c>
      <c r="BV27" s="28" t="e">
        <f>#REF!</f>
        <v>#REF!</v>
      </c>
      <c r="BW27" s="28" t="e">
        <f>#REF!*2</f>
        <v>#REF!</v>
      </c>
      <c r="BX27" s="28" t="e">
        <f>#REF!</f>
        <v>#REF!</v>
      </c>
      <c r="BY27" s="28" t="e">
        <f>#REF!*2</f>
        <v>#REF!</v>
      </c>
      <c r="BZ27" s="28" t="e">
        <f>#REF!</f>
        <v>#REF!</v>
      </c>
      <c r="CA27" s="28" t="e">
        <f>#REF!*2</f>
        <v>#REF!</v>
      </c>
      <c r="CB27" s="9">
        <f t="shared" si="23"/>
        <v>12</v>
      </c>
      <c r="CC27" s="9">
        <f t="shared" si="24"/>
        <v>7</v>
      </c>
      <c r="CD27" s="9">
        <f t="shared" si="25"/>
        <v>11</v>
      </c>
      <c r="CE27" s="9">
        <f t="shared" si="26"/>
        <v>2</v>
      </c>
      <c r="CF27" s="9">
        <f t="shared" si="27"/>
        <v>5</v>
      </c>
      <c r="CG27" s="33"/>
      <c r="CH27" s="9">
        <f t="shared" si="28"/>
        <v>12</v>
      </c>
      <c r="CI27" s="9">
        <f t="shared" si="29"/>
        <v>7</v>
      </c>
      <c r="CJ27" s="9">
        <f t="shared" si="30"/>
        <v>11</v>
      </c>
      <c r="CK27" s="9">
        <f t="shared" si="31"/>
        <v>2</v>
      </c>
      <c r="CL27" s="9">
        <f t="shared" si="32"/>
        <v>5</v>
      </c>
      <c r="CM27" s="32"/>
      <c r="CN27" s="3">
        <f t="shared" si="33"/>
        <v>2</v>
      </c>
      <c r="CO27" s="3">
        <f t="shared" si="34"/>
        <v>1</v>
      </c>
      <c r="CP27" s="3">
        <f t="shared" si="35"/>
        <v>1</v>
      </c>
      <c r="CQ27" s="3">
        <f t="shared" si="36"/>
        <v>2</v>
      </c>
      <c r="CR27" s="3">
        <f t="shared" si="37"/>
        <v>1</v>
      </c>
      <c r="CS27" s="31"/>
      <c r="CT27" s="3" cm="1">
        <f t="array" ref="CT27">SUMPRODUCT(--(MOD(CH27:CL27,2)=1))</f>
        <v>3</v>
      </c>
      <c r="CU27" s="3">
        <f t="shared" si="38"/>
        <v>2</v>
      </c>
      <c r="CV27" s="30"/>
      <c r="CW27" s="3" cm="1">
        <f t="array" ref="CW27">SUMPRODUCT(--(MOD(CH27:CL27,10)&gt;=1), --(MOD(CH27:CL27,10)&lt;=5))</f>
        <v>4</v>
      </c>
      <c r="CX27" s="3">
        <f t="shared" si="39"/>
        <v>1</v>
      </c>
      <c r="CY27" s="30"/>
      <c r="CZ27" s="3" cm="1">
        <f t="array" ref="CZ27">IFERROR(COUNT(_xlfn._xlws.FILTER(CH27:CL27, ISNUMBER(MATCH(CH27:CL27, {2,3,5,7,11,13,17,19,23,29,31,37,41,43}, 0)))), 0)</f>
        <v>4</v>
      </c>
      <c r="DA27" s="3" cm="1">
        <f t="array" ref="DA27">IFERROR(COUNT(_xlfn._xlws.FILTER(CH27:CL27, ISNUMBER(MATCH(CH27:CL27, {1,4,8,10,14,16,20,22,25,26,28,32,34,35,38,40,44}, 0)))), 0)</f>
        <v>0</v>
      </c>
      <c r="DB27" s="3" cm="1">
        <f t="array" ref="DB27">IFERROR(COUNT(_xlfn._xlws.FILTER(CH27:CL27, ISNUMBER(MATCH(CH27:CL27, {6,9,12,15,18,21,24,27,30,33,36,39,42,45}, 0)))), 0)</f>
        <v>1</v>
      </c>
      <c r="DC27" s="29"/>
      <c r="DD27" s="28" t="e">
        <f>#REF!</f>
        <v>#REF!</v>
      </c>
      <c r="DE27" s="28" t="e">
        <f>#REF!*2</f>
        <v>#REF!</v>
      </c>
      <c r="DF27" s="28" t="e">
        <f>#REF!</f>
        <v>#REF!</v>
      </c>
      <c r="DG27" s="28" t="e">
        <f>#REF!*2</f>
        <v>#REF!</v>
      </c>
      <c r="DH27" s="28" t="e">
        <f>#REF!</f>
        <v>#REF!</v>
      </c>
      <c r="DI27" s="28" t="e">
        <f>#REF!*2</f>
        <v>#REF!</v>
      </c>
      <c r="DJ27" s="28" t="e">
        <f>#REF!</f>
        <v>#REF!</v>
      </c>
      <c r="DK27" s="28" t="e">
        <f>#REF!*2</f>
        <v>#REF!</v>
      </c>
      <c r="DL27" s="28" t="e">
        <f>#REF!</f>
        <v>#REF!</v>
      </c>
      <c r="DM27" s="28" t="e">
        <f>#REF!*2</f>
        <v>#REF!</v>
      </c>
      <c r="DN27" s="27"/>
      <c r="DO27" s="26"/>
      <c r="DP27" s="26"/>
      <c r="DQ27" s="26"/>
      <c r="DR27" s="26"/>
      <c r="DS27" s="26"/>
      <c r="DT27" s="25"/>
    </row>
    <row r="28" spans="2:124" x14ac:dyDescent="0.3">
      <c r="B28" s="3">
        <v>10</v>
      </c>
      <c r="C28" s="3">
        <v>12</v>
      </c>
      <c r="D28" s="3">
        <v>13</v>
      </c>
      <c r="E28" s="3">
        <v>19</v>
      </c>
      <c r="F28" s="3">
        <v>33</v>
      </c>
      <c r="G28" s="3">
        <v>40</v>
      </c>
      <c r="H28" s="32"/>
      <c r="I28" s="3">
        <f t="shared" si="0"/>
        <v>2</v>
      </c>
      <c r="J28" s="3">
        <f t="shared" si="1"/>
        <v>2</v>
      </c>
      <c r="K28" s="3">
        <f t="shared" si="2"/>
        <v>1</v>
      </c>
      <c r="L28" s="3">
        <f t="shared" si="3"/>
        <v>1</v>
      </c>
      <c r="M28" s="3">
        <f t="shared" si="4"/>
        <v>1</v>
      </c>
      <c r="N28" s="3">
        <f t="shared" si="5"/>
        <v>2</v>
      </c>
      <c r="O28" s="32"/>
      <c r="P28" s="3" cm="1">
        <f t="array" ref="P28">SUMPRODUCT(--(MOD(B28:G28,2)=1))</f>
        <v>3</v>
      </c>
      <c r="Q28" s="3">
        <f t="shared" si="6"/>
        <v>3</v>
      </c>
      <c r="R28" s="34"/>
      <c r="S28" s="3">
        <f t="shared" si="7"/>
        <v>4</v>
      </c>
      <c r="T28" s="3">
        <f t="shared" si="8"/>
        <v>2</v>
      </c>
      <c r="U28" s="34"/>
      <c r="V28" s="3" cm="1">
        <f t="array" ref="V28">SUMPRODUCT(--(MOD(B28:G28,10)&gt;=1), --(MOD(B28:G28,10)&lt;=5))</f>
        <v>3</v>
      </c>
      <c r="W28" s="3">
        <f t="shared" si="9"/>
        <v>3</v>
      </c>
      <c r="X28" s="34"/>
      <c r="Y28" s="3" cm="1">
        <f t="array" ref="Y28">IFERROR(COUNT(_xlfn._xlws.FILTER(B28:G28, ISNUMBER(MATCH(B28:G28, {2,3,5,7,11,13,17,19,23,29,31,37,41,43}, 0)))), 0)</f>
        <v>2</v>
      </c>
      <c r="Z28" s="3" cm="1">
        <f t="array" ref="Z28">IFERROR(COUNT(_xlfn._xlws.FILTER(B28:G28, ISNUMBER(MATCH(B28:G28, {1,4,8,10,14,16,20,22,25,26,28,32,34,35,38,40,44}, 0)))), 0)</f>
        <v>2</v>
      </c>
      <c r="AA28" s="3" cm="1">
        <f t="array" ref="AA28">IFERROR(COUNT(_xlfn._xlws.FILTER(B28:G28, ISNUMBER(MATCH(B28:G28, {6,9,12,15,18,21,24,27,30,33,36,39,42,45}, 0)))), 0)</f>
        <v>2</v>
      </c>
      <c r="AB28" s="30"/>
      <c r="AC28" s="26"/>
      <c r="AD28" s="26"/>
      <c r="AE28" s="26"/>
      <c r="AF28" s="26"/>
      <c r="AG28" s="26"/>
      <c r="AH28" s="26"/>
      <c r="AI28" s="30"/>
      <c r="AJ28" s="3">
        <f t="shared" si="10"/>
        <v>3</v>
      </c>
      <c r="AK28" s="3">
        <f t="shared" si="11"/>
        <v>1</v>
      </c>
      <c r="AL28" s="3">
        <f t="shared" si="12"/>
        <v>2</v>
      </c>
      <c r="AM28" s="33"/>
      <c r="AN28" s="3">
        <f t="shared" si="13"/>
        <v>0</v>
      </c>
      <c r="AO28" s="3">
        <f t="shared" si="14"/>
        <v>3</v>
      </c>
      <c r="AP28" s="3">
        <f t="shared" si="15"/>
        <v>1</v>
      </c>
      <c r="AQ28" s="3">
        <f t="shared" si="16"/>
        <v>1</v>
      </c>
      <c r="AR28" s="3">
        <f t="shared" si="17"/>
        <v>1</v>
      </c>
      <c r="AS28" s="28" t="e">
        <f>#REF!</f>
        <v>#REF!</v>
      </c>
      <c r="AT28" s="28" t="e">
        <f>#REF!*2</f>
        <v>#REF!</v>
      </c>
      <c r="AU28" s="28" t="e">
        <f>#REF!</f>
        <v>#REF!</v>
      </c>
      <c r="AV28" s="28" t="e">
        <f>#REF!*2</f>
        <v>#REF!</v>
      </c>
      <c r="AW28" s="28" t="e">
        <f>#REF!</f>
        <v>#REF!</v>
      </c>
      <c r="AX28" s="28" t="e">
        <f>#REF!*2</f>
        <v>#REF!</v>
      </c>
      <c r="AY28" s="28" t="e">
        <f>#REF!</f>
        <v>#REF!</v>
      </c>
      <c r="AZ28" s="28" t="e">
        <f>#REF!*2</f>
        <v>#REF!</v>
      </c>
      <c r="BA28" s="28" t="e">
        <f>#REF!</f>
        <v>#REF!</v>
      </c>
      <c r="BB28" s="28" t="e">
        <f>#REF!*2</f>
        <v>#REF!</v>
      </c>
      <c r="BC28" s="28" t="e">
        <f>#REF!</f>
        <v>#REF!</v>
      </c>
      <c r="BD28" s="28" t="e">
        <f>#REF!*2</f>
        <v>#REF!</v>
      </c>
      <c r="BE28" s="9" t="e">
        <f>#REF!-#REF!</f>
        <v>#REF!</v>
      </c>
      <c r="BF28" s="9" t="e">
        <f>#REF!-#REF!</f>
        <v>#REF!</v>
      </c>
      <c r="BG28" s="9" t="e">
        <f>#REF!-#REF!</f>
        <v>#REF!</v>
      </c>
      <c r="BH28" s="9" t="e">
        <f>#REF!-#REF!</f>
        <v>#REF!</v>
      </c>
      <c r="BI28" s="9" t="e">
        <f>#REF!-#REF!</f>
        <v>#REF!</v>
      </c>
      <c r="BJ28" s="33"/>
      <c r="BK28" s="3">
        <f t="shared" si="18"/>
        <v>0</v>
      </c>
      <c r="BL28" s="3">
        <f t="shared" si="19"/>
        <v>4</v>
      </c>
      <c r="BM28" s="3">
        <f t="shared" si="20"/>
        <v>0</v>
      </c>
      <c r="BN28" s="3">
        <f t="shared" si="21"/>
        <v>1</v>
      </c>
      <c r="BO28" s="3">
        <f t="shared" si="22"/>
        <v>1</v>
      </c>
      <c r="BP28" s="28" t="e">
        <f>#REF!</f>
        <v>#REF!</v>
      </c>
      <c r="BQ28" s="28" t="e">
        <f>#REF!*2</f>
        <v>#REF!</v>
      </c>
      <c r="BR28" s="28" t="e">
        <f>#REF!</f>
        <v>#REF!</v>
      </c>
      <c r="BS28" s="28" t="e">
        <f>#REF!*2</f>
        <v>#REF!</v>
      </c>
      <c r="BT28" s="28" t="e">
        <f>#REF!</f>
        <v>#REF!</v>
      </c>
      <c r="BU28" s="28" t="e">
        <f>#REF!*2</f>
        <v>#REF!</v>
      </c>
      <c r="BV28" s="28" t="e">
        <f>#REF!</f>
        <v>#REF!</v>
      </c>
      <c r="BW28" s="28" t="e">
        <f>#REF!*2</f>
        <v>#REF!</v>
      </c>
      <c r="BX28" s="28" t="e">
        <f>#REF!</f>
        <v>#REF!</v>
      </c>
      <c r="BY28" s="28" t="e">
        <f>#REF!*2</f>
        <v>#REF!</v>
      </c>
      <c r="BZ28" s="28" t="e">
        <f>#REF!</f>
        <v>#REF!</v>
      </c>
      <c r="CA28" s="28" t="e">
        <f>#REF!*2</f>
        <v>#REF!</v>
      </c>
      <c r="CB28" s="9">
        <f t="shared" si="23"/>
        <v>2</v>
      </c>
      <c r="CC28" s="9">
        <f t="shared" si="24"/>
        <v>1</v>
      </c>
      <c r="CD28" s="9">
        <f t="shared" si="25"/>
        <v>6</v>
      </c>
      <c r="CE28" s="9">
        <f t="shared" si="26"/>
        <v>14</v>
      </c>
      <c r="CF28" s="9">
        <f t="shared" si="27"/>
        <v>7</v>
      </c>
      <c r="CG28" s="33"/>
      <c r="CH28" s="9">
        <f t="shared" si="28"/>
        <v>2</v>
      </c>
      <c r="CI28" s="9">
        <f t="shared" si="29"/>
        <v>1</v>
      </c>
      <c r="CJ28" s="9">
        <f t="shared" si="30"/>
        <v>6</v>
      </c>
      <c r="CK28" s="9">
        <f t="shared" si="31"/>
        <v>14</v>
      </c>
      <c r="CL28" s="9">
        <f t="shared" si="32"/>
        <v>7</v>
      </c>
      <c r="CM28" s="32"/>
      <c r="CN28" s="3">
        <f t="shared" si="33"/>
        <v>2</v>
      </c>
      <c r="CO28" s="3">
        <f t="shared" si="34"/>
        <v>1</v>
      </c>
      <c r="CP28" s="3">
        <f t="shared" si="35"/>
        <v>2</v>
      </c>
      <c r="CQ28" s="3">
        <f t="shared" si="36"/>
        <v>2</v>
      </c>
      <c r="CR28" s="3">
        <f t="shared" si="37"/>
        <v>1</v>
      </c>
      <c r="CS28" s="31"/>
      <c r="CT28" s="3" cm="1">
        <f t="array" ref="CT28">SUMPRODUCT(--(MOD(CH28:CL28,2)=1))</f>
        <v>2</v>
      </c>
      <c r="CU28" s="3">
        <f t="shared" si="38"/>
        <v>3</v>
      </c>
      <c r="CV28" s="30"/>
      <c r="CW28" s="3" cm="1">
        <f t="array" ref="CW28">SUMPRODUCT(--(MOD(CH28:CL28,10)&gt;=1), --(MOD(CH28:CL28,10)&lt;=5))</f>
        <v>3</v>
      </c>
      <c r="CX28" s="3">
        <f t="shared" si="39"/>
        <v>2</v>
      </c>
      <c r="CY28" s="30"/>
      <c r="CZ28" s="3" cm="1">
        <f t="array" ref="CZ28">IFERROR(COUNT(_xlfn._xlws.FILTER(CH28:CL28, ISNUMBER(MATCH(CH28:CL28, {2,3,5,7,11,13,17,19,23,29,31,37,41,43}, 0)))), 0)</f>
        <v>2</v>
      </c>
      <c r="DA28" s="3" cm="1">
        <f t="array" ref="DA28">IFERROR(COUNT(_xlfn._xlws.FILTER(CH28:CL28, ISNUMBER(MATCH(CH28:CL28, {1,4,8,10,14,16,20,22,25,26,28,32,34,35,38,40,44}, 0)))), 0)</f>
        <v>2</v>
      </c>
      <c r="DB28" s="3" cm="1">
        <f t="array" ref="DB28">IFERROR(COUNT(_xlfn._xlws.FILTER(CH28:CL28, ISNUMBER(MATCH(CH28:CL28, {6,9,12,15,18,21,24,27,30,33,36,39,42,45}, 0)))), 0)</f>
        <v>1</v>
      </c>
      <c r="DC28" s="29"/>
      <c r="DD28" s="28" t="e">
        <f>#REF!</f>
        <v>#REF!</v>
      </c>
      <c r="DE28" s="28" t="e">
        <f>#REF!*2</f>
        <v>#REF!</v>
      </c>
      <c r="DF28" s="28" t="e">
        <f>#REF!</f>
        <v>#REF!</v>
      </c>
      <c r="DG28" s="28" t="e">
        <f>#REF!*2</f>
        <v>#REF!</v>
      </c>
      <c r="DH28" s="28" t="e">
        <f>#REF!</f>
        <v>#REF!</v>
      </c>
      <c r="DI28" s="28" t="e">
        <f>#REF!*2</f>
        <v>#REF!</v>
      </c>
      <c r="DJ28" s="28" t="e">
        <f>#REF!</f>
        <v>#REF!</v>
      </c>
      <c r="DK28" s="28" t="e">
        <f>#REF!*2</f>
        <v>#REF!</v>
      </c>
      <c r="DL28" s="28" t="e">
        <f>#REF!</f>
        <v>#REF!</v>
      </c>
      <c r="DM28" s="28" t="e">
        <f>#REF!*2</f>
        <v>#REF!</v>
      </c>
      <c r="DN28" s="27"/>
      <c r="DO28" s="26"/>
      <c r="DP28" s="26"/>
      <c r="DQ28" s="26"/>
      <c r="DR28" s="26"/>
      <c r="DS28" s="26"/>
      <c r="DT28" s="25"/>
    </row>
    <row r="29" spans="2:124" x14ac:dyDescent="0.3">
      <c r="B29" s="3">
        <v>3</v>
      </c>
      <c r="C29" s="3">
        <v>7</v>
      </c>
      <c r="D29" s="3">
        <v>11</v>
      </c>
      <c r="E29" s="3">
        <v>20</v>
      </c>
      <c r="F29" s="3">
        <v>22</v>
      </c>
      <c r="G29" s="3">
        <v>41</v>
      </c>
      <c r="H29" s="32"/>
      <c r="I29" s="3">
        <f t="shared" si="0"/>
        <v>1</v>
      </c>
      <c r="J29" s="3">
        <f t="shared" si="1"/>
        <v>1</v>
      </c>
      <c r="K29" s="3">
        <f t="shared" si="2"/>
        <v>1</v>
      </c>
      <c r="L29" s="3">
        <f t="shared" si="3"/>
        <v>2</v>
      </c>
      <c r="M29" s="3">
        <f t="shared" si="4"/>
        <v>2</v>
      </c>
      <c r="N29" s="3">
        <f t="shared" si="5"/>
        <v>1</v>
      </c>
      <c r="O29" s="32"/>
      <c r="P29" s="3" cm="1">
        <f t="array" ref="P29">SUMPRODUCT(--(MOD(B29:G29,2)=1))</f>
        <v>4</v>
      </c>
      <c r="Q29" s="3">
        <f t="shared" si="6"/>
        <v>2</v>
      </c>
      <c r="R29" s="34"/>
      <c r="S29" s="3">
        <f t="shared" si="7"/>
        <v>5</v>
      </c>
      <c r="T29" s="3">
        <f t="shared" si="8"/>
        <v>1</v>
      </c>
      <c r="U29" s="34"/>
      <c r="V29" s="3" cm="1">
        <f t="array" ref="V29">SUMPRODUCT(--(MOD(B29:G29,10)&gt;=1), --(MOD(B29:G29,10)&lt;=5))</f>
        <v>4</v>
      </c>
      <c r="W29" s="3">
        <f t="shared" si="9"/>
        <v>2</v>
      </c>
      <c r="X29" s="34"/>
      <c r="Y29" s="3" cm="1">
        <f t="array" ref="Y29">IFERROR(COUNT(_xlfn._xlws.FILTER(B29:G29, ISNUMBER(MATCH(B29:G29, {2,3,5,7,11,13,17,19,23,29,31,37,41,43}, 0)))), 0)</f>
        <v>4</v>
      </c>
      <c r="Z29" s="3" cm="1">
        <f t="array" ref="Z29">IFERROR(COUNT(_xlfn._xlws.FILTER(B29:G29, ISNUMBER(MATCH(B29:G29, {1,4,8,10,14,16,20,22,25,26,28,32,34,35,38,40,44}, 0)))), 0)</f>
        <v>2</v>
      </c>
      <c r="AA29" s="3" cm="1">
        <f t="array" ref="AA29">IFERROR(COUNT(_xlfn._xlws.FILTER(B29:G29, ISNUMBER(MATCH(B29:G29, {6,9,12,15,18,21,24,27,30,33,36,39,42,45}, 0)))), 0)</f>
        <v>0</v>
      </c>
      <c r="AB29" s="30"/>
      <c r="AC29" s="26"/>
      <c r="AD29" s="26"/>
      <c r="AE29" s="26"/>
      <c r="AF29" s="26"/>
      <c r="AG29" s="26"/>
      <c r="AH29" s="26"/>
      <c r="AI29" s="30"/>
      <c r="AJ29" s="3">
        <f t="shared" si="10"/>
        <v>3</v>
      </c>
      <c r="AK29" s="3">
        <f t="shared" si="11"/>
        <v>2</v>
      </c>
      <c r="AL29" s="3">
        <f t="shared" si="12"/>
        <v>1</v>
      </c>
      <c r="AM29" s="33"/>
      <c r="AN29" s="3">
        <f t="shared" si="13"/>
        <v>2</v>
      </c>
      <c r="AO29" s="3">
        <f t="shared" si="14"/>
        <v>1</v>
      </c>
      <c r="AP29" s="3">
        <f t="shared" si="15"/>
        <v>2</v>
      </c>
      <c r="AQ29" s="3">
        <f t="shared" si="16"/>
        <v>0</v>
      </c>
      <c r="AR29" s="3">
        <f t="shared" si="17"/>
        <v>1</v>
      </c>
      <c r="AS29" s="28" t="e">
        <f>#REF!</f>
        <v>#REF!</v>
      </c>
      <c r="AT29" s="28" t="e">
        <f>#REF!*2</f>
        <v>#REF!</v>
      </c>
      <c r="AU29" s="28" t="e">
        <f>#REF!</f>
        <v>#REF!</v>
      </c>
      <c r="AV29" s="28" t="e">
        <f>#REF!*2</f>
        <v>#REF!</v>
      </c>
      <c r="AW29" s="28" t="e">
        <f>#REF!</f>
        <v>#REF!</v>
      </c>
      <c r="AX29" s="28" t="e">
        <f>#REF!*2</f>
        <v>#REF!</v>
      </c>
      <c r="AY29" s="28" t="e">
        <f>#REF!</f>
        <v>#REF!</v>
      </c>
      <c r="AZ29" s="28" t="e">
        <f>#REF!*2</f>
        <v>#REF!</v>
      </c>
      <c r="BA29" s="28" t="e">
        <f>#REF!</f>
        <v>#REF!</v>
      </c>
      <c r="BB29" s="28" t="e">
        <f>#REF!*2</f>
        <v>#REF!</v>
      </c>
      <c r="BC29" s="28" t="e">
        <f>#REF!</f>
        <v>#REF!</v>
      </c>
      <c r="BD29" s="28" t="e">
        <f>#REF!*2</f>
        <v>#REF!</v>
      </c>
      <c r="BE29" s="9" t="e">
        <f>#REF!-#REF!</f>
        <v>#REF!</v>
      </c>
      <c r="BF29" s="9" t="e">
        <f>#REF!-#REF!</f>
        <v>#REF!</v>
      </c>
      <c r="BG29" s="9" t="e">
        <f>#REF!-#REF!</f>
        <v>#REF!</v>
      </c>
      <c r="BH29" s="9" t="e">
        <f>#REF!-#REF!</f>
        <v>#REF!</v>
      </c>
      <c r="BI29" s="9" t="e">
        <f>#REF!-#REF!</f>
        <v>#REF!</v>
      </c>
      <c r="BJ29" s="33"/>
      <c r="BK29" s="3">
        <f t="shared" si="18"/>
        <v>2</v>
      </c>
      <c r="BL29" s="3">
        <f t="shared" si="19"/>
        <v>1</v>
      </c>
      <c r="BM29" s="3">
        <f t="shared" si="20"/>
        <v>2</v>
      </c>
      <c r="BN29" s="3">
        <f t="shared" si="21"/>
        <v>0</v>
      </c>
      <c r="BO29" s="3">
        <f t="shared" si="22"/>
        <v>1</v>
      </c>
      <c r="BP29" s="28" t="e">
        <f>#REF!</f>
        <v>#REF!</v>
      </c>
      <c r="BQ29" s="28" t="e">
        <f>#REF!*2</f>
        <v>#REF!</v>
      </c>
      <c r="BR29" s="28" t="e">
        <f>#REF!</f>
        <v>#REF!</v>
      </c>
      <c r="BS29" s="28" t="e">
        <f>#REF!*2</f>
        <v>#REF!</v>
      </c>
      <c r="BT29" s="28" t="e">
        <f>#REF!</f>
        <v>#REF!</v>
      </c>
      <c r="BU29" s="28" t="e">
        <f>#REF!*2</f>
        <v>#REF!</v>
      </c>
      <c r="BV29" s="28" t="e">
        <f>#REF!</f>
        <v>#REF!</v>
      </c>
      <c r="BW29" s="28" t="e">
        <f>#REF!*2</f>
        <v>#REF!</v>
      </c>
      <c r="BX29" s="28" t="e">
        <f>#REF!</f>
        <v>#REF!</v>
      </c>
      <c r="BY29" s="28" t="e">
        <f>#REF!*2</f>
        <v>#REF!</v>
      </c>
      <c r="BZ29" s="28" t="e">
        <f>#REF!</f>
        <v>#REF!</v>
      </c>
      <c r="CA29" s="28" t="e">
        <f>#REF!*2</f>
        <v>#REF!</v>
      </c>
      <c r="CB29" s="9">
        <f t="shared" si="23"/>
        <v>4</v>
      </c>
      <c r="CC29" s="9">
        <f t="shared" si="24"/>
        <v>4</v>
      </c>
      <c r="CD29" s="9">
        <f t="shared" si="25"/>
        <v>9</v>
      </c>
      <c r="CE29" s="9">
        <f t="shared" si="26"/>
        <v>2</v>
      </c>
      <c r="CF29" s="9">
        <f t="shared" si="27"/>
        <v>19</v>
      </c>
      <c r="CG29" s="33"/>
      <c r="CH29" s="9">
        <f t="shared" si="28"/>
        <v>4</v>
      </c>
      <c r="CI29" s="9">
        <f t="shared" si="29"/>
        <v>4</v>
      </c>
      <c r="CJ29" s="9">
        <f t="shared" si="30"/>
        <v>9</v>
      </c>
      <c r="CK29" s="9">
        <f t="shared" si="31"/>
        <v>2</v>
      </c>
      <c r="CL29" s="9">
        <f t="shared" si="32"/>
        <v>19</v>
      </c>
      <c r="CM29" s="32"/>
      <c r="CN29" s="3">
        <f t="shared" si="33"/>
        <v>2</v>
      </c>
      <c r="CO29" s="3">
        <f t="shared" si="34"/>
        <v>2</v>
      </c>
      <c r="CP29" s="3">
        <f t="shared" si="35"/>
        <v>1</v>
      </c>
      <c r="CQ29" s="3">
        <f t="shared" si="36"/>
        <v>2</v>
      </c>
      <c r="CR29" s="3">
        <f t="shared" si="37"/>
        <v>1</v>
      </c>
      <c r="CS29" s="31"/>
      <c r="CT29" s="3" cm="1">
        <f t="array" ref="CT29">SUMPRODUCT(--(MOD(CH29:CL29,2)=1))</f>
        <v>2</v>
      </c>
      <c r="CU29" s="3">
        <f t="shared" si="38"/>
        <v>3</v>
      </c>
      <c r="CV29" s="30"/>
      <c r="CW29" s="3" cm="1">
        <f t="array" ref="CW29">SUMPRODUCT(--(MOD(CH29:CL29,10)&gt;=1), --(MOD(CH29:CL29,10)&lt;=5))</f>
        <v>3</v>
      </c>
      <c r="CX29" s="3">
        <f t="shared" si="39"/>
        <v>2</v>
      </c>
      <c r="CY29" s="30"/>
      <c r="CZ29" s="3" cm="1">
        <f t="array" ref="CZ29">IFERROR(COUNT(_xlfn._xlws.FILTER(CH29:CL29, ISNUMBER(MATCH(CH29:CL29, {2,3,5,7,11,13,17,19,23,29,31,37,41,43}, 0)))), 0)</f>
        <v>2</v>
      </c>
      <c r="DA29" s="3" cm="1">
        <f t="array" ref="DA29">IFERROR(COUNT(_xlfn._xlws.FILTER(CH29:CL29, ISNUMBER(MATCH(CH29:CL29, {1,4,8,10,14,16,20,22,25,26,28,32,34,35,38,40,44}, 0)))), 0)</f>
        <v>2</v>
      </c>
      <c r="DB29" s="3" cm="1">
        <f t="array" ref="DB29">IFERROR(COUNT(_xlfn._xlws.FILTER(CH29:CL29, ISNUMBER(MATCH(CH29:CL29, {6,9,12,15,18,21,24,27,30,33,36,39,42,45}, 0)))), 0)</f>
        <v>1</v>
      </c>
      <c r="DC29" s="29"/>
      <c r="DD29" s="28" t="e">
        <f>#REF!</f>
        <v>#REF!</v>
      </c>
      <c r="DE29" s="28" t="e">
        <f>#REF!*2</f>
        <v>#REF!</v>
      </c>
      <c r="DF29" s="28" t="e">
        <f>#REF!</f>
        <v>#REF!</v>
      </c>
      <c r="DG29" s="28" t="e">
        <f>#REF!*2</f>
        <v>#REF!</v>
      </c>
      <c r="DH29" s="28" t="e">
        <f>#REF!</f>
        <v>#REF!</v>
      </c>
      <c r="DI29" s="28" t="e">
        <f>#REF!*2</f>
        <v>#REF!</v>
      </c>
      <c r="DJ29" s="28" t="e">
        <f>#REF!</f>
        <v>#REF!</v>
      </c>
      <c r="DK29" s="28" t="e">
        <f>#REF!*2</f>
        <v>#REF!</v>
      </c>
      <c r="DL29" s="28" t="e">
        <f>#REF!</f>
        <v>#REF!</v>
      </c>
      <c r="DM29" s="28" t="e">
        <f>#REF!*2</f>
        <v>#REF!</v>
      </c>
      <c r="DN29" s="27"/>
      <c r="DO29" s="26"/>
      <c r="DP29" s="26"/>
      <c r="DQ29" s="26"/>
      <c r="DR29" s="26"/>
      <c r="DS29" s="26"/>
      <c r="DT29" s="25"/>
    </row>
    <row r="30" spans="2:124" x14ac:dyDescent="0.3">
      <c r="B30" s="3">
        <v>3</v>
      </c>
      <c r="C30" s="3">
        <v>13</v>
      </c>
      <c r="D30" s="3">
        <v>30</v>
      </c>
      <c r="E30" s="3">
        <v>33</v>
      </c>
      <c r="F30" s="3">
        <v>43</v>
      </c>
      <c r="G30" s="3">
        <v>45</v>
      </c>
      <c r="H30" s="32"/>
      <c r="I30" s="3">
        <f t="shared" si="0"/>
        <v>1</v>
      </c>
      <c r="J30" s="3">
        <f t="shared" si="1"/>
        <v>1</v>
      </c>
      <c r="K30" s="3">
        <f t="shared" si="2"/>
        <v>2</v>
      </c>
      <c r="L30" s="3">
        <f t="shared" si="3"/>
        <v>1</v>
      </c>
      <c r="M30" s="3">
        <f t="shared" si="4"/>
        <v>1</v>
      </c>
      <c r="N30" s="3">
        <f t="shared" si="5"/>
        <v>1</v>
      </c>
      <c r="O30" s="32"/>
      <c r="P30" s="3" cm="1">
        <f t="array" ref="P30">SUMPRODUCT(--(MOD(B30:G30,2)=1))</f>
        <v>5</v>
      </c>
      <c r="Q30" s="3">
        <f t="shared" si="6"/>
        <v>1</v>
      </c>
      <c r="R30" s="34"/>
      <c r="S30" s="3">
        <f t="shared" si="7"/>
        <v>2</v>
      </c>
      <c r="T30" s="3">
        <f t="shared" si="8"/>
        <v>4</v>
      </c>
      <c r="U30" s="34"/>
      <c r="V30" s="3" cm="1">
        <f t="array" ref="V30">SUMPRODUCT(--(MOD(B30:G30,10)&gt;=1), --(MOD(B30:G30,10)&lt;=5))</f>
        <v>5</v>
      </c>
      <c r="W30" s="3">
        <f t="shared" si="9"/>
        <v>1</v>
      </c>
      <c r="X30" s="34"/>
      <c r="Y30" s="3" cm="1">
        <f t="array" ref="Y30">IFERROR(COUNT(_xlfn._xlws.FILTER(B30:G30, ISNUMBER(MATCH(B30:G30, {2,3,5,7,11,13,17,19,23,29,31,37,41,43}, 0)))), 0)</f>
        <v>3</v>
      </c>
      <c r="Z30" s="3" cm="1">
        <f t="array" ref="Z30">IFERROR(COUNT(_xlfn._xlws.FILTER(B30:G30, ISNUMBER(MATCH(B30:G30, {1,4,8,10,14,16,20,22,25,26,28,32,34,35,38,40,44}, 0)))), 0)</f>
        <v>0</v>
      </c>
      <c r="AA30" s="3" cm="1">
        <f t="array" ref="AA30">IFERROR(COUNT(_xlfn._xlws.FILTER(B30:G30, ISNUMBER(MATCH(B30:G30, {6,9,12,15,18,21,24,27,30,33,36,39,42,45}, 0)))), 0)</f>
        <v>3</v>
      </c>
      <c r="AB30" s="30"/>
      <c r="AC30" s="26"/>
      <c r="AD30" s="26"/>
      <c r="AE30" s="26"/>
      <c r="AF30" s="26"/>
      <c r="AG30" s="26"/>
      <c r="AH30" s="26"/>
      <c r="AI30" s="30"/>
      <c r="AJ30" s="3">
        <f t="shared" si="10"/>
        <v>2</v>
      </c>
      <c r="AK30" s="3">
        <f t="shared" si="11"/>
        <v>1</v>
      </c>
      <c r="AL30" s="3">
        <f t="shared" si="12"/>
        <v>3</v>
      </c>
      <c r="AM30" s="33"/>
      <c r="AN30" s="3">
        <f t="shared" si="13"/>
        <v>1</v>
      </c>
      <c r="AO30" s="3">
        <f t="shared" si="14"/>
        <v>1</v>
      </c>
      <c r="AP30" s="3">
        <f t="shared" si="15"/>
        <v>0</v>
      </c>
      <c r="AQ30" s="3">
        <f t="shared" si="16"/>
        <v>2</v>
      </c>
      <c r="AR30" s="3">
        <f t="shared" si="17"/>
        <v>2</v>
      </c>
      <c r="AS30" s="28" t="e">
        <f>#REF!</f>
        <v>#REF!</v>
      </c>
      <c r="AT30" s="28" t="e">
        <f>#REF!*2</f>
        <v>#REF!</v>
      </c>
      <c r="AU30" s="28" t="e">
        <f>#REF!</f>
        <v>#REF!</v>
      </c>
      <c r="AV30" s="28" t="e">
        <f>#REF!*2</f>
        <v>#REF!</v>
      </c>
      <c r="AW30" s="28" t="e">
        <f>#REF!</f>
        <v>#REF!</v>
      </c>
      <c r="AX30" s="28" t="e">
        <f>#REF!*2</f>
        <v>#REF!</v>
      </c>
      <c r="AY30" s="28" t="e">
        <f>#REF!</f>
        <v>#REF!</v>
      </c>
      <c r="AZ30" s="28" t="e">
        <f>#REF!*2</f>
        <v>#REF!</v>
      </c>
      <c r="BA30" s="28" t="e">
        <f>#REF!</f>
        <v>#REF!</v>
      </c>
      <c r="BB30" s="28" t="e">
        <f>#REF!*2</f>
        <v>#REF!</v>
      </c>
      <c r="BC30" s="28" t="e">
        <f>#REF!</f>
        <v>#REF!</v>
      </c>
      <c r="BD30" s="28" t="e">
        <f>#REF!*2</f>
        <v>#REF!</v>
      </c>
      <c r="BE30" s="9" t="e">
        <f>#REF!-#REF!</f>
        <v>#REF!</v>
      </c>
      <c r="BF30" s="9" t="e">
        <f>#REF!-#REF!</f>
        <v>#REF!</v>
      </c>
      <c r="BG30" s="9" t="e">
        <f>#REF!-#REF!</f>
        <v>#REF!</v>
      </c>
      <c r="BH30" s="9" t="e">
        <f>#REF!-#REF!</f>
        <v>#REF!</v>
      </c>
      <c r="BI30" s="9" t="e">
        <f>#REF!-#REF!</f>
        <v>#REF!</v>
      </c>
      <c r="BJ30" s="33"/>
      <c r="BK30" s="3">
        <f t="shared" si="18"/>
        <v>1</v>
      </c>
      <c r="BL30" s="3">
        <f t="shared" si="19"/>
        <v>1</v>
      </c>
      <c r="BM30" s="3">
        <f t="shared" si="20"/>
        <v>0</v>
      </c>
      <c r="BN30" s="3">
        <f t="shared" si="21"/>
        <v>2</v>
      </c>
      <c r="BO30" s="3">
        <f t="shared" si="22"/>
        <v>2</v>
      </c>
      <c r="BP30" s="28" t="e">
        <f>#REF!</f>
        <v>#REF!</v>
      </c>
      <c r="BQ30" s="28" t="e">
        <f>#REF!*2</f>
        <v>#REF!</v>
      </c>
      <c r="BR30" s="28" t="e">
        <f>#REF!</f>
        <v>#REF!</v>
      </c>
      <c r="BS30" s="28" t="e">
        <f>#REF!*2</f>
        <v>#REF!</v>
      </c>
      <c r="BT30" s="28" t="e">
        <f>#REF!</f>
        <v>#REF!</v>
      </c>
      <c r="BU30" s="28" t="e">
        <f>#REF!*2</f>
        <v>#REF!</v>
      </c>
      <c r="BV30" s="28" t="e">
        <f>#REF!</f>
        <v>#REF!</v>
      </c>
      <c r="BW30" s="28" t="e">
        <f>#REF!*2</f>
        <v>#REF!</v>
      </c>
      <c r="BX30" s="28" t="e">
        <f>#REF!</f>
        <v>#REF!</v>
      </c>
      <c r="BY30" s="28" t="e">
        <f>#REF!*2</f>
        <v>#REF!</v>
      </c>
      <c r="BZ30" s="28" t="e">
        <f>#REF!</f>
        <v>#REF!</v>
      </c>
      <c r="CA30" s="28" t="e">
        <f>#REF!*2</f>
        <v>#REF!</v>
      </c>
      <c r="CB30" s="9">
        <f t="shared" si="23"/>
        <v>10</v>
      </c>
      <c r="CC30" s="9">
        <f t="shared" si="24"/>
        <v>17</v>
      </c>
      <c r="CD30" s="9">
        <f t="shared" si="25"/>
        <v>3</v>
      </c>
      <c r="CE30" s="9">
        <f t="shared" si="26"/>
        <v>10</v>
      </c>
      <c r="CF30" s="9">
        <f t="shared" si="27"/>
        <v>2</v>
      </c>
      <c r="CG30" s="33"/>
      <c r="CH30" s="9">
        <f t="shared" si="28"/>
        <v>10</v>
      </c>
      <c r="CI30" s="9">
        <f t="shared" si="29"/>
        <v>17</v>
      </c>
      <c r="CJ30" s="9">
        <f t="shared" si="30"/>
        <v>3</v>
      </c>
      <c r="CK30" s="9">
        <f t="shared" si="31"/>
        <v>10</v>
      </c>
      <c r="CL30" s="9">
        <f t="shared" si="32"/>
        <v>2</v>
      </c>
      <c r="CM30" s="32"/>
      <c r="CN30" s="3">
        <f t="shared" si="33"/>
        <v>2</v>
      </c>
      <c r="CO30" s="3">
        <f t="shared" si="34"/>
        <v>1</v>
      </c>
      <c r="CP30" s="3">
        <f t="shared" si="35"/>
        <v>1</v>
      </c>
      <c r="CQ30" s="3">
        <f t="shared" si="36"/>
        <v>2</v>
      </c>
      <c r="CR30" s="3">
        <f t="shared" si="37"/>
        <v>2</v>
      </c>
      <c r="CS30" s="31"/>
      <c r="CT30" s="3" cm="1">
        <f t="array" ref="CT30">SUMPRODUCT(--(MOD(CH30:CL30,2)=1))</f>
        <v>2</v>
      </c>
      <c r="CU30" s="3">
        <f t="shared" si="38"/>
        <v>3</v>
      </c>
      <c r="CV30" s="30"/>
      <c r="CW30" s="3" cm="1">
        <f t="array" ref="CW30">SUMPRODUCT(--(MOD(CH30:CL30,10)&gt;=1), --(MOD(CH30:CL30,10)&lt;=5))</f>
        <v>2</v>
      </c>
      <c r="CX30" s="3">
        <f t="shared" si="39"/>
        <v>3</v>
      </c>
      <c r="CY30" s="30"/>
      <c r="CZ30" s="3" cm="1">
        <f t="array" ref="CZ30">IFERROR(COUNT(_xlfn._xlws.FILTER(CH30:CL30, ISNUMBER(MATCH(CH30:CL30, {2,3,5,7,11,13,17,19,23,29,31,37,41,43}, 0)))), 0)</f>
        <v>3</v>
      </c>
      <c r="DA30" s="3" cm="1">
        <f t="array" ref="DA30">IFERROR(COUNT(_xlfn._xlws.FILTER(CH30:CL30, ISNUMBER(MATCH(CH30:CL30, {1,4,8,10,14,16,20,22,25,26,28,32,34,35,38,40,44}, 0)))), 0)</f>
        <v>2</v>
      </c>
      <c r="DB30" s="3" cm="1">
        <f t="array" ref="DB30">IFERROR(COUNT(_xlfn._xlws.FILTER(CH30:CL30, ISNUMBER(MATCH(CH30:CL30, {6,9,12,15,18,21,24,27,30,33,36,39,42,45}, 0)))), 0)</f>
        <v>0</v>
      </c>
      <c r="DC30" s="29"/>
      <c r="DD30" s="28" t="e">
        <f>#REF!</f>
        <v>#REF!</v>
      </c>
      <c r="DE30" s="28" t="e">
        <f>#REF!*2</f>
        <v>#REF!</v>
      </c>
      <c r="DF30" s="28" t="e">
        <f>#REF!</f>
        <v>#REF!</v>
      </c>
      <c r="DG30" s="28" t="e">
        <f>#REF!*2</f>
        <v>#REF!</v>
      </c>
      <c r="DH30" s="28" t="e">
        <f>#REF!</f>
        <v>#REF!</v>
      </c>
      <c r="DI30" s="28" t="e">
        <f>#REF!*2</f>
        <v>#REF!</v>
      </c>
      <c r="DJ30" s="28" t="e">
        <f>#REF!</f>
        <v>#REF!</v>
      </c>
      <c r="DK30" s="28" t="e">
        <f>#REF!*2</f>
        <v>#REF!</v>
      </c>
      <c r="DL30" s="28" t="e">
        <f>#REF!</f>
        <v>#REF!</v>
      </c>
      <c r="DM30" s="28" t="e">
        <f>#REF!*2</f>
        <v>#REF!</v>
      </c>
      <c r="DN30" s="27"/>
      <c r="DO30" s="26"/>
      <c r="DP30" s="26"/>
      <c r="DQ30" s="26"/>
      <c r="DR30" s="26"/>
      <c r="DS30" s="26"/>
      <c r="DT30" s="25"/>
    </row>
    <row r="31" spans="2:124" x14ac:dyDescent="0.3">
      <c r="B31" s="3">
        <v>16</v>
      </c>
      <c r="C31" s="3">
        <v>20</v>
      </c>
      <c r="D31" s="3">
        <v>26</v>
      </c>
      <c r="E31" s="3">
        <v>36</v>
      </c>
      <c r="F31" s="3">
        <v>42</v>
      </c>
      <c r="G31" s="3">
        <v>44</v>
      </c>
      <c r="H31" s="32"/>
      <c r="I31" s="3">
        <f t="shared" si="0"/>
        <v>2</v>
      </c>
      <c r="J31" s="3">
        <f t="shared" si="1"/>
        <v>2</v>
      </c>
      <c r="K31" s="3">
        <f t="shared" si="2"/>
        <v>2</v>
      </c>
      <c r="L31" s="3">
        <f t="shared" si="3"/>
        <v>2</v>
      </c>
      <c r="M31" s="3">
        <f t="shared" si="4"/>
        <v>2</v>
      </c>
      <c r="N31" s="3">
        <f t="shared" si="5"/>
        <v>2</v>
      </c>
      <c r="O31" s="32"/>
      <c r="P31" s="3" cm="1">
        <f t="array" ref="P31">SUMPRODUCT(--(MOD(B31:G31,2)=1))</f>
        <v>0</v>
      </c>
      <c r="Q31" s="3">
        <f t="shared" si="6"/>
        <v>6</v>
      </c>
      <c r="R31" s="34"/>
      <c r="S31" s="3">
        <f t="shared" si="7"/>
        <v>2</v>
      </c>
      <c r="T31" s="3">
        <f t="shared" si="8"/>
        <v>4</v>
      </c>
      <c r="U31" s="34"/>
      <c r="V31" s="3" cm="1">
        <f t="array" ref="V31">SUMPRODUCT(--(MOD(B31:G31,10)&gt;=1), --(MOD(B31:G31,10)&lt;=5))</f>
        <v>2</v>
      </c>
      <c r="W31" s="3">
        <f t="shared" si="9"/>
        <v>4</v>
      </c>
      <c r="X31" s="34"/>
      <c r="Y31" s="3" cm="1">
        <f t="array" ref="Y31">IFERROR(COUNT(_xlfn._xlws.FILTER(B31:G31, ISNUMBER(MATCH(B31:G31, {2,3,5,7,11,13,17,19,23,29,31,37,41,43}, 0)))), 0)</f>
        <v>0</v>
      </c>
      <c r="Z31" s="3" cm="1">
        <f t="array" ref="Z31">IFERROR(COUNT(_xlfn._xlws.FILTER(B31:G31, ISNUMBER(MATCH(B31:G31, {1,4,8,10,14,16,20,22,25,26,28,32,34,35,38,40,44}, 0)))), 0)</f>
        <v>4</v>
      </c>
      <c r="AA31" s="3" cm="1">
        <f t="array" ref="AA31">IFERROR(COUNT(_xlfn._xlws.FILTER(B31:G31, ISNUMBER(MATCH(B31:G31, {6,9,12,15,18,21,24,27,30,33,36,39,42,45}, 0)))), 0)</f>
        <v>2</v>
      </c>
      <c r="AB31" s="30"/>
      <c r="AC31" s="26"/>
      <c r="AD31" s="26"/>
      <c r="AE31" s="26"/>
      <c r="AF31" s="26"/>
      <c r="AG31" s="26"/>
      <c r="AH31" s="26"/>
      <c r="AI31" s="30"/>
      <c r="AJ31" s="3">
        <f t="shared" si="10"/>
        <v>0</v>
      </c>
      <c r="AK31" s="3">
        <f t="shared" si="11"/>
        <v>3</v>
      </c>
      <c r="AL31" s="3">
        <f t="shared" si="12"/>
        <v>3</v>
      </c>
      <c r="AM31" s="33"/>
      <c r="AN31" s="3">
        <f t="shared" si="13"/>
        <v>0</v>
      </c>
      <c r="AO31" s="3">
        <f t="shared" si="14"/>
        <v>1</v>
      </c>
      <c r="AP31" s="3">
        <f t="shared" si="15"/>
        <v>2</v>
      </c>
      <c r="AQ31" s="3">
        <f t="shared" si="16"/>
        <v>1</v>
      </c>
      <c r="AR31" s="3">
        <f t="shared" si="17"/>
        <v>2</v>
      </c>
      <c r="AS31" s="28" t="e">
        <f>#REF!</f>
        <v>#REF!</v>
      </c>
      <c r="AT31" s="28" t="e">
        <f>#REF!*2</f>
        <v>#REF!</v>
      </c>
      <c r="AU31" s="28" t="e">
        <f>#REF!</f>
        <v>#REF!</v>
      </c>
      <c r="AV31" s="28" t="e">
        <f>#REF!*2</f>
        <v>#REF!</v>
      </c>
      <c r="AW31" s="28" t="e">
        <f>#REF!</f>
        <v>#REF!</v>
      </c>
      <c r="AX31" s="28" t="e">
        <f>#REF!*2</f>
        <v>#REF!</v>
      </c>
      <c r="AY31" s="28" t="e">
        <f>#REF!</f>
        <v>#REF!</v>
      </c>
      <c r="AZ31" s="28" t="e">
        <f>#REF!*2</f>
        <v>#REF!</v>
      </c>
      <c r="BA31" s="28" t="e">
        <f>#REF!</f>
        <v>#REF!</v>
      </c>
      <c r="BB31" s="28" t="e">
        <f>#REF!*2</f>
        <v>#REF!</v>
      </c>
      <c r="BC31" s="28" t="e">
        <f>#REF!</f>
        <v>#REF!</v>
      </c>
      <c r="BD31" s="28" t="e">
        <f>#REF!*2</f>
        <v>#REF!</v>
      </c>
      <c r="BE31" s="9" t="e">
        <f>#REF!-#REF!</f>
        <v>#REF!</v>
      </c>
      <c r="BF31" s="9" t="e">
        <f>#REF!-#REF!</f>
        <v>#REF!</v>
      </c>
      <c r="BG31" s="9" t="e">
        <f>#REF!-#REF!</f>
        <v>#REF!</v>
      </c>
      <c r="BH31" s="9" t="e">
        <f>#REF!-#REF!</f>
        <v>#REF!</v>
      </c>
      <c r="BI31" s="9" t="e">
        <f>#REF!-#REF!</f>
        <v>#REF!</v>
      </c>
      <c r="BJ31" s="33"/>
      <c r="BK31" s="3">
        <f t="shared" si="18"/>
        <v>0</v>
      </c>
      <c r="BL31" s="3">
        <f t="shared" si="19"/>
        <v>1</v>
      </c>
      <c r="BM31" s="3">
        <f t="shared" si="20"/>
        <v>2</v>
      </c>
      <c r="BN31" s="3">
        <f t="shared" si="21"/>
        <v>1</v>
      </c>
      <c r="BO31" s="3">
        <f t="shared" si="22"/>
        <v>2</v>
      </c>
      <c r="BP31" s="28" t="e">
        <f>#REF!</f>
        <v>#REF!</v>
      </c>
      <c r="BQ31" s="28" t="e">
        <f>#REF!*2</f>
        <v>#REF!</v>
      </c>
      <c r="BR31" s="28" t="e">
        <f>#REF!</f>
        <v>#REF!</v>
      </c>
      <c r="BS31" s="28" t="e">
        <f>#REF!*2</f>
        <v>#REF!</v>
      </c>
      <c r="BT31" s="28" t="e">
        <f>#REF!</f>
        <v>#REF!</v>
      </c>
      <c r="BU31" s="28" t="e">
        <f>#REF!*2</f>
        <v>#REF!</v>
      </c>
      <c r="BV31" s="28" t="e">
        <f>#REF!</f>
        <v>#REF!</v>
      </c>
      <c r="BW31" s="28" t="e">
        <f>#REF!*2</f>
        <v>#REF!</v>
      </c>
      <c r="BX31" s="28" t="e">
        <f>#REF!</f>
        <v>#REF!</v>
      </c>
      <c r="BY31" s="28" t="e">
        <f>#REF!*2</f>
        <v>#REF!</v>
      </c>
      <c r="BZ31" s="28" t="e">
        <f>#REF!</f>
        <v>#REF!</v>
      </c>
      <c r="CA31" s="28" t="e">
        <f>#REF!*2</f>
        <v>#REF!</v>
      </c>
      <c r="CB31" s="9">
        <f t="shared" si="23"/>
        <v>4</v>
      </c>
      <c r="CC31" s="9">
        <f t="shared" si="24"/>
        <v>6</v>
      </c>
      <c r="CD31" s="9">
        <f t="shared" si="25"/>
        <v>10</v>
      </c>
      <c r="CE31" s="9">
        <f t="shared" si="26"/>
        <v>6</v>
      </c>
      <c r="CF31" s="9">
        <f t="shared" si="27"/>
        <v>2</v>
      </c>
      <c r="CG31" s="33"/>
      <c r="CH31" s="9">
        <f t="shared" si="28"/>
        <v>4</v>
      </c>
      <c r="CI31" s="9">
        <f t="shared" si="29"/>
        <v>6</v>
      </c>
      <c r="CJ31" s="9">
        <f t="shared" si="30"/>
        <v>10</v>
      </c>
      <c r="CK31" s="9">
        <f t="shared" si="31"/>
        <v>6</v>
      </c>
      <c r="CL31" s="9">
        <f t="shared" si="32"/>
        <v>2</v>
      </c>
      <c r="CM31" s="32"/>
      <c r="CN31" s="3">
        <f t="shared" si="33"/>
        <v>2</v>
      </c>
      <c r="CO31" s="3">
        <f t="shared" si="34"/>
        <v>2</v>
      </c>
      <c r="CP31" s="3">
        <f t="shared" si="35"/>
        <v>2</v>
      </c>
      <c r="CQ31" s="3">
        <f t="shared" si="36"/>
        <v>2</v>
      </c>
      <c r="CR31" s="3">
        <f t="shared" si="37"/>
        <v>2</v>
      </c>
      <c r="CS31" s="31"/>
      <c r="CT31" s="3" cm="1">
        <f t="array" ref="CT31">SUMPRODUCT(--(MOD(CH31:CL31,2)=1))</f>
        <v>0</v>
      </c>
      <c r="CU31" s="3">
        <f t="shared" si="38"/>
        <v>5</v>
      </c>
      <c r="CV31" s="30"/>
      <c r="CW31" s="3" cm="1">
        <f t="array" ref="CW31">SUMPRODUCT(--(MOD(CH31:CL31,10)&gt;=1), --(MOD(CH31:CL31,10)&lt;=5))</f>
        <v>2</v>
      </c>
      <c r="CX31" s="3">
        <f t="shared" si="39"/>
        <v>3</v>
      </c>
      <c r="CY31" s="30"/>
      <c r="CZ31" s="3" cm="1">
        <f t="array" ref="CZ31">IFERROR(COUNT(_xlfn._xlws.FILTER(CH31:CL31, ISNUMBER(MATCH(CH31:CL31, {2,3,5,7,11,13,17,19,23,29,31,37,41,43}, 0)))), 0)</f>
        <v>1</v>
      </c>
      <c r="DA31" s="3" cm="1">
        <f t="array" ref="DA31">IFERROR(COUNT(_xlfn._xlws.FILTER(CH31:CL31, ISNUMBER(MATCH(CH31:CL31, {1,4,8,10,14,16,20,22,25,26,28,32,34,35,38,40,44}, 0)))), 0)</f>
        <v>2</v>
      </c>
      <c r="DB31" s="3" cm="1">
        <f t="array" ref="DB31">IFERROR(COUNT(_xlfn._xlws.FILTER(CH31:CL31, ISNUMBER(MATCH(CH31:CL31, {6,9,12,15,18,21,24,27,30,33,36,39,42,45}, 0)))), 0)</f>
        <v>2</v>
      </c>
      <c r="DC31" s="29"/>
      <c r="DD31" s="28" t="e">
        <f>#REF!</f>
        <v>#REF!</v>
      </c>
      <c r="DE31" s="28" t="e">
        <f>#REF!*2</f>
        <v>#REF!</v>
      </c>
      <c r="DF31" s="28" t="e">
        <f>#REF!</f>
        <v>#REF!</v>
      </c>
      <c r="DG31" s="28" t="e">
        <f>#REF!*2</f>
        <v>#REF!</v>
      </c>
      <c r="DH31" s="28" t="e">
        <f>#REF!</f>
        <v>#REF!</v>
      </c>
      <c r="DI31" s="28" t="e">
        <f>#REF!*2</f>
        <v>#REF!</v>
      </c>
      <c r="DJ31" s="28" t="e">
        <f>#REF!</f>
        <v>#REF!</v>
      </c>
      <c r="DK31" s="28" t="e">
        <f>#REF!*2</f>
        <v>#REF!</v>
      </c>
      <c r="DL31" s="28" t="e">
        <f>#REF!</f>
        <v>#REF!</v>
      </c>
      <c r="DM31" s="28" t="e">
        <f>#REF!*2</f>
        <v>#REF!</v>
      </c>
      <c r="DN31" s="27"/>
      <c r="DO31" s="26"/>
      <c r="DP31" s="26"/>
      <c r="DQ31" s="26"/>
      <c r="DR31" s="26"/>
      <c r="DS31" s="26"/>
      <c r="DT31" s="25"/>
    </row>
    <row r="32" spans="2:124" x14ac:dyDescent="0.3">
      <c r="B32" s="3">
        <v>11</v>
      </c>
      <c r="C32" s="3">
        <v>13</v>
      </c>
      <c r="D32" s="3">
        <v>20</v>
      </c>
      <c r="E32" s="3">
        <v>21</v>
      </c>
      <c r="F32" s="3">
        <v>32</v>
      </c>
      <c r="G32" s="3">
        <v>44</v>
      </c>
      <c r="H32" s="32"/>
      <c r="I32" s="3">
        <f t="shared" si="0"/>
        <v>1</v>
      </c>
      <c r="J32" s="3">
        <f t="shared" si="1"/>
        <v>1</v>
      </c>
      <c r="K32" s="3">
        <f t="shared" si="2"/>
        <v>2</v>
      </c>
      <c r="L32" s="3">
        <f t="shared" si="3"/>
        <v>1</v>
      </c>
      <c r="M32" s="3">
        <f t="shared" si="4"/>
        <v>2</v>
      </c>
      <c r="N32" s="3">
        <f t="shared" si="5"/>
        <v>2</v>
      </c>
      <c r="O32" s="32"/>
      <c r="P32" s="3" cm="1">
        <f t="array" ref="P32">SUMPRODUCT(--(MOD(B32:G32,2)=1))</f>
        <v>3</v>
      </c>
      <c r="Q32" s="3">
        <f t="shared" si="6"/>
        <v>3</v>
      </c>
      <c r="R32" s="34"/>
      <c r="S32" s="3">
        <f t="shared" si="7"/>
        <v>4</v>
      </c>
      <c r="T32" s="3">
        <f t="shared" si="8"/>
        <v>2</v>
      </c>
      <c r="U32" s="34"/>
      <c r="V32" s="3" cm="1">
        <f t="array" ref="V32">SUMPRODUCT(--(MOD(B32:G32,10)&gt;=1), --(MOD(B32:G32,10)&lt;=5))</f>
        <v>5</v>
      </c>
      <c r="W32" s="3">
        <f t="shared" si="9"/>
        <v>1</v>
      </c>
      <c r="X32" s="34"/>
      <c r="Y32" s="3" cm="1">
        <f t="array" ref="Y32">IFERROR(COUNT(_xlfn._xlws.FILTER(B32:G32, ISNUMBER(MATCH(B32:G32, {2,3,5,7,11,13,17,19,23,29,31,37,41,43}, 0)))), 0)</f>
        <v>2</v>
      </c>
      <c r="Z32" s="3" cm="1">
        <f t="array" ref="Z32">IFERROR(COUNT(_xlfn._xlws.FILTER(B32:G32, ISNUMBER(MATCH(B32:G32, {1,4,8,10,14,16,20,22,25,26,28,32,34,35,38,40,44}, 0)))), 0)</f>
        <v>3</v>
      </c>
      <c r="AA32" s="3" cm="1">
        <f t="array" ref="AA32">IFERROR(COUNT(_xlfn._xlws.FILTER(B32:G32, ISNUMBER(MATCH(B32:G32, {6,9,12,15,18,21,24,27,30,33,36,39,42,45}, 0)))), 0)</f>
        <v>1</v>
      </c>
      <c r="AB32" s="30"/>
      <c r="AC32" s="26"/>
      <c r="AD32" s="26"/>
      <c r="AE32" s="26"/>
      <c r="AF32" s="26"/>
      <c r="AG32" s="26"/>
      <c r="AH32" s="26"/>
      <c r="AI32" s="30"/>
      <c r="AJ32" s="3">
        <f t="shared" si="10"/>
        <v>2</v>
      </c>
      <c r="AK32" s="3">
        <f t="shared" si="11"/>
        <v>2</v>
      </c>
      <c r="AL32" s="3">
        <f t="shared" si="12"/>
        <v>2</v>
      </c>
      <c r="AM32" s="33"/>
      <c r="AN32" s="3">
        <f t="shared" si="13"/>
        <v>0</v>
      </c>
      <c r="AO32" s="3">
        <f t="shared" si="14"/>
        <v>2</v>
      </c>
      <c r="AP32" s="3">
        <f t="shared" si="15"/>
        <v>2</v>
      </c>
      <c r="AQ32" s="3">
        <f t="shared" si="16"/>
        <v>1</v>
      </c>
      <c r="AR32" s="3">
        <f t="shared" si="17"/>
        <v>1</v>
      </c>
      <c r="AS32" s="28" t="e">
        <f>#REF!</f>
        <v>#REF!</v>
      </c>
      <c r="AT32" s="28" t="e">
        <f>#REF!*2</f>
        <v>#REF!</v>
      </c>
      <c r="AU32" s="28" t="e">
        <f>#REF!</f>
        <v>#REF!</v>
      </c>
      <c r="AV32" s="28" t="e">
        <f>#REF!*2</f>
        <v>#REF!</v>
      </c>
      <c r="AW32" s="28" t="e">
        <f>#REF!</f>
        <v>#REF!</v>
      </c>
      <c r="AX32" s="28" t="e">
        <f>#REF!*2</f>
        <v>#REF!</v>
      </c>
      <c r="AY32" s="28" t="e">
        <f>#REF!</f>
        <v>#REF!</v>
      </c>
      <c r="AZ32" s="28" t="e">
        <f>#REF!*2</f>
        <v>#REF!</v>
      </c>
      <c r="BA32" s="28" t="e">
        <f>#REF!</f>
        <v>#REF!</v>
      </c>
      <c r="BB32" s="28" t="e">
        <f>#REF!*2</f>
        <v>#REF!</v>
      </c>
      <c r="BC32" s="28" t="e">
        <f>#REF!</f>
        <v>#REF!</v>
      </c>
      <c r="BD32" s="28" t="e">
        <f>#REF!*2</f>
        <v>#REF!</v>
      </c>
      <c r="BE32" s="9" t="e">
        <f>#REF!-#REF!</f>
        <v>#REF!</v>
      </c>
      <c r="BF32" s="9" t="e">
        <f>#REF!-#REF!</f>
        <v>#REF!</v>
      </c>
      <c r="BG32" s="9" t="e">
        <f>#REF!-#REF!</f>
        <v>#REF!</v>
      </c>
      <c r="BH32" s="9" t="e">
        <f>#REF!-#REF!</f>
        <v>#REF!</v>
      </c>
      <c r="BI32" s="9" t="e">
        <f>#REF!-#REF!</f>
        <v>#REF!</v>
      </c>
      <c r="BJ32" s="33"/>
      <c r="BK32" s="3">
        <f t="shared" si="18"/>
        <v>0</v>
      </c>
      <c r="BL32" s="3">
        <f t="shared" si="19"/>
        <v>2</v>
      </c>
      <c r="BM32" s="3">
        <f t="shared" si="20"/>
        <v>2</v>
      </c>
      <c r="BN32" s="3">
        <f t="shared" si="21"/>
        <v>1</v>
      </c>
      <c r="BO32" s="3">
        <f t="shared" si="22"/>
        <v>1</v>
      </c>
      <c r="BP32" s="28" t="e">
        <f>#REF!</f>
        <v>#REF!</v>
      </c>
      <c r="BQ32" s="28" t="e">
        <f>#REF!*2</f>
        <v>#REF!</v>
      </c>
      <c r="BR32" s="28" t="e">
        <f>#REF!</f>
        <v>#REF!</v>
      </c>
      <c r="BS32" s="28" t="e">
        <f>#REF!*2</f>
        <v>#REF!</v>
      </c>
      <c r="BT32" s="28" t="e">
        <f>#REF!</f>
        <v>#REF!</v>
      </c>
      <c r="BU32" s="28" t="e">
        <f>#REF!*2</f>
        <v>#REF!</v>
      </c>
      <c r="BV32" s="28" t="e">
        <f>#REF!</f>
        <v>#REF!</v>
      </c>
      <c r="BW32" s="28" t="e">
        <f>#REF!*2</f>
        <v>#REF!</v>
      </c>
      <c r="BX32" s="28" t="e">
        <f>#REF!</f>
        <v>#REF!</v>
      </c>
      <c r="BY32" s="28" t="e">
        <f>#REF!*2</f>
        <v>#REF!</v>
      </c>
      <c r="BZ32" s="28" t="e">
        <f>#REF!</f>
        <v>#REF!</v>
      </c>
      <c r="CA32" s="28" t="e">
        <f>#REF!*2</f>
        <v>#REF!</v>
      </c>
      <c r="CB32" s="9">
        <f t="shared" si="23"/>
        <v>2</v>
      </c>
      <c r="CC32" s="9">
        <f t="shared" si="24"/>
        <v>7</v>
      </c>
      <c r="CD32" s="9">
        <f t="shared" si="25"/>
        <v>1</v>
      </c>
      <c r="CE32" s="9">
        <f t="shared" si="26"/>
        <v>11</v>
      </c>
      <c r="CF32" s="9">
        <f t="shared" si="27"/>
        <v>12</v>
      </c>
      <c r="CG32" s="33"/>
      <c r="CH32" s="9">
        <f t="shared" si="28"/>
        <v>2</v>
      </c>
      <c r="CI32" s="9">
        <f t="shared" si="29"/>
        <v>7</v>
      </c>
      <c r="CJ32" s="9">
        <f t="shared" si="30"/>
        <v>1</v>
      </c>
      <c r="CK32" s="9">
        <f t="shared" si="31"/>
        <v>11</v>
      </c>
      <c r="CL32" s="9">
        <f t="shared" si="32"/>
        <v>12</v>
      </c>
      <c r="CM32" s="32"/>
      <c r="CN32" s="3">
        <f t="shared" si="33"/>
        <v>2</v>
      </c>
      <c r="CO32" s="3">
        <f t="shared" si="34"/>
        <v>1</v>
      </c>
      <c r="CP32" s="3">
        <f t="shared" si="35"/>
        <v>1</v>
      </c>
      <c r="CQ32" s="3">
        <f t="shared" si="36"/>
        <v>1</v>
      </c>
      <c r="CR32" s="3">
        <f t="shared" si="37"/>
        <v>2</v>
      </c>
      <c r="CS32" s="31"/>
      <c r="CT32" s="3" cm="1">
        <f t="array" ref="CT32">SUMPRODUCT(--(MOD(CH32:CL32,2)=1))</f>
        <v>3</v>
      </c>
      <c r="CU32" s="3">
        <f t="shared" si="38"/>
        <v>2</v>
      </c>
      <c r="CV32" s="30"/>
      <c r="CW32" s="3" cm="1">
        <f t="array" ref="CW32">SUMPRODUCT(--(MOD(CH32:CL32,10)&gt;=1), --(MOD(CH32:CL32,10)&lt;=5))</f>
        <v>4</v>
      </c>
      <c r="CX32" s="3">
        <f t="shared" si="39"/>
        <v>1</v>
      </c>
      <c r="CY32" s="30"/>
      <c r="CZ32" s="3" cm="1">
        <f t="array" ref="CZ32">IFERROR(COUNT(_xlfn._xlws.FILTER(CH32:CL32, ISNUMBER(MATCH(CH32:CL32, {2,3,5,7,11,13,17,19,23,29,31,37,41,43}, 0)))), 0)</f>
        <v>3</v>
      </c>
      <c r="DA32" s="3" cm="1">
        <f t="array" ref="DA32">IFERROR(COUNT(_xlfn._xlws.FILTER(CH32:CL32, ISNUMBER(MATCH(CH32:CL32, {1,4,8,10,14,16,20,22,25,26,28,32,34,35,38,40,44}, 0)))), 0)</f>
        <v>1</v>
      </c>
      <c r="DB32" s="3" cm="1">
        <f t="array" ref="DB32">IFERROR(COUNT(_xlfn._xlws.FILTER(CH32:CL32, ISNUMBER(MATCH(CH32:CL32, {6,9,12,15,18,21,24,27,30,33,36,39,42,45}, 0)))), 0)</f>
        <v>1</v>
      </c>
      <c r="DC32" s="29"/>
      <c r="DD32" s="28" t="e">
        <f>#REF!</f>
        <v>#REF!</v>
      </c>
      <c r="DE32" s="28" t="e">
        <f>#REF!*2</f>
        <v>#REF!</v>
      </c>
      <c r="DF32" s="28" t="e">
        <f>#REF!</f>
        <v>#REF!</v>
      </c>
      <c r="DG32" s="28" t="e">
        <f>#REF!*2</f>
        <v>#REF!</v>
      </c>
      <c r="DH32" s="28" t="e">
        <f>#REF!</f>
        <v>#REF!</v>
      </c>
      <c r="DI32" s="28" t="e">
        <f>#REF!*2</f>
        <v>#REF!</v>
      </c>
      <c r="DJ32" s="28" t="e">
        <f>#REF!</f>
        <v>#REF!</v>
      </c>
      <c r="DK32" s="28" t="e">
        <f>#REF!*2</f>
        <v>#REF!</v>
      </c>
      <c r="DL32" s="28" t="e">
        <f>#REF!</f>
        <v>#REF!</v>
      </c>
      <c r="DM32" s="28" t="e">
        <f>#REF!*2</f>
        <v>#REF!</v>
      </c>
      <c r="DN32" s="27"/>
      <c r="DO32" s="26"/>
      <c r="DP32" s="26"/>
      <c r="DQ32" s="26"/>
      <c r="DR32" s="26"/>
      <c r="DS32" s="26"/>
      <c r="DT32" s="25"/>
    </row>
    <row r="33" spans="2:124" x14ac:dyDescent="0.3">
      <c r="B33" s="3">
        <v>10</v>
      </c>
      <c r="C33" s="3">
        <v>16</v>
      </c>
      <c r="D33" s="3">
        <v>19</v>
      </c>
      <c r="E33" s="3">
        <v>32</v>
      </c>
      <c r="F33" s="3">
        <v>33</v>
      </c>
      <c r="G33" s="3">
        <v>38</v>
      </c>
      <c r="H33" s="32"/>
      <c r="I33" s="3">
        <f t="shared" si="0"/>
        <v>2</v>
      </c>
      <c r="J33" s="3">
        <f t="shared" si="1"/>
        <v>2</v>
      </c>
      <c r="K33" s="3">
        <f t="shared" si="2"/>
        <v>1</v>
      </c>
      <c r="L33" s="3">
        <f t="shared" si="3"/>
        <v>2</v>
      </c>
      <c r="M33" s="3">
        <f t="shared" si="4"/>
        <v>1</v>
      </c>
      <c r="N33" s="3">
        <f t="shared" si="5"/>
        <v>2</v>
      </c>
      <c r="O33" s="32"/>
      <c r="P33" s="3" cm="1">
        <f t="array" ref="P33">SUMPRODUCT(--(MOD(B33:G33,2)=1))</f>
        <v>2</v>
      </c>
      <c r="Q33" s="3">
        <f t="shared" si="6"/>
        <v>4</v>
      </c>
      <c r="R33" s="34"/>
      <c r="S33" s="3">
        <f t="shared" si="7"/>
        <v>3</v>
      </c>
      <c r="T33" s="3">
        <f t="shared" si="8"/>
        <v>3</v>
      </c>
      <c r="U33" s="34"/>
      <c r="V33" s="3" cm="1">
        <f t="array" ref="V33">SUMPRODUCT(--(MOD(B33:G33,10)&gt;=1), --(MOD(B33:G33,10)&lt;=5))</f>
        <v>2</v>
      </c>
      <c r="W33" s="3">
        <f t="shared" si="9"/>
        <v>4</v>
      </c>
      <c r="X33" s="34"/>
      <c r="Y33" s="3" cm="1">
        <f t="array" ref="Y33">IFERROR(COUNT(_xlfn._xlws.FILTER(B33:G33, ISNUMBER(MATCH(B33:G33, {2,3,5,7,11,13,17,19,23,29,31,37,41,43}, 0)))), 0)</f>
        <v>1</v>
      </c>
      <c r="Z33" s="3" cm="1">
        <f t="array" ref="Z33">IFERROR(COUNT(_xlfn._xlws.FILTER(B33:G33, ISNUMBER(MATCH(B33:G33, {1,4,8,10,14,16,20,22,25,26,28,32,34,35,38,40,44}, 0)))), 0)</f>
        <v>4</v>
      </c>
      <c r="AA33" s="3" cm="1">
        <f t="array" ref="AA33">IFERROR(COUNT(_xlfn._xlws.FILTER(B33:G33, ISNUMBER(MATCH(B33:G33, {6,9,12,15,18,21,24,27,30,33,36,39,42,45}, 0)))), 0)</f>
        <v>1</v>
      </c>
      <c r="AB33" s="30"/>
      <c r="AC33" s="26"/>
      <c r="AD33" s="26"/>
      <c r="AE33" s="26"/>
      <c r="AF33" s="26"/>
      <c r="AG33" s="26"/>
      <c r="AH33" s="26"/>
      <c r="AI33" s="30"/>
      <c r="AJ33" s="3">
        <f t="shared" si="10"/>
        <v>1</v>
      </c>
      <c r="AK33" s="3">
        <f t="shared" si="11"/>
        <v>2</v>
      </c>
      <c r="AL33" s="3">
        <f t="shared" si="12"/>
        <v>3</v>
      </c>
      <c r="AM33" s="33"/>
      <c r="AN33" s="3">
        <f t="shared" si="13"/>
        <v>0</v>
      </c>
      <c r="AO33" s="3">
        <f t="shared" si="14"/>
        <v>2</v>
      </c>
      <c r="AP33" s="3">
        <f t="shared" si="15"/>
        <v>1</v>
      </c>
      <c r="AQ33" s="3">
        <f t="shared" si="16"/>
        <v>2</v>
      </c>
      <c r="AR33" s="3">
        <f t="shared" si="17"/>
        <v>1</v>
      </c>
      <c r="AS33" s="28" t="e">
        <f>#REF!</f>
        <v>#REF!</v>
      </c>
      <c r="AT33" s="28" t="e">
        <f>#REF!*2</f>
        <v>#REF!</v>
      </c>
      <c r="AU33" s="28" t="e">
        <f>#REF!</f>
        <v>#REF!</v>
      </c>
      <c r="AV33" s="28" t="e">
        <f>#REF!*2</f>
        <v>#REF!</v>
      </c>
      <c r="AW33" s="28" t="e">
        <f>#REF!</f>
        <v>#REF!</v>
      </c>
      <c r="AX33" s="28" t="e">
        <f>#REF!*2</f>
        <v>#REF!</v>
      </c>
      <c r="AY33" s="28" t="e">
        <f>#REF!</f>
        <v>#REF!</v>
      </c>
      <c r="AZ33" s="28" t="e">
        <f>#REF!*2</f>
        <v>#REF!</v>
      </c>
      <c r="BA33" s="28" t="e">
        <f>#REF!</f>
        <v>#REF!</v>
      </c>
      <c r="BB33" s="28" t="e">
        <f>#REF!*2</f>
        <v>#REF!</v>
      </c>
      <c r="BC33" s="28" t="e">
        <f>#REF!</f>
        <v>#REF!</v>
      </c>
      <c r="BD33" s="28" t="e">
        <f>#REF!*2</f>
        <v>#REF!</v>
      </c>
      <c r="BE33" s="9" t="e">
        <f>#REF!-#REF!</f>
        <v>#REF!</v>
      </c>
      <c r="BF33" s="9" t="e">
        <f>#REF!-#REF!</f>
        <v>#REF!</v>
      </c>
      <c r="BG33" s="9" t="e">
        <f>#REF!-#REF!</f>
        <v>#REF!</v>
      </c>
      <c r="BH33" s="9" t="e">
        <f>#REF!-#REF!</f>
        <v>#REF!</v>
      </c>
      <c r="BI33" s="9" t="e">
        <f>#REF!-#REF!</f>
        <v>#REF!</v>
      </c>
      <c r="BJ33" s="33"/>
      <c r="BK33" s="3">
        <f t="shared" si="18"/>
        <v>0</v>
      </c>
      <c r="BL33" s="3">
        <f t="shared" si="19"/>
        <v>3</v>
      </c>
      <c r="BM33" s="3">
        <f t="shared" si="20"/>
        <v>0</v>
      </c>
      <c r="BN33" s="3">
        <f t="shared" si="21"/>
        <v>3</v>
      </c>
      <c r="BO33" s="3">
        <f t="shared" si="22"/>
        <v>0</v>
      </c>
      <c r="BP33" s="28" t="e">
        <f>#REF!</f>
        <v>#REF!</v>
      </c>
      <c r="BQ33" s="28" t="e">
        <f>#REF!*2</f>
        <v>#REF!</v>
      </c>
      <c r="BR33" s="28" t="e">
        <f>#REF!</f>
        <v>#REF!</v>
      </c>
      <c r="BS33" s="28" t="e">
        <f>#REF!*2</f>
        <v>#REF!</v>
      </c>
      <c r="BT33" s="28" t="e">
        <f>#REF!</f>
        <v>#REF!</v>
      </c>
      <c r="BU33" s="28" t="e">
        <f>#REF!*2</f>
        <v>#REF!</v>
      </c>
      <c r="BV33" s="28" t="e">
        <f>#REF!</f>
        <v>#REF!</v>
      </c>
      <c r="BW33" s="28" t="e">
        <f>#REF!*2</f>
        <v>#REF!</v>
      </c>
      <c r="BX33" s="28" t="e">
        <f>#REF!</f>
        <v>#REF!</v>
      </c>
      <c r="BY33" s="28" t="e">
        <f>#REF!*2</f>
        <v>#REF!</v>
      </c>
      <c r="BZ33" s="28" t="e">
        <f>#REF!</f>
        <v>#REF!</v>
      </c>
      <c r="CA33" s="28" t="e">
        <f>#REF!*2</f>
        <v>#REF!</v>
      </c>
      <c r="CB33" s="9">
        <f t="shared" si="23"/>
        <v>6</v>
      </c>
      <c r="CC33" s="9">
        <f t="shared" si="24"/>
        <v>3</v>
      </c>
      <c r="CD33" s="9">
        <f t="shared" si="25"/>
        <v>13</v>
      </c>
      <c r="CE33" s="9">
        <f t="shared" si="26"/>
        <v>1</v>
      </c>
      <c r="CF33" s="9">
        <f t="shared" si="27"/>
        <v>5</v>
      </c>
      <c r="CG33" s="33"/>
      <c r="CH33" s="9">
        <f t="shared" si="28"/>
        <v>6</v>
      </c>
      <c r="CI33" s="9">
        <f t="shared" si="29"/>
        <v>3</v>
      </c>
      <c r="CJ33" s="9">
        <f t="shared" si="30"/>
        <v>13</v>
      </c>
      <c r="CK33" s="9">
        <f t="shared" si="31"/>
        <v>1</v>
      </c>
      <c r="CL33" s="9">
        <f t="shared" si="32"/>
        <v>5</v>
      </c>
      <c r="CM33" s="32"/>
      <c r="CN33" s="3">
        <f t="shared" si="33"/>
        <v>2</v>
      </c>
      <c r="CO33" s="3">
        <f t="shared" si="34"/>
        <v>1</v>
      </c>
      <c r="CP33" s="3">
        <f t="shared" si="35"/>
        <v>1</v>
      </c>
      <c r="CQ33" s="3">
        <f t="shared" si="36"/>
        <v>1</v>
      </c>
      <c r="CR33" s="3">
        <f t="shared" si="37"/>
        <v>1</v>
      </c>
      <c r="CS33" s="31"/>
      <c r="CT33" s="3" cm="1">
        <f t="array" ref="CT33">SUMPRODUCT(--(MOD(CH33:CL33,2)=1))</f>
        <v>4</v>
      </c>
      <c r="CU33" s="3">
        <f t="shared" si="38"/>
        <v>1</v>
      </c>
      <c r="CV33" s="30"/>
      <c r="CW33" s="3" cm="1">
        <f t="array" ref="CW33">SUMPRODUCT(--(MOD(CH33:CL33,10)&gt;=1), --(MOD(CH33:CL33,10)&lt;=5))</f>
        <v>4</v>
      </c>
      <c r="CX33" s="3">
        <f t="shared" si="39"/>
        <v>1</v>
      </c>
      <c r="CY33" s="30"/>
      <c r="CZ33" s="3" cm="1">
        <f t="array" ref="CZ33">IFERROR(COUNT(_xlfn._xlws.FILTER(CH33:CL33, ISNUMBER(MATCH(CH33:CL33, {2,3,5,7,11,13,17,19,23,29,31,37,41,43}, 0)))), 0)</f>
        <v>3</v>
      </c>
      <c r="DA33" s="3" cm="1">
        <f t="array" ref="DA33">IFERROR(COUNT(_xlfn._xlws.FILTER(CH33:CL33, ISNUMBER(MATCH(CH33:CL33, {1,4,8,10,14,16,20,22,25,26,28,32,34,35,38,40,44}, 0)))), 0)</f>
        <v>1</v>
      </c>
      <c r="DB33" s="3" cm="1">
        <f t="array" ref="DB33">IFERROR(COUNT(_xlfn._xlws.FILTER(CH33:CL33, ISNUMBER(MATCH(CH33:CL33, {6,9,12,15,18,21,24,27,30,33,36,39,42,45}, 0)))), 0)</f>
        <v>1</v>
      </c>
      <c r="DC33" s="29"/>
      <c r="DD33" s="28" t="e">
        <f>#REF!</f>
        <v>#REF!</v>
      </c>
      <c r="DE33" s="28" t="e">
        <f>#REF!*2</f>
        <v>#REF!</v>
      </c>
      <c r="DF33" s="28" t="e">
        <f>#REF!</f>
        <v>#REF!</v>
      </c>
      <c r="DG33" s="28" t="e">
        <f>#REF!*2</f>
        <v>#REF!</v>
      </c>
      <c r="DH33" s="28" t="e">
        <f>#REF!</f>
        <v>#REF!</v>
      </c>
      <c r="DI33" s="28" t="e">
        <f>#REF!*2</f>
        <v>#REF!</v>
      </c>
      <c r="DJ33" s="28" t="e">
        <f>#REF!</f>
        <v>#REF!</v>
      </c>
      <c r="DK33" s="28" t="e">
        <f>#REF!*2</f>
        <v>#REF!</v>
      </c>
      <c r="DL33" s="28" t="e">
        <f>#REF!</f>
        <v>#REF!</v>
      </c>
      <c r="DM33" s="28" t="e">
        <f>#REF!*2</f>
        <v>#REF!</v>
      </c>
      <c r="DN33" s="27"/>
      <c r="DO33" s="26"/>
      <c r="DP33" s="26"/>
      <c r="DQ33" s="26"/>
      <c r="DR33" s="26"/>
      <c r="DS33" s="26"/>
      <c r="DT33" s="25"/>
    </row>
    <row r="34" spans="2:124" x14ac:dyDescent="0.3">
      <c r="B34" s="3">
        <v>7</v>
      </c>
      <c r="C34" s="3">
        <v>12</v>
      </c>
      <c r="D34" s="3">
        <v>23</v>
      </c>
      <c r="E34" s="3">
        <v>32</v>
      </c>
      <c r="F34" s="3">
        <v>34</v>
      </c>
      <c r="G34" s="3">
        <v>36</v>
      </c>
      <c r="H34" s="32"/>
      <c r="I34" s="3">
        <f t="shared" si="0"/>
        <v>1</v>
      </c>
      <c r="J34" s="3">
        <f t="shared" si="1"/>
        <v>2</v>
      </c>
      <c r="K34" s="3">
        <f t="shared" si="2"/>
        <v>1</v>
      </c>
      <c r="L34" s="3">
        <f t="shared" si="3"/>
        <v>2</v>
      </c>
      <c r="M34" s="3">
        <f t="shared" si="4"/>
        <v>2</v>
      </c>
      <c r="N34" s="3">
        <f t="shared" si="5"/>
        <v>2</v>
      </c>
      <c r="O34" s="32"/>
      <c r="P34" s="3" cm="1">
        <f t="array" ref="P34">SUMPRODUCT(--(MOD(B34:G34,2)=1))</f>
        <v>2</v>
      </c>
      <c r="Q34" s="3">
        <f t="shared" si="6"/>
        <v>4</v>
      </c>
      <c r="R34" s="34"/>
      <c r="S34" s="3">
        <f t="shared" si="7"/>
        <v>3</v>
      </c>
      <c r="T34" s="3">
        <f t="shared" si="8"/>
        <v>3</v>
      </c>
      <c r="U34" s="34"/>
      <c r="V34" s="3" cm="1">
        <f t="array" ref="V34">SUMPRODUCT(--(MOD(B34:G34,10)&gt;=1), --(MOD(B34:G34,10)&lt;=5))</f>
        <v>4</v>
      </c>
      <c r="W34" s="3">
        <f t="shared" si="9"/>
        <v>2</v>
      </c>
      <c r="X34" s="34"/>
      <c r="Y34" s="3" cm="1">
        <f t="array" ref="Y34">IFERROR(COUNT(_xlfn._xlws.FILTER(B34:G34, ISNUMBER(MATCH(B34:G34, {2,3,5,7,11,13,17,19,23,29,31,37,41,43}, 0)))), 0)</f>
        <v>2</v>
      </c>
      <c r="Z34" s="3" cm="1">
        <f t="array" ref="Z34">IFERROR(COUNT(_xlfn._xlws.FILTER(B34:G34, ISNUMBER(MATCH(B34:G34, {1,4,8,10,14,16,20,22,25,26,28,32,34,35,38,40,44}, 0)))), 0)</f>
        <v>2</v>
      </c>
      <c r="AA34" s="3" cm="1">
        <f t="array" ref="AA34">IFERROR(COUNT(_xlfn._xlws.FILTER(B34:G34, ISNUMBER(MATCH(B34:G34, {6,9,12,15,18,21,24,27,30,33,36,39,42,45}, 0)))), 0)</f>
        <v>2</v>
      </c>
      <c r="AB34" s="30"/>
      <c r="AC34" s="26"/>
      <c r="AD34" s="26"/>
      <c r="AE34" s="26"/>
      <c r="AF34" s="26"/>
      <c r="AG34" s="26"/>
      <c r="AH34" s="26"/>
      <c r="AI34" s="30"/>
      <c r="AJ34" s="3">
        <f t="shared" si="10"/>
        <v>2</v>
      </c>
      <c r="AK34" s="3">
        <f t="shared" si="11"/>
        <v>1</v>
      </c>
      <c r="AL34" s="3">
        <f t="shared" si="12"/>
        <v>3</v>
      </c>
      <c r="AM34" s="33"/>
      <c r="AN34" s="3">
        <f t="shared" si="13"/>
        <v>1</v>
      </c>
      <c r="AO34" s="3">
        <f t="shared" si="14"/>
        <v>1</v>
      </c>
      <c r="AP34" s="3">
        <f t="shared" si="15"/>
        <v>1</v>
      </c>
      <c r="AQ34" s="3">
        <f t="shared" si="16"/>
        <v>3</v>
      </c>
      <c r="AR34" s="3">
        <f t="shared" si="17"/>
        <v>0</v>
      </c>
      <c r="AS34" s="28" t="e">
        <f>#REF!</f>
        <v>#REF!</v>
      </c>
      <c r="AT34" s="28" t="e">
        <f>#REF!*2</f>
        <v>#REF!</v>
      </c>
      <c r="AU34" s="28" t="e">
        <f>#REF!</f>
        <v>#REF!</v>
      </c>
      <c r="AV34" s="28" t="e">
        <f>#REF!*2</f>
        <v>#REF!</v>
      </c>
      <c r="AW34" s="28" t="e">
        <f>#REF!</f>
        <v>#REF!</v>
      </c>
      <c r="AX34" s="28" t="e">
        <f>#REF!*2</f>
        <v>#REF!</v>
      </c>
      <c r="AY34" s="28" t="e">
        <f>#REF!</f>
        <v>#REF!</v>
      </c>
      <c r="AZ34" s="28" t="e">
        <f>#REF!*2</f>
        <v>#REF!</v>
      </c>
      <c r="BA34" s="28" t="e">
        <f>#REF!</f>
        <v>#REF!</v>
      </c>
      <c r="BB34" s="28" t="e">
        <f>#REF!*2</f>
        <v>#REF!</v>
      </c>
      <c r="BC34" s="28" t="e">
        <f>#REF!</f>
        <v>#REF!</v>
      </c>
      <c r="BD34" s="28" t="e">
        <f>#REF!*2</f>
        <v>#REF!</v>
      </c>
      <c r="BE34" s="9" t="e">
        <f>#REF!-#REF!</f>
        <v>#REF!</v>
      </c>
      <c r="BF34" s="9" t="e">
        <f>#REF!-#REF!</f>
        <v>#REF!</v>
      </c>
      <c r="BG34" s="9" t="e">
        <f>#REF!-#REF!</f>
        <v>#REF!</v>
      </c>
      <c r="BH34" s="9" t="e">
        <f>#REF!-#REF!</f>
        <v>#REF!</v>
      </c>
      <c r="BI34" s="9" t="e">
        <f>#REF!-#REF!</f>
        <v>#REF!</v>
      </c>
      <c r="BJ34" s="33"/>
      <c r="BK34" s="3">
        <f t="shared" si="18"/>
        <v>1</v>
      </c>
      <c r="BL34" s="3">
        <f t="shared" si="19"/>
        <v>1</v>
      </c>
      <c r="BM34" s="3">
        <f t="shared" si="20"/>
        <v>1</v>
      </c>
      <c r="BN34" s="3">
        <f t="shared" si="21"/>
        <v>3</v>
      </c>
      <c r="BO34" s="3">
        <f t="shared" si="22"/>
        <v>0</v>
      </c>
      <c r="BP34" s="28" t="e">
        <f>#REF!</f>
        <v>#REF!</v>
      </c>
      <c r="BQ34" s="28" t="e">
        <f>#REF!*2</f>
        <v>#REF!</v>
      </c>
      <c r="BR34" s="28" t="e">
        <f>#REF!</f>
        <v>#REF!</v>
      </c>
      <c r="BS34" s="28" t="e">
        <f>#REF!*2</f>
        <v>#REF!</v>
      </c>
      <c r="BT34" s="28" t="e">
        <f>#REF!</f>
        <v>#REF!</v>
      </c>
      <c r="BU34" s="28" t="e">
        <f>#REF!*2</f>
        <v>#REF!</v>
      </c>
      <c r="BV34" s="28" t="e">
        <f>#REF!</f>
        <v>#REF!</v>
      </c>
      <c r="BW34" s="28" t="e">
        <f>#REF!*2</f>
        <v>#REF!</v>
      </c>
      <c r="BX34" s="28" t="e">
        <f>#REF!</f>
        <v>#REF!</v>
      </c>
      <c r="BY34" s="28" t="e">
        <f>#REF!*2</f>
        <v>#REF!</v>
      </c>
      <c r="BZ34" s="28" t="e">
        <f>#REF!</f>
        <v>#REF!</v>
      </c>
      <c r="CA34" s="28" t="e">
        <f>#REF!*2</f>
        <v>#REF!</v>
      </c>
      <c r="CB34" s="9">
        <f t="shared" si="23"/>
        <v>5</v>
      </c>
      <c r="CC34" s="9">
        <f t="shared" si="24"/>
        <v>11</v>
      </c>
      <c r="CD34" s="9">
        <f t="shared" si="25"/>
        <v>9</v>
      </c>
      <c r="CE34" s="9">
        <f t="shared" si="26"/>
        <v>2</v>
      </c>
      <c r="CF34" s="9">
        <f t="shared" si="27"/>
        <v>2</v>
      </c>
      <c r="CG34" s="33"/>
      <c r="CH34" s="9">
        <f t="shared" si="28"/>
        <v>5</v>
      </c>
      <c r="CI34" s="9">
        <f t="shared" si="29"/>
        <v>11</v>
      </c>
      <c r="CJ34" s="9">
        <f t="shared" si="30"/>
        <v>9</v>
      </c>
      <c r="CK34" s="9">
        <f t="shared" si="31"/>
        <v>2</v>
      </c>
      <c r="CL34" s="9">
        <f t="shared" si="32"/>
        <v>2</v>
      </c>
      <c r="CM34" s="32"/>
      <c r="CN34" s="3">
        <f t="shared" si="33"/>
        <v>1</v>
      </c>
      <c r="CO34" s="3">
        <f t="shared" si="34"/>
        <v>1</v>
      </c>
      <c r="CP34" s="3">
        <f t="shared" si="35"/>
        <v>1</v>
      </c>
      <c r="CQ34" s="3">
        <f t="shared" si="36"/>
        <v>2</v>
      </c>
      <c r="CR34" s="3">
        <f t="shared" si="37"/>
        <v>2</v>
      </c>
      <c r="CS34" s="31"/>
      <c r="CT34" s="3" cm="1">
        <f t="array" ref="CT34">SUMPRODUCT(--(MOD(CH34:CL34,2)=1))</f>
        <v>3</v>
      </c>
      <c r="CU34" s="3">
        <f t="shared" si="38"/>
        <v>2</v>
      </c>
      <c r="CV34" s="30"/>
      <c r="CW34" s="3" cm="1">
        <f t="array" ref="CW34">SUMPRODUCT(--(MOD(CH34:CL34,10)&gt;=1), --(MOD(CH34:CL34,10)&lt;=5))</f>
        <v>4</v>
      </c>
      <c r="CX34" s="3">
        <f t="shared" si="39"/>
        <v>1</v>
      </c>
      <c r="CY34" s="30"/>
      <c r="CZ34" s="3" cm="1">
        <f t="array" ref="CZ34">IFERROR(COUNT(_xlfn._xlws.FILTER(CH34:CL34, ISNUMBER(MATCH(CH34:CL34, {2,3,5,7,11,13,17,19,23,29,31,37,41,43}, 0)))), 0)</f>
        <v>4</v>
      </c>
      <c r="DA34" s="3" cm="1">
        <f t="array" ref="DA34">IFERROR(COUNT(_xlfn._xlws.FILTER(CH34:CL34, ISNUMBER(MATCH(CH34:CL34, {1,4,8,10,14,16,20,22,25,26,28,32,34,35,38,40,44}, 0)))), 0)</f>
        <v>0</v>
      </c>
      <c r="DB34" s="3" cm="1">
        <f t="array" ref="DB34">IFERROR(COUNT(_xlfn._xlws.FILTER(CH34:CL34, ISNUMBER(MATCH(CH34:CL34, {6,9,12,15,18,21,24,27,30,33,36,39,42,45}, 0)))), 0)</f>
        <v>1</v>
      </c>
      <c r="DC34" s="29"/>
      <c r="DD34" s="28" t="e">
        <f>#REF!</f>
        <v>#REF!</v>
      </c>
      <c r="DE34" s="28" t="e">
        <f>#REF!*2</f>
        <v>#REF!</v>
      </c>
      <c r="DF34" s="28" t="e">
        <f>#REF!</f>
        <v>#REF!</v>
      </c>
      <c r="DG34" s="28" t="e">
        <f>#REF!*2</f>
        <v>#REF!</v>
      </c>
      <c r="DH34" s="28" t="e">
        <f>#REF!</f>
        <v>#REF!</v>
      </c>
      <c r="DI34" s="28" t="e">
        <f>#REF!*2</f>
        <v>#REF!</v>
      </c>
      <c r="DJ34" s="28" t="e">
        <f>#REF!</f>
        <v>#REF!</v>
      </c>
      <c r="DK34" s="28" t="e">
        <f>#REF!*2</f>
        <v>#REF!</v>
      </c>
      <c r="DL34" s="28" t="e">
        <f>#REF!</f>
        <v>#REF!</v>
      </c>
      <c r="DM34" s="28" t="e">
        <f>#REF!*2</f>
        <v>#REF!</v>
      </c>
      <c r="DN34" s="27"/>
      <c r="DO34" s="26"/>
      <c r="DP34" s="26"/>
      <c r="DQ34" s="26"/>
      <c r="DR34" s="26"/>
      <c r="DS34" s="26"/>
      <c r="DT34" s="25"/>
    </row>
    <row r="35" spans="2:124" x14ac:dyDescent="0.3">
      <c r="B35" s="3">
        <v>15</v>
      </c>
      <c r="C35" s="3">
        <v>16</v>
      </c>
      <c r="D35" s="3">
        <v>17</v>
      </c>
      <c r="E35" s="3">
        <v>25</v>
      </c>
      <c r="F35" s="3">
        <v>30</v>
      </c>
      <c r="G35" s="3">
        <v>31</v>
      </c>
      <c r="H35" s="32"/>
      <c r="I35" s="3">
        <f t="shared" si="0"/>
        <v>1</v>
      </c>
      <c r="J35" s="3">
        <f t="shared" si="1"/>
        <v>2</v>
      </c>
      <c r="K35" s="3">
        <f t="shared" si="2"/>
        <v>1</v>
      </c>
      <c r="L35" s="3">
        <f t="shared" si="3"/>
        <v>1</v>
      </c>
      <c r="M35" s="3">
        <f t="shared" si="4"/>
        <v>2</v>
      </c>
      <c r="N35" s="3">
        <f t="shared" si="5"/>
        <v>1</v>
      </c>
      <c r="O35" s="32"/>
      <c r="P35" s="3" cm="1">
        <f t="array" ref="P35">SUMPRODUCT(--(MOD(B35:G35,2)=1))</f>
        <v>4</v>
      </c>
      <c r="Q35" s="3">
        <f t="shared" si="6"/>
        <v>2</v>
      </c>
      <c r="R35" s="34"/>
      <c r="S35" s="3">
        <f t="shared" si="7"/>
        <v>3</v>
      </c>
      <c r="T35" s="3">
        <f t="shared" si="8"/>
        <v>3</v>
      </c>
      <c r="U35" s="34"/>
      <c r="V35" s="3" cm="1">
        <f t="array" ref="V35">SUMPRODUCT(--(MOD(B35:G35,10)&gt;=1), --(MOD(B35:G35,10)&lt;=5))</f>
        <v>3</v>
      </c>
      <c r="W35" s="3">
        <f t="shared" si="9"/>
        <v>3</v>
      </c>
      <c r="X35" s="34"/>
      <c r="Y35" s="3" cm="1">
        <f t="array" ref="Y35">IFERROR(COUNT(_xlfn._xlws.FILTER(B35:G35, ISNUMBER(MATCH(B35:G35, {2,3,5,7,11,13,17,19,23,29,31,37,41,43}, 0)))), 0)</f>
        <v>2</v>
      </c>
      <c r="Z35" s="3" cm="1">
        <f t="array" ref="Z35">IFERROR(COUNT(_xlfn._xlws.FILTER(B35:G35, ISNUMBER(MATCH(B35:G35, {1,4,8,10,14,16,20,22,25,26,28,32,34,35,38,40,44}, 0)))), 0)</f>
        <v>2</v>
      </c>
      <c r="AA35" s="3" cm="1">
        <f t="array" ref="AA35">IFERROR(COUNT(_xlfn._xlws.FILTER(B35:G35, ISNUMBER(MATCH(B35:G35, {6,9,12,15,18,21,24,27,30,33,36,39,42,45}, 0)))), 0)</f>
        <v>2</v>
      </c>
      <c r="AB35" s="30"/>
      <c r="AC35" s="26"/>
      <c r="AD35" s="26"/>
      <c r="AE35" s="26"/>
      <c r="AF35" s="26"/>
      <c r="AG35" s="26"/>
      <c r="AH35" s="26"/>
      <c r="AI35" s="30"/>
      <c r="AJ35" s="3">
        <f t="shared" si="10"/>
        <v>0</v>
      </c>
      <c r="AK35" s="3">
        <f t="shared" si="11"/>
        <v>6</v>
      </c>
      <c r="AL35" s="3">
        <f t="shared" si="12"/>
        <v>0</v>
      </c>
      <c r="AM35" s="33"/>
      <c r="AN35" s="3">
        <f t="shared" si="13"/>
        <v>0</v>
      </c>
      <c r="AO35" s="3">
        <f t="shared" si="14"/>
        <v>3</v>
      </c>
      <c r="AP35" s="3">
        <f t="shared" si="15"/>
        <v>1</v>
      </c>
      <c r="AQ35" s="3">
        <f t="shared" si="16"/>
        <v>2</v>
      </c>
      <c r="AR35" s="3">
        <f t="shared" si="17"/>
        <v>0</v>
      </c>
      <c r="AS35" s="28" t="e">
        <f>#REF!</f>
        <v>#REF!</v>
      </c>
      <c r="AT35" s="28" t="e">
        <f>#REF!*2</f>
        <v>#REF!</v>
      </c>
      <c r="AU35" s="28" t="e">
        <f>#REF!</f>
        <v>#REF!</v>
      </c>
      <c r="AV35" s="28" t="e">
        <f>#REF!*2</f>
        <v>#REF!</v>
      </c>
      <c r="AW35" s="28" t="e">
        <f>#REF!</f>
        <v>#REF!</v>
      </c>
      <c r="AX35" s="28" t="e">
        <f>#REF!*2</f>
        <v>#REF!</v>
      </c>
      <c r="AY35" s="28" t="e">
        <f>#REF!</f>
        <v>#REF!</v>
      </c>
      <c r="AZ35" s="28" t="e">
        <f>#REF!*2</f>
        <v>#REF!</v>
      </c>
      <c r="BA35" s="28" t="e">
        <f>#REF!</f>
        <v>#REF!</v>
      </c>
      <c r="BB35" s="28" t="e">
        <f>#REF!*2</f>
        <v>#REF!</v>
      </c>
      <c r="BC35" s="28" t="e">
        <f>#REF!</f>
        <v>#REF!</v>
      </c>
      <c r="BD35" s="28" t="e">
        <f>#REF!*2</f>
        <v>#REF!</v>
      </c>
      <c r="BE35" s="9" t="e">
        <f>#REF!-#REF!</f>
        <v>#REF!</v>
      </c>
      <c r="BF35" s="9" t="e">
        <f>#REF!-#REF!</f>
        <v>#REF!</v>
      </c>
      <c r="BG35" s="9" t="e">
        <f>#REF!-#REF!</f>
        <v>#REF!</v>
      </c>
      <c r="BH35" s="9" t="e">
        <f>#REF!-#REF!</f>
        <v>#REF!</v>
      </c>
      <c r="BI35" s="9" t="e">
        <f>#REF!-#REF!</f>
        <v>#REF!</v>
      </c>
      <c r="BJ35" s="33"/>
      <c r="BK35" s="3">
        <f t="shared" si="18"/>
        <v>0</v>
      </c>
      <c r="BL35" s="3">
        <f t="shared" si="19"/>
        <v>3</v>
      </c>
      <c r="BM35" s="3">
        <f t="shared" si="20"/>
        <v>1</v>
      </c>
      <c r="BN35" s="3">
        <f t="shared" si="21"/>
        <v>2</v>
      </c>
      <c r="BO35" s="3">
        <f t="shared" si="22"/>
        <v>0</v>
      </c>
      <c r="BP35" s="28" t="e">
        <f>#REF!</f>
        <v>#REF!</v>
      </c>
      <c r="BQ35" s="28" t="e">
        <f>#REF!*2</f>
        <v>#REF!</v>
      </c>
      <c r="BR35" s="28" t="e">
        <f>#REF!</f>
        <v>#REF!</v>
      </c>
      <c r="BS35" s="28" t="e">
        <f>#REF!*2</f>
        <v>#REF!</v>
      </c>
      <c r="BT35" s="28" t="e">
        <f>#REF!</f>
        <v>#REF!</v>
      </c>
      <c r="BU35" s="28" t="e">
        <f>#REF!*2</f>
        <v>#REF!</v>
      </c>
      <c r="BV35" s="28" t="e">
        <f>#REF!</f>
        <v>#REF!</v>
      </c>
      <c r="BW35" s="28" t="e">
        <f>#REF!*2</f>
        <v>#REF!</v>
      </c>
      <c r="BX35" s="28" t="e">
        <f>#REF!</f>
        <v>#REF!</v>
      </c>
      <c r="BY35" s="28" t="e">
        <f>#REF!*2</f>
        <v>#REF!</v>
      </c>
      <c r="BZ35" s="28" t="e">
        <f>#REF!</f>
        <v>#REF!</v>
      </c>
      <c r="CA35" s="28" t="e">
        <f>#REF!*2</f>
        <v>#REF!</v>
      </c>
      <c r="CB35" s="9">
        <f t="shared" si="23"/>
        <v>1</v>
      </c>
      <c r="CC35" s="9">
        <f t="shared" si="24"/>
        <v>1</v>
      </c>
      <c r="CD35" s="9">
        <f t="shared" si="25"/>
        <v>8</v>
      </c>
      <c r="CE35" s="9">
        <f t="shared" si="26"/>
        <v>5</v>
      </c>
      <c r="CF35" s="9">
        <f t="shared" si="27"/>
        <v>1</v>
      </c>
      <c r="CG35" s="33"/>
      <c r="CH35" s="9">
        <f t="shared" si="28"/>
        <v>1</v>
      </c>
      <c r="CI35" s="9">
        <f t="shared" si="29"/>
        <v>1</v>
      </c>
      <c r="CJ35" s="9">
        <f t="shared" si="30"/>
        <v>8</v>
      </c>
      <c r="CK35" s="9">
        <f t="shared" si="31"/>
        <v>5</v>
      </c>
      <c r="CL35" s="9">
        <f t="shared" si="32"/>
        <v>1</v>
      </c>
      <c r="CM35" s="32"/>
      <c r="CN35" s="3">
        <f t="shared" si="33"/>
        <v>1</v>
      </c>
      <c r="CO35" s="3">
        <f t="shared" si="34"/>
        <v>1</v>
      </c>
      <c r="CP35" s="3">
        <f t="shared" si="35"/>
        <v>2</v>
      </c>
      <c r="CQ35" s="3">
        <f t="shared" si="36"/>
        <v>1</v>
      </c>
      <c r="CR35" s="3">
        <f t="shared" si="37"/>
        <v>1</v>
      </c>
      <c r="CS35" s="31"/>
      <c r="CT35" s="3" cm="1">
        <f t="array" ref="CT35">SUMPRODUCT(--(MOD(CH35:CL35,2)=1))</f>
        <v>4</v>
      </c>
      <c r="CU35" s="3">
        <f t="shared" si="38"/>
        <v>1</v>
      </c>
      <c r="CV35" s="30"/>
      <c r="CW35" s="3" cm="1">
        <f t="array" ref="CW35">SUMPRODUCT(--(MOD(CH35:CL35,10)&gt;=1), --(MOD(CH35:CL35,10)&lt;=5))</f>
        <v>4</v>
      </c>
      <c r="CX35" s="3">
        <f t="shared" si="39"/>
        <v>1</v>
      </c>
      <c r="CY35" s="30"/>
      <c r="CZ35" s="3" cm="1">
        <f t="array" ref="CZ35">IFERROR(COUNT(_xlfn._xlws.FILTER(CH35:CL35, ISNUMBER(MATCH(CH35:CL35, {2,3,5,7,11,13,17,19,23,29,31,37,41,43}, 0)))), 0)</f>
        <v>1</v>
      </c>
      <c r="DA35" s="3" cm="1">
        <f t="array" ref="DA35">IFERROR(COUNT(_xlfn._xlws.FILTER(CH35:CL35, ISNUMBER(MATCH(CH35:CL35, {1,4,8,10,14,16,20,22,25,26,28,32,34,35,38,40,44}, 0)))), 0)</f>
        <v>4</v>
      </c>
      <c r="DB35" s="3" cm="1">
        <f t="array" ref="DB35">IFERROR(COUNT(_xlfn._xlws.FILTER(CH35:CL35, ISNUMBER(MATCH(CH35:CL35, {6,9,12,15,18,21,24,27,30,33,36,39,42,45}, 0)))), 0)</f>
        <v>0</v>
      </c>
      <c r="DC35" s="29"/>
      <c r="DD35" s="28" t="e">
        <f>#REF!</f>
        <v>#REF!</v>
      </c>
      <c r="DE35" s="28" t="e">
        <f>#REF!*2</f>
        <v>#REF!</v>
      </c>
      <c r="DF35" s="28" t="e">
        <f>#REF!</f>
        <v>#REF!</v>
      </c>
      <c r="DG35" s="28" t="e">
        <f>#REF!*2</f>
        <v>#REF!</v>
      </c>
      <c r="DH35" s="28" t="e">
        <f>#REF!</f>
        <v>#REF!</v>
      </c>
      <c r="DI35" s="28" t="e">
        <f>#REF!*2</f>
        <v>#REF!</v>
      </c>
      <c r="DJ35" s="28" t="e">
        <f>#REF!</f>
        <v>#REF!</v>
      </c>
      <c r="DK35" s="28" t="e">
        <f>#REF!*2</f>
        <v>#REF!</v>
      </c>
      <c r="DL35" s="28" t="e">
        <f>#REF!</f>
        <v>#REF!</v>
      </c>
      <c r="DM35" s="28" t="e">
        <f>#REF!*2</f>
        <v>#REF!</v>
      </c>
      <c r="DN35" s="27"/>
      <c r="DO35" s="26"/>
      <c r="DP35" s="26"/>
      <c r="DQ35" s="26"/>
      <c r="DR35" s="26"/>
      <c r="DS35" s="26"/>
      <c r="DT35" s="25"/>
    </row>
    <row r="36" spans="2:124" x14ac:dyDescent="0.3">
      <c r="B36" s="3">
        <v>3</v>
      </c>
      <c r="C36" s="3">
        <v>4</v>
      </c>
      <c r="D36" s="3">
        <v>9</v>
      </c>
      <c r="E36" s="3">
        <v>30</v>
      </c>
      <c r="F36" s="3">
        <v>33</v>
      </c>
      <c r="G36" s="3">
        <v>36</v>
      </c>
      <c r="H36" s="32"/>
      <c r="I36" s="3">
        <f t="shared" si="0"/>
        <v>1</v>
      </c>
      <c r="J36" s="3">
        <f t="shared" si="1"/>
        <v>2</v>
      </c>
      <c r="K36" s="3">
        <f t="shared" si="2"/>
        <v>1</v>
      </c>
      <c r="L36" s="3">
        <f t="shared" si="3"/>
        <v>2</v>
      </c>
      <c r="M36" s="3">
        <f t="shared" si="4"/>
        <v>1</v>
      </c>
      <c r="N36" s="3">
        <f t="shared" si="5"/>
        <v>2</v>
      </c>
      <c r="O36" s="32"/>
      <c r="P36" s="3" cm="1">
        <f t="array" ref="P36">SUMPRODUCT(--(MOD(B36:G36,2)=1))</f>
        <v>3</v>
      </c>
      <c r="Q36" s="3">
        <f t="shared" si="6"/>
        <v>3</v>
      </c>
      <c r="R36" s="34"/>
      <c r="S36" s="3">
        <f t="shared" si="7"/>
        <v>3</v>
      </c>
      <c r="T36" s="3">
        <f t="shared" si="8"/>
        <v>3</v>
      </c>
      <c r="U36" s="34"/>
      <c r="V36" s="3" cm="1">
        <f t="array" ref="V36">SUMPRODUCT(--(MOD(B36:G36,10)&gt;=1), --(MOD(B36:G36,10)&lt;=5))</f>
        <v>3</v>
      </c>
      <c r="W36" s="3">
        <f t="shared" si="9"/>
        <v>3</v>
      </c>
      <c r="X36" s="34"/>
      <c r="Y36" s="3" cm="1">
        <f t="array" ref="Y36">IFERROR(COUNT(_xlfn._xlws.FILTER(B36:G36, ISNUMBER(MATCH(B36:G36, {2,3,5,7,11,13,17,19,23,29,31,37,41,43}, 0)))), 0)</f>
        <v>1</v>
      </c>
      <c r="Z36" s="3" cm="1">
        <f t="array" ref="Z36">IFERROR(COUNT(_xlfn._xlws.FILTER(B36:G36, ISNUMBER(MATCH(B36:G36, {1,4,8,10,14,16,20,22,25,26,28,32,34,35,38,40,44}, 0)))), 0)</f>
        <v>1</v>
      </c>
      <c r="AA36" s="3" cm="1">
        <f t="array" ref="AA36">IFERROR(COUNT(_xlfn._xlws.FILTER(B36:G36, ISNUMBER(MATCH(B36:G36, {6,9,12,15,18,21,24,27,30,33,36,39,42,45}, 0)))), 0)</f>
        <v>4</v>
      </c>
      <c r="AB36" s="30"/>
      <c r="AC36" s="26"/>
      <c r="AD36" s="26"/>
      <c r="AE36" s="26"/>
      <c r="AF36" s="26"/>
      <c r="AG36" s="26"/>
      <c r="AH36" s="26"/>
      <c r="AI36" s="30"/>
      <c r="AJ36" s="3">
        <f t="shared" si="10"/>
        <v>3</v>
      </c>
      <c r="AK36" s="3">
        <f t="shared" si="11"/>
        <v>1</v>
      </c>
      <c r="AL36" s="3">
        <f t="shared" si="12"/>
        <v>2</v>
      </c>
      <c r="AM36" s="33"/>
      <c r="AN36" s="3">
        <f t="shared" si="13"/>
        <v>3</v>
      </c>
      <c r="AO36" s="3">
        <f t="shared" si="14"/>
        <v>0</v>
      </c>
      <c r="AP36" s="3">
        <f t="shared" si="15"/>
        <v>0</v>
      </c>
      <c r="AQ36" s="3">
        <f t="shared" si="16"/>
        <v>3</v>
      </c>
      <c r="AR36" s="3">
        <f t="shared" si="17"/>
        <v>0</v>
      </c>
      <c r="AS36" s="28" t="e">
        <f>#REF!</f>
        <v>#REF!</v>
      </c>
      <c r="AT36" s="28" t="e">
        <f>#REF!*2</f>
        <v>#REF!</v>
      </c>
      <c r="AU36" s="28" t="e">
        <f>#REF!</f>
        <v>#REF!</v>
      </c>
      <c r="AV36" s="28" t="e">
        <f>#REF!*2</f>
        <v>#REF!</v>
      </c>
      <c r="AW36" s="28" t="e">
        <f>#REF!</f>
        <v>#REF!</v>
      </c>
      <c r="AX36" s="28" t="e">
        <f>#REF!*2</f>
        <v>#REF!</v>
      </c>
      <c r="AY36" s="28" t="e">
        <f>#REF!</f>
        <v>#REF!</v>
      </c>
      <c r="AZ36" s="28" t="e">
        <f>#REF!*2</f>
        <v>#REF!</v>
      </c>
      <c r="BA36" s="28" t="e">
        <f>#REF!</f>
        <v>#REF!</v>
      </c>
      <c r="BB36" s="28" t="e">
        <f>#REF!*2</f>
        <v>#REF!</v>
      </c>
      <c r="BC36" s="28" t="e">
        <f>#REF!</f>
        <v>#REF!</v>
      </c>
      <c r="BD36" s="28" t="e">
        <f>#REF!*2</f>
        <v>#REF!</v>
      </c>
      <c r="BE36" s="9" t="e">
        <f>#REF!-#REF!</f>
        <v>#REF!</v>
      </c>
      <c r="BF36" s="9" t="e">
        <f>#REF!-#REF!</f>
        <v>#REF!</v>
      </c>
      <c r="BG36" s="9" t="e">
        <f>#REF!-#REF!</f>
        <v>#REF!</v>
      </c>
      <c r="BH36" s="9" t="e">
        <f>#REF!-#REF!</f>
        <v>#REF!</v>
      </c>
      <c r="BI36" s="9" t="e">
        <f>#REF!-#REF!</f>
        <v>#REF!</v>
      </c>
      <c r="BJ36" s="33"/>
      <c r="BK36" s="3">
        <f t="shared" si="18"/>
        <v>3</v>
      </c>
      <c r="BL36" s="3">
        <f t="shared" si="19"/>
        <v>0</v>
      </c>
      <c r="BM36" s="3">
        <f t="shared" si="20"/>
        <v>0</v>
      </c>
      <c r="BN36" s="3">
        <f t="shared" si="21"/>
        <v>3</v>
      </c>
      <c r="BO36" s="3">
        <f t="shared" si="22"/>
        <v>0</v>
      </c>
      <c r="BP36" s="28" t="e">
        <f>#REF!</f>
        <v>#REF!</v>
      </c>
      <c r="BQ36" s="28" t="e">
        <f>#REF!*2</f>
        <v>#REF!</v>
      </c>
      <c r="BR36" s="28" t="e">
        <f>#REF!</f>
        <v>#REF!</v>
      </c>
      <c r="BS36" s="28" t="e">
        <f>#REF!*2</f>
        <v>#REF!</v>
      </c>
      <c r="BT36" s="28" t="e">
        <f>#REF!</f>
        <v>#REF!</v>
      </c>
      <c r="BU36" s="28" t="e">
        <f>#REF!*2</f>
        <v>#REF!</v>
      </c>
      <c r="BV36" s="28" t="e">
        <f>#REF!</f>
        <v>#REF!</v>
      </c>
      <c r="BW36" s="28" t="e">
        <f>#REF!*2</f>
        <v>#REF!</v>
      </c>
      <c r="BX36" s="28" t="e">
        <f>#REF!</f>
        <v>#REF!</v>
      </c>
      <c r="BY36" s="28" t="e">
        <f>#REF!*2</f>
        <v>#REF!</v>
      </c>
      <c r="BZ36" s="28" t="e">
        <f>#REF!</f>
        <v>#REF!</v>
      </c>
      <c r="CA36" s="28" t="e">
        <f>#REF!*2</f>
        <v>#REF!</v>
      </c>
      <c r="CB36" s="9">
        <f t="shared" si="23"/>
        <v>1</v>
      </c>
      <c r="CC36" s="9">
        <f t="shared" si="24"/>
        <v>5</v>
      </c>
      <c r="CD36" s="9">
        <f t="shared" si="25"/>
        <v>21</v>
      </c>
      <c r="CE36" s="9">
        <f t="shared" si="26"/>
        <v>3</v>
      </c>
      <c r="CF36" s="9">
        <f t="shared" si="27"/>
        <v>3</v>
      </c>
      <c r="CG36" s="33"/>
      <c r="CH36" s="9">
        <f t="shared" si="28"/>
        <v>1</v>
      </c>
      <c r="CI36" s="9">
        <f t="shared" si="29"/>
        <v>5</v>
      </c>
      <c r="CJ36" s="9">
        <f t="shared" si="30"/>
        <v>21</v>
      </c>
      <c r="CK36" s="9">
        <f t="shared" si="31"/>
        <v>3</v>
      </c>
      <c r="CL36" s="9">
        <f t="shared" si="32"/>
        <v>3</v>
      </c>
      <c r="CM36" s="32"/>
      <c r="CN36" s="3">
        <f t="shared" si="33"/>
        <v>1</v>
      </c>
      <c r="CO36" s="3">
        <f t="shared" si="34"/>
        <v>1</v>
      </c>
      <c r="CP36" s="3">
        <f t="shared" si="35"/>
        <v>1</v>
      </c>
      <c r="CQ36" s="3">
        <f t="shared" si="36"/>
        <v>1</v>
      </c>
      <c r="CR36" s="3">
        <f t="shared" si="37"/>
        <v>1</v>
      </c>
      <c r="CS36" s="31"/>
      <c r="CT36" s="3" cm="1">
        <f t="array" ref="CT36">SUMPRODUCT(--(MOD(CH36:CL36,2)=1))</f>
        <v>5</v>
      </c>
      <c r="CU36" s="3">
        <f t="shared" si="38"/>
        <v>0</v>
      </c>
      <c r="CV36" s="30"/>
      <c r="CW36" s="3" cm="1">
        <f t="array" ref="CW36">SUMPRODUCT(--(MOD(CH36:CL36,10)&gt;=1), --(MOD(CH36:CL36,10)&lt;=5))</f>
        <v>5</v>
      </c>
      <c r="CX36" s="3">
        <f t="shared" si="39"/>
        <v>0</v>
      </c>
      <c r="CY36" s="30"/>
      <c r="CZ36" s="3" cm="1">
        <f t="array" ref="CZ36">IFERROR(COUNT(_xlfn._xlws.FILTER(CH36:CL36, ISNUMBER(MATCH(CH36:CL36, {2,3,5,7,11,13,17,19,23,29,31,37,41,43}, 0)))), 0)</f>
        <v>3</v>
      </c>
      <c r="DA36" s="3" cm="1">
        <f t="array" ref="DA36">IFERROR(COUNT(_xlfn._xlws.FILTER(CH36:CL36, ISNUMBER(MATCH(CH36:CL36, {1,4,8,10,14,16,20,22,25,26,28,32,34,35,38,40,44}, 0)))), 0)</f>
        <v>1</v>
      </c>
      <c r="DB36" s="3" cm="1">
        <f t="array" ref="DB36">IFERROR(COUNT(_xlfn._xlws.FILTER(CH36:CL36, ISNUMBER(MATCH(CH36:CL36, {6,9,12,15,18,21,24,27,30,33,36,39,42,45}, 0)))), 0)</f>
        <v>1</v>
      </c>
      <c r="DC36" s="29"/>
      <c r="DD36" s="28" t="e">
        <f>#REF!</f>
        <v>#REF!</v>
      </c>
      <c r="DE36" s="28" t="e">
        <f>#REF!*2</f>
        <v>#REF!</v>
      </c>
      <c r="DF36" s="28" t="e">
        <f>#REF!</f>
        <v>#REF!</v>
      </c>
      <c r="DG36" s="28" t="e">
        <f>#REF!*2</f>
        <v>#REF!</v>
      </c>
      <c r="DH36" s="28" t="e">
        <f>#REF!</f>
        <v>#REF!</v>
      </c>
      <c r="DI36" s="28" t="e">
        <f>#REF!*2</f>
        <v>#REF!</v>
      </c>
      <c r="DJ36" s="28" t="e">
        <f>#REF!</f>
        <v>#REF!</v>
      </c>
      <c r="DK36" s="28" t="e">
        <f>#REF!*2</f>
        <v>#REF!</v>
      </c>
      <c r="DL36" s="28" t="e">
        <f>#REF!</f>
        <v>#REF!</v>
      </c>
      <c r="DM36" s="28" t="e">
        <f>#REF!*2</f>
        <v>#REF!</v>
      </c>
      <c r="DN36" s="27"/>
      <c r="DO36" s="26"/>
      <c r="DP36" s="26"/>
      <c r="DQ36" s="26"/>
      <c r="DR36" s="26"/>
      <c r="DS36" s="26"/>
      <c r="DT36" s="25"/>
    </row>
    <row r="37" spans="2:124" x14ac:dyDescent="0.3">
      <c r="B37" s="3">
        <v>11</v>
      </c>
      <c r="C37" s="3">
        <v>13</v>
      </c>
      <c r="D37" s="3">
        <v>14</v>
      </c>
      <c r="E37" s="3">
        <v>15</v>
      </c>
      <c r="F37" s="3">
        <v>16</v>
      </c>
      <c r="G37" s="3">
        <v>45</v>
      </c>
      <c r="H37" s="32"/>
      <c r="I37" s="3">
        <f t="shared" si="0"/>
        <v>1</v>
      </c>
      <c r="J37" s="3">
        <f t="shared" si="1"/>
        <v>1</v>
      </c>
      <c r="K37" s="3">
        <f t="shared" si="2"/>
        <v>2</v>
      </c>
      <c r="L37" s="3">
        <f t="shared" si="3"/>
        <v>1</v>
      </c>
      <c r="M37" s="3">
        <f t="shared" si="4"/>
        <v>2</v>
      </c>
      <c r="N37" s="3">
        <f t="shared" si="5"/>
        <v>1</v>
      </c>
      <c r="O37" s="32"/>
      <c r="P37" s="3" cm="1">
        <f t="array" ref="P37">SUMPRODUCT(--(MOD(B37:G37,2)=1))</f>
        <v>4</v>
      </c>
      <c r="Q37" s="3">
        <f t="shared" si="6"/>
        <v>2</v>
      </c>
      <c r="R37" s="34"/>
      <c r="S37" s="3">
        <f t="shared" si="7"/>
        <v>5</v>
      </c>
      <c r="T37" s="3">
        <f t="shared" si="8"/>
        <v>1</v>
      </c>
      <c r="U37" s="34"/>
      <c r="V37" s="3" cm="1">
        <f t="array" ref="V37">SUMPRODUCT(--(MOD(B37:G37,10)&gt;=1), --(MOD(B37:G37,10)&lt;=5))</f>
        <v>5</v>
      </c>
      <c r="W37" s="3">
        <f t="shared" si="9"/>
        <v>1</v>
      </c>
      <c r="X37" s="34"/>
      <c r="Y37" s="3" cm="1">
        <f t="array" ref="Y37">IFERROR(COUNT(_xlfn._xlws.FILTER(B37:G37, ISNUMBER(MATCH(B37:G37, {2,3,5,7,11,13,17,19,23,29,31,37,41,43}, 0)))), 0)</f>
        <v>2</v>
      </c>
      <c r="Z37" s="3" cm="1">
        <f t="array" ref="Z37">IFERROR(COUNT(_xlfn._xlws.FILTER(B37:G37, ISNUMBER(MATCH(B37:G37, {1,4,8,10,14,16,20,22,25,26,28,32,34,35,38,40,44}, 0)))), 0)</f>
        <v>2</v>
      </c>
      <c r="AA37" s="3" cm="1">
        <f t="array" ref="AA37">IFERROR(COUNT(_xlfn._xlws.FILTER(B37:G37, ISNUMBER(MATCH(B37:G37, {6,9,12,15,18,21,24,27,30,33,36,39,42,45}, 0)))), 0)</f>
        <v>2</v>
      </c>
      <c r="AB37" s="30"/>
      <c r="AC37" s="26"/>
      <c r="AD37" s="26"/>
      <c r="AE37" s="26"/>
      <c r="AF37" s="26"/>
      <c r="AG37" s="26"/>
      <c r="AH37" s="26"/>
      <c r="AI37" s="30"/>
      <c r="AJ37" s="3">
        <f t="shared" si="10"/>
        <v>3</v>
      </c>
      <c r="AK37" s="3">
        <f t="shared" si="11"/>
        <v>2</v>
      </c>
      <c r="AL37" s="3">
        <f t="shared" si="12"/>
        <v>1</v>
      </c>
      <c r="AM37" s="33"/>
      <c r="AN37" s="3">
        <f t="shared" si="13"/>
        <v>0</v>
      </c>
      <c r="AO37" s="3">
        <f t="shared" si="14"/>
        <v>5</v>
      </c>
      <c r="AP37" s="3">
        <f t="shared" si="15"/>
        <v>0</v>
      </c>
      <c r="AQ37" s="3">
        <f t="shared" si="16"/>
        <v>0</v>
      </c>
      <c r="AR37" s="3">
        <f t="shared" si="17"/>
        <v>1</v>
      </c>
      <c r="AS37" s="28" t="e">
        <f>#REF!</f>
        <v>#REF!</v>
      </c>
      <c r="AT37" s="28" t="e">
        <f>#REF!*2</f>
        <v>#REF!</v>
      </c>
      <c r="AU37" s="28" t="e">
        <f>#REF!</f>
        <v>#REF!</v>
      </c>
      <c r="AV37" s="28" t="e">
        <f>#REF!*2</f>
        <v>#REF!</v>
      </c>
      <c r="AW37" s="28" t="e">
        <f>#REF!</f>
        <v>#REF!</v>
      </c>
      <c r="AX37" s="28" t="e">
        <f>#REF!*2</f>
        <v>#REF!</v>
      </c>
      <c r="AY37" s="28" t="e">
        <f>#REF!</f>
        <v>#REF!</v>
      </c>
      <c r="AZ37" s="28" t="e">
        <f>#REF!*2</f>
        <v>#REF!</v>
      </c>
      <c r="BA37" s="28" t="e">
        <f>#REF!</f>
        <v>#REF!</v>
      </c>
      <c r="BB37" s="28" t="e">
        <f>#REF!*2</f>
        <v>#REF!</v>
      </c>
      <c r="BC37" s="28" t="e">
        <f>#REF!</f>
        <v>#REF!</v>
      </c>
      <c r="BD37" s="28" t="e">
        <f>#REF!*2</f>
        <v>#REF!</v>
      </c>
      <c r="BE37" s="9" t="e">
        <f>#REF!-#REF!</f>
        <v>#REF!</v>
      </c>
      <c r="BF37" s="9" t="e">
        <f>#REF!-#REF!</f>
        <v>#REF!</v>
      </c>
      <c r="BG37" s="9" t="e">
        <f>#REF!-#REF!</f>
        <v>#REF!</v>
      </c>
      <c r="BH37" s="9" t="e">
        <f>#REF!-#REF!</f>
        <v>#REF!</v>
      </c>
      <c r="BI37" s="9" t="e">
        <f>#REF!-#REF!</f>
        <v>#REF!</v>
      </c>
      <c r="BJ37" s="33"/>
      <c r="BK37" s="3">
        <f t="shared" si="18"/>
        <v>0</v>
      </c>
      <c r="BL37" s="3">
        <f t="shared" si="19"/>
        <v>5</v>
      </c>
      <c r="BM37" s="3">
        <f t="shared" si="20"/>
        <v>0</v>
      </c>
      <c r="BN37" s="3">
        <f t="shared" si="21"/>
        <v>0</v>
      </c>
      <c r="BO37" s="3">
        <f t="shared" si="22"/>
        <v>1</v>
      </c>
      <c r="BP37" s="28" t="e">
        <f>#REF!</f>
        <v>#REF!</v>
      </c>
      <c r="BQ37" s="28" t="e">
        <f>#REF!*2</f>
        <v>#REF!</v>
      </c>
      <c r="BR37" s="28" t="e">
        <f>#REF!</f>
        <v>#REF!</v>
      </c>
      <c r="BS37" s="28" t="e">
        <f>#REF!*2</f>
        <v>#REF!</v>
      </c>
      <c r="BT37" s="28" t="e">
        <f>#REF!</f>
        <v>#REF!</v>
      </c>
      <c r="BU37" s="28" t="e">
        <f>#REF!*2</f>
        <v>#REF!</v>
      </c>
      <c r="BV37" s="28" t="e">
        <f>#REF!</f>
        <v>#REF!</v>
      </c>
      <c r="BW37" s="28" t="e">
        <f>#REF!*2</f>
        <v>#REF!</v>
      </c>
      <c r="BX37" s="28" t="e">
        <f>#REF!</f>
        <v>#REF!</v>
      </c>
      <c r="BY37" s="28" t="e">
        <f>#REF!*2</f>
        <v>#REF!</v>
      </c>
      <c r="BZ37" s="28" t="e">
        <f>#REF!</f>
        <v>#REF!</v>
      </c>
      <c r="CA37" s="28" t="e">
        <f>#REF!*2</f>
        <v>#REF!</v>
      </c>
      <c r="CB37" s="9">
        <f t="shared" si="23"/>
        <v>2</v>
      </c>
      <c r="CC37" s="9">
        <f t="shared" si="24"/>
        <v>1</v>
      </c>
      <c r="CD37" s="9">
        <f t="shared" si="25"/>
        <v>1</v>
      </c>
      <c r="CE37" s="9">
        <f t="shared" si="26"/>
        <v>1</v>
      </c>
      <c r="CF37" s="9">
        <f t="shared" si="27"/>
        <v>29</v>
      </c>
      <c r="CG37" s="33"/>
      <c r="CH37" s="9">
        <f t="shared" si="28"/>
        <v>2</v>
      </c>
      <c r="CI37" s="9">
        <f t="shared" si="29"/>
        <v>1</v>
      </c>
      <c r="CJ37" s="9">
        <f t="shared" si="30"/>
        <v>1</v>
      </c>
      <c r="CK37" s="9">
        <f t="shared" si="31"/>
        <v>1</v>
      </c>
      <c r="CL37" s="9">
        <f t="shared" si="32"/>
        <v>29</v>
      </c>
      <c r="CM37" s="32"/>
      <c r="CN37" s="3">
        <f t="shared" si="33"/>
        <v>2</v>
      </c>
      <c r="CO37" s="3">
        <f t="shared" si="34"/>
        <v>1</v>
      </c>
      <c r="CP37" s="3">
        <f t="shared" si="35"/>
        <v>1</v>
      </c>
      <c r="CQ37" s="3">
        <f t="shared" si="36"/>
        <v>1</v>
      </c>
      <c r="CR37" s="3">
        <f t="shared" si="37"/>
        <v>1</v>
      </c>
      <c r="CS37" s="31"/>
      <c r="CT37" s="3" cm="1">
        <f t="array" ref="CT37">SUMPRODUCT(--(MOD(CH37:CL37,2)=1))</f>
        <v>4</v>
      </c>
      <c r="CU37" s="3">
        <f t="shared" si="38"/>
        <v>1</v>
      </c>
      <c r="CV37" s="30"/>
      <c r="CW37" s="3" cm="1">
        <f t="array" ref="CW37">SUMPRODUCT(--(MOD(CH37:CL37,10)&gt;=1), --(MOD(CH37:CL37,10)&lt;=5))</f>
        <v>4</v>
      </c>
      <c r="CX37" s="3">
        <f t="shared" si="39"/>
        <v>1</v>
      </c>
      <c r="CY37" s="30"/>
      <c r="CZ37" s="3" cm="1">
        <f t="array" ref="CZ37">IFERROR(COUNT(_xlfn._xlws.FILTER(CH37:CL37, ISNUMBER(MATCH(CH37:CL37, {2,3,5,7,11,13,17,19,23,29,31,37,41,43}, 0)))), 0)</f>
        <v>2</v>
      </c>
      <c r="DA37" s="3" cm="1">
        <f t="array" ref="DA37">IFERROR(COUNT(_xlfn._xlws.FILTER(CH37:CL37, ISNUMBER(MATCH(CH37:CL37, {1,4,8,10,14,16,20,22,25,26,28,32,34,35,38,40,44}, 0)))), 0)</f>
        <v>3</v>
      </c>
      <c r="DB37" s="3" cm="1">
        <f t="array" ref="DB37">IFERROR(COUNT(_xlfn._xlws.FILTER(CH37:CL37, ISNUMBER(MATCH(CH37:CL37, {6,9,12,15,18,21,24,27,30,33,36,39,42,45}, 0)))), 0)</f>
        <v>0</v>
      </c>
      <c r="DC37" s="29"/>
      <c r="DD37" s="28" t="e">
        <f>#REF!</f>
        <v>#REF!</v>
      </c>
      <c r="DE37" s="28" t="e">
        <f>#REF!*2</f>
        <v>#REF!</v>
      </c>
      <c r="DF37" s="28" t="e">
        <f>#REF!</f>
        <v>#REF!</v>
      </c>
      <c r="DG37" s="28" t="e">
        <f>#REF!*2</f>
        <v>#REF!</v>
      </c>
      <c r="DH37" s="28" t="e">
        <f>#REF!</f>
        <v>#REF!</v>
      </c>
      <c r="DI37" s="28" t="e">
        <f>#REF!*2</f>
        <v>#REF!</v>
      </c>
      <c r="DJ37" s="28" t="e">
        <f>#REF!</f>
        <v>#REF!</v>
      </c>
      <c r="DK37" s="28" t="e">
        <f>#REF!*2</f>
        <v>#REF!</v>
      </c>
      <c r="DL37" s="28" t="e">
        <f>#REF!</f>
        <v>#REF!</v>
      </c>
      <c r="DM37" s="28" t="e">
        <f>#REF!*2</f>
        <v>#REF!</v>
      </c>
      <c r="DN37" s="27"/>
      <c r="DO37" s="26"/>
      <c r="DP37" s="26"/>
      <c r="DQ37" s="26"/>
      <c r="DR37" s="26"/>
      <c r="DS37" s="26"/>
      <c r="DT37" s="25"/>
    </row>
    <row r="38" spans="2:124" x14ac:dyDescent="0.3">
      <c r="B38" s="3">
        <v>1</v>
      </c>
      <c r="C38" s="3">
        <v>9</v>
      </c>
      <c r="D38" s="3">
        <v>12</v>
      </c>
      <c r="E38" s="3">
        <v>13</v>
      </c>
      <c r="F38" s="3">
        <v>20</v>
      </c>
      <c r="G38" s="3">
        <v>45</v>
      </c>
      <c r="H38" s="32"/>
      <c r="I38" s="3">
        <f t="shared" si="0"/>
        <v>1</v>
      </c>
      <c r="J38" s="3">
        <f t="shared" si="1"/>
        <v>1</v>
      </c>
      <c r="K38" s="3">
        <f t="shared" si="2"/>
        <v>2</v>
      </c>
      <c r="L38" s="3">
        <f t="shared" si="3"/>
        <v>1</v>
      </c>
      <c r="M38" s="3">
        <f t="shared" si="4"/>
        <v>2</v>
      </c>
      <c r="N38" s="3">
        <f t="shared" si="5"/>
        <v>1</v>
      </c>
      <c r="O38" s="32"/>
      <c r="P38" s="3" cm="1">
        <f t="array" ref="P38">SUMPRODUCT(--(MOD(B38:G38,2)=1))</f>
        <v>4</v>
      </c>
      <c r="Q38" s="3">
        <f t="shared" si="6"/>
        <v>2</v>
      </c>
      <c r="R38" s="34"/>
      <c r="S38" s="3">
        <f t="shared" si="7"/>
        <v>5</v>
      </c>
      <c r="T38" s="3">
        <f t="shared" si="8"/>
        <v>1</v>
      </c>
      <c r="U38" s="34"/>
      <c r="V38" s="3" cm="1">
        <f t="array" ref="V38">SUMPRODUCT(--(MOD(B38:G38,10)&gt;=1), --(MOD(B38:G38,10)&lt;=5))</f>
        <v>4</v>
      </c>
      <c r="W38" s="3">
        <f t="shared" si="9"/>
        <v>2</v>
      </c>
      <c r="X38" s="34"/>
      <c r="Y38" s="3" cm="1">
        <f t="array" ref="Y38">IFERROR(COUNT(_xlfn._xlws.FILTER(B38:G38, ISNUMBER(MATCH(B38:G38, {2,3,5,7,11,13,17,19,23,29,31,37,41,43}, 0)))), 0)</f>
        <v>1</v>
      </c>
      <c r="Z38" s="3" cm="1">
        <f t="array" ref="Z38">IFERROR(COUNT(_xlfn._xlws.FILTER(B38:G38, ISNUMBER(MATCH(B38:G38, {1,4,8,10,14,16,20,22,25,26,28,32,34,35,38,40,44}, 0)))), 0)</f>
        <v>2</v>
      </c>
      <c r="AA38" s="3" cm="1">
        <f t="array" ref="AA38">IFERROR(COUNT(_xlfn._xlws.FILTER(B38:G38, ISNUMBER(MATCH(B38:G38, {6,9,12,15,18,21,24,27,30,33,36,39,42,45}, 0)))), 0)</f>
        <v>3</v>
      </c>
      <c r="AB38" s="30"/>
      <c r="AC38" s="26"/>
      <c r="AD38" s="26"/>
      <c r="AE38" s="26"/>
      <c r="AF38" s="26"/>
      <c r="AG38" s="26"/>
      <c r="AH38" s="26"/>
      <c r="AI38" s="30"/>
      <c r="AJ38" s="3">
        <f t="shared" si="10"/>
        <v>4</v>
      </c>
      <c r="AK38" s="3">
        <f t="shared" si="11"/>
        <v>1</v>
      </c>
      <c r="AL38" s="3">
        <f t="shared" si="12"/>
        <v>1</v>
      </c>
      <c r="AM38" s="33"/>
      <c r="AN38" s="3">
        <f t="shared" si="13"/>
        <v>2</v>
      </c>
      <c r="AO38" s="3">
        <f t="shared" si="14"/>
        <v>2</v>
      </c>
      <c r="AP38" s="3">
        <f t="shared" si="15"/>
        <v>1</v>
      </c>
      <c r="AQ38" s="3">
        <f t="shared" si="16"/>
        <v>0</v>
      </c>
      <c r="AR38" s="3">
        <f t="shared" si="17"/>
        <v>1</v>
      </c>
      <c r="AS38" s="28" t="e">
        <f>#REF!</f>
        <v>#REF!</v>
      </c>
      <c r="AT38" s="28" t="e">
        <f>#REF!*2</f>
        <v>#REF!</v>
      </c>
      <c r="AU38" s="28" t="e">
        <f>#REF!</f>
        <v>#REF!</v>
      </c>
      <c r="AV38" s="28" t="e">
        <f>#REF!*2</f>
        <v>#REF!</v>
      </c>
      <c r="AW38" s="28" t="e">
        <f>#REF!</f>
        <v>#REF!</v>
      </c>
      <c r="AX38" s="28" t="e">
        <f>#REF!*2</f>
        <v>#REF!</v>
      </c>
      <c r="AY38" s="28" t="e">
        <f>#REF!</f>
        <v>#REF!</v>
      </c>
      <c r="AZ38" s="28" t="e">
        <f>#REF!*2</f>
        <v>#REF!</v>
      </c>
      <c r="BA38" s="28" t="e">
        <f>#REF!</f>
        <v>#REF!</v>
      </c>
      <c r="BB38" s="28" t="e">
        <f>#REF!*2</f>
        <v>#REF!</v>
      </c>
      <c r="BC38" s="28" t="e">
        <f>#REF!</f>
        <v>#REF!</v>
      </c>
      <c r="BD38" s="28" t="e">
        <f>#REF!*2</f>
        <v>#REF!</v>
      </c>
      <c r="BE38" s="9" t="e">
        <f>#REF!-#REF!</f>
        <v>#REF!</v>
      </c>
      <c r="BF38" s="9" t="e">
        <f>#REF!-#REF!</f>
        <v>#REF!</v>
      </c>
      <c r="BG38" s="9" t="e">
        <f>#REF!-#REF!</f>
        <v>#REF!</v>
      </c>
      <c r="BH38" s="9" t="e">
        <f>#REF!-#REF!</f>
        <v>#REF!</v>
      </c>
      <c r="BI38" s="9" t="e">
        <f>#REF!-#REF!</f>
        <v>#REF!</v>
      </c>
      <c r="BJ38" s="33"/>
      <c r="BK38" s="3">
        <f t="shared" si="18"/>
        <v>2</v>
      </c>
      <c r="BL38" s="3">
        <f t="shared" si="19"/>
        <v>2</v>
      </c>
      <c r="BM38" s="3">
        <f t="shared" si="20"/>
        <v>1</v>
      </c>
      <c r="BN38" s="3">
        <f t="shared" si="21"/>
        <v>0</v>
      </c>
      <c r="BO38" s="3">
        <f t="shared" si="22"/>
        <v>1</v>
      </c>
      <c r="BP38" s="28" t="e">
        <f>#REF!</f>
        <v>#REF!</v>
      </c>
      <c r="BQ38" s="28" t="e">
        <f>#REF!*2</f>
        <v>#REF!</v>
      </c>
      <c r="BR38" s="28" t="e">
        <f>#REF!</f>
        <v>#REF!</v>
      </c>
      <c r="BS38" s="28" t="e">
        <f>#REF!*2</f>
        <v>#REF!</v>
      </c>
      <c r="BT38" s="28" t="e">
        <f>#REF!</f>
        <v>#REF!</v>
      </c>
      <c r="BU38" s="28" t="e">
        <f>#REF!*2</f>
        <v>#REF!</v>
      </c>
      <c r="BV38" s="28" t="e">
        <f>#REF!</f>
        <v>#REF!</v>
      </c>
      <c r="BW38" s="28" t="e">
        <f>#REF!*2</f>
        <v>#REF!</v>
      </c>
      <c r="BX38" s="28" t="e">
        <f>#REF!</f>
        <v>#REF!</v>
      </c>
      <c r="BY38" s="28" t="e">
        <f>#REF!*2</f>
        <v>#REF!</v>
      </c>
      <c r="BZ38" s="28" t="e">
        <f>#REF!</f>
        <v>#REF!</v>
      </c>
      <c r="CA38" s="28" t="e">
        <f>#REF!*2</f>
        <v>#REF!</v>
      </c>
      <c r="CB38" s="9">
        <f t="shared" si="23"/>
        <v>8</v>
      </c>
      <c r="CC38" s="9">
        <f t="shared" si="24"/>
        <v>3</v>
      </c>
      <c r="CD38" s="9">
        <f t="shared" si="25"/>
        <v>1</v>
      </c>
      <c r="CE38" s="9">
        <f t="shared" si="26"/>
        <v>7</v>
      </c>
      <c r="CF38" s="9">
        <f t="shared" si="27"/>
        <v>25</v>
      </c>
      <c r="CG38" s="33"/>
      <c r="CH38" s="9">
        <f t="shared" si="28"/>
        <v>8</v>
      </c>
      <c r="CI38" s="9">
        <f t="shared" si="29"/>
        <v>3</v>
      </c>
      <c r="CJ38" s="9">
        <f t="shared" si="30"/>
        <v>1</v>
      </c>
      <c r="CK38" s="9">
        <f t="shared" si="31"/>
        <v>7</v>
      </c>
      <c r="CL38" s="9">
        <f t="shared" si="32"/>
        <v>25</v>
      </c>
      <c r="CM38" s="32"/>
      <c r="CN38" s="3">
        <f t="shared" si="33"/>
        <v>2</v>
      </c>
      <c r="CO38" s="3">
        <f t="shared" si="34"/>
        <v>1</v>
      </c>
      <c r="CP38" s="3">
        <f t="shared" si="35"/>
        <v>1</v>
      </c>
      <c r="CQ38" s="3">
        <f t="shared" si="36"/>
        <v>1</v>
      </c>
      <c r="CR38" s="3">
        <f t="shared" si="37"/>
        <v>1</v>
      </c>
      <c r="CS38" s="31"/>
      <c r="CT38" s="3" cm="1">
        <f t="array" ref="CT38">SUMPRODUCT(--(MOD(CH38:CL38,2)=1))</f>
        <v>4</v>
      </c>
      <c r="CU38" s="3">
        <f t="shared" si="38"/>
        <v>1</v>
      </c>
      <c r="CV38" s="30"/>
      <c r="CW38" s="3" cm="1">
        <f t="array" ref="CW38">SUMPRODUCT(--(MOD(CH38:CL38,10)&gt;=1), --(MOD(CH38:CL38,10)&lt;=5))</f>
        <v>3</v>
      </c>
      <c r="CX38" s="3">
        <f t="shared" si="39"/>
        <v>2</v>
      </c>
      <c r="CY38" s="30"/>
      <c r="CZ38" s="3" cm="1">
        <f t="array" ref="CZ38">IFERROR(COUNT(_xlfn._xlws.FILTER(CH38:CL38, ISNUMBER(MATCH(CH38:CL38, {2,3,5,7,11,13,17,19,23,29,31,37,41,43}, 0)))), 0)</f>
        <v>2</v>
      </c>
      <c r="DA38" s="3" cm="1">
        <f t="array" ref="DA38">IFERROR(COUNT(_xlfn._xlws.FILTER(CH38:CL38, ISNUMBER(MATCH(CH38:CL38, {1,4,8,10,14,16,20,22,25,26,28,32,34,35,38,40,44}, 0)))), 0)</f>
        <v>3</v>
      </c>
      <c r="DB38" s="3" cm="1">
        <f t="array" ref="DB38">IFERROR(COUNT(_xlfn._xlws.FILTER(CH38:CL38, ISNUMBER(MATCH(CH38:CL38, {6,9,12,15,18,21,24,27,30,33,36,39,42,45}, 0)))), 0)</f>
        <v>0</v>
      </c>
      <c r="DC38" s="29"/>
      <c r="DD38" s="28" t="e">
        <f>#REF!</f>
        <v>#REF!</v>
      </c>
      <c r="DE38" s="28" t="e">
        <f>#REF!*2</f>
        <v>#REF!</v>
      </c>
      <c r="DF38" s="28" t="e">
        <f>#REF!</f>
        <v>#REF!</v>
      </c>
      <c r="DG38" s="28" t="e">
        <f>#REF!*2</f>
        <v>#REF!</v>
      </c>
      <c r="DH38" s="28" t="e">
        <f>#REF!</f>
        <v>#REF!</v>
      </c>
      <c r="DI38" s="28" t="e">
        <f>#REF!*2</f>
        <v>#REF!</v>
      </c>
      <c r="DJ38" s="28" t="e">
        <f>#REF!</f>
        <v>#REF!</v>
      </c>
      <c r="DK38" s="28" t="e">
        <f>#REF!*2</f>
        <v>#REF!</v>
      </c>
      <c r="DL38" s="28" t="e">
        <f>#REF!</f>
        <v>#REF!</v>
      </c>
      <c r="DM38" s="28" t="e">
        <f>#REF!*2</f>
        <v>#REF!</v>
      </c>
      <c r="DN38" s="27"/>
      <c r="DO38" s="26"/>
      <c r="DP38" s="26"/>
      <c r="DQ38" s="26"/>
      <c r="DR38" s="26"/>
      <c r="DS38" s="26"/>
      <c r="DT38" s="25"/>
    </row>
    <row r="39" spans="2:124" x14ac:dyDescent="0.3">
      <c r="B39" s="3">
        <v>2</v>
      </c>
      <c r="C39" s="3">
        <v>19</v>
      </c>
      <c r="D39" s="3">
        <v>26</v>
      </c>
      <c r="E39" s="3">
        <v>31</v>
      </c>
      <c r="F39" s="3">
        <v>38</v>
      </c>
      <c r="G39" s="3">
        <v>41</v>
      </c>
      <c r="H39" s="32"/>
      <c r="I39" s="3">
        <f t="shared" si="0"/>
        <v>2</v>
      </c>
      <c r="J39" s="3">
        <f t="shared" si="1"/>
        <v>1</v>
      </c>
      <c r="K39" s="3">
        <f t="shared" si="2"/>
        <v>2</v>
      </c>
      <c r="L39" s="3">
        <f t="shared" si="3"/>
        <v>1</v>
      </c>
      <c r="M39" s="3">
        <f t="shared" si="4"/>
        <v>2</v>
      </c>
      <c r="N39" s="3">
        <f t="shared" si="5"/>
        <v>1</v>
      </c>
      <c r="O39" s="32"/>
      <c r="P39" s="3" cm="1">
        <f t="array" ref="P39">SUMPRODUCT(--(MOD(B39:G39,2)=1))</f>
        <v>3</v>
      </c>
      <c r="Q39" s="3">
        <f t="shared" si="6"/>
        <v>3</v>
      </c>
      <c r="R39" s="34"/>
      <c r="S39" s="3">
        <f t="shared" si="7"/>
        <v>2</v>
      </c>
      <c r="T39" s="3">
        <f t="shared" si="8"/>
        <v>4</v>
      </c>
      <c r="U39" s="34"/>
      <c r="V39" s="3" cm="1">
        <f t="array" ref="V39">SUMPRODUCT(--(MOD(B39:G39,10)&gt;=1), --(MOD(B39:G39,10)&lt;=5))</f>
        <v>3</v>
      </c>
      <c r="W39" s="3">
        <f t="shared" si="9"/>
        <v>3</v>
      </c>
      <c r="X39" s="34"/>
      <c r="Y39" s="3" cm="1">
        <f t="array" ref="Y39">IFERROR(COUNT(_xlfn._xlws.FILTER(B39:G39, ISNUMBER(MATCH(B39:G39, {2,3,5,7,11,13,17,19,23,29,31,37,41,43}, 0)))), 0)</f>
        <v>4</v>
      </c>
      <c r="Z39" s="3" cm="1">
        <f t="array" ref="Z39">IFERROR(COUNT(_xlfn._xlws.FILTER(B39:G39, ISNUMBER(MATCH(B39:G39, {1,4,8,10,14,16,20,22,25,26,28,32,34,35,38,40,44}, 0)))), 0)</f>
        <v>2</v>
      </c>
      <c r="AA39" s="3" cm="1">
        <f t="array" ref="AA39">IFERROR(COUNT(_xlfn._xlws.FILTER(B39:G39, ISNUMBER(MATCH(B39:G39, {6,9,12,15,18,21,24,27,30,33,36,39,42,45}, 0)))), 0)</f>
        <v>0</v>
      </c>
      <c r="AB39" s="30"/>
      <c r="AC39" s="26"/>
      <c r="AD39" s="26"/>
      <c r="AE39" s="26"/>
      <c r="AF39" s="26"/>
      <c r="AG39" s="26"/>
      <c r="AH39" s="26"/>
      <c r="AI39" s="30"/>
      <c r="AJ39" s="3">
        <f t="shared" si="10"/>
        <v>1</v>
      </c>
      <c r="AK39" s="3">
        <f t="shared" si="11"/>
        <v>3</v>
      </c>
      <c r="AL39" s="3">
        <f t="shared" si="12"/>
        <v>2</v>
      </c>
      <c r="AM39" s="33"/>
      <c r="AN39" s="3">
        <f t="shared" si="13"/>
        <v>1</v>
      </c>
      <c r="AO39" s="3">
        <f t="shared" si="14"/>
        <v>0</v>
      </c>
      <c r="AP39" s="3">
        <f t="shared" si="15"/>
        <v>2</v>
      </c>
      <c r="AQ39" s="3">
        <f t="shared" si="16"/>
        <v>1</v>
      </c>
      <c r="AR39" s="3">
        <f t="shared" si="17"/>
        <v>2</v>
      </c>
      <c r="AS39" s="28" t="e">
        <f>#REF!</f>
        <v>#REF!</v>
      </c>
      <c r="AT39" s="28" t="e">
        <f>#REF!*2</f>
        <v>#REF!</v>
      </c>
      <c r="AU39" s="28" t="e">
        <f>#REF!</f>
        <v>#REF!</v>
      </c>
      <c r="AV39" s="28" t="e">
        <f>#REF!*2</f>
        <v>#REF!</v>
      </c>
      <c r="AW39" s="28" t="e">
        <f>#REF!</f>
        <v>#REF!</v>
      </c>
      <c r="AX39" s="28" t="e">
        <f>#REF!*2</f>
        <v>#REF!</v>
      </c>
      <c r="AY39" s="28" t="e">
        <f>#REF!</f>
        <v>#REF!</v>
      </c>
      <c r="AZ39" s="28" t="e">
        <f>#REF!*2</f>
        <v>#REF!</v>
      </c>
      <c r="BA39" s="28" t="e">
        <f>#REF!</f>
        <v>#REF!</v>
      </c>
      <c r="BB39" s="28" t="e">
        <f>#REF!*2</f>
        <v>#REF!</v>
      </c>
      <c r="BC39" s="28" t="e">
        <f>#REF!</f>
        <v>#REF!</v>
      </c>
      <c r="BD39" s="28" t="e">
        <f>#REF!*2</f>
        <v>#REF!</v>
      </c>
      <c r="BE39" s="9" t="e">
        <f>#REF!-#REF!</f>
        <v>#REF!</v>
      </c>
      <c r="BF39" s="9" t="e">
        <f>#REF!-#REF!</f>
        <v>#REF!</v>
      </c>
      <c r="BG39" s="9" t="e">
        <f>#REF!-#REF!</f>
        <v>#REF!</v>
      </c>
      <c r="BH39" s="9" t="e">
        <f>#REF!-#REF!</f>
        <v>#REF!</v>
      </c>
      <c r="BI39" s="9" t="e">
        <f>#REF!-#REF!</f>
        <v>#REF!</v>
      </c>
      <c r="BJ39" s="33"/>
      <c r="BK39" s="3">
        <f t="shared" si="18"/>
        <v>1</v>
      </c>
      <c r="BL39" s="3">
        <f t="shared" si="19"/>
        <v>1</v>
      </c>
      <c r="BM39" s="3">
        <f t="shared" si="20"/>
        <v>1</v>
      </c>
      <c r="BN39" s="3">
        <f t="shared" si="21"/>
        <v>2</v>
      </c>
      <c r="BO39" s="3">
        <f t="shared" si="22"/>
        <v>1</v>
      </c>
      <c r="BP39" s="28" t="e">
        <f>#REF!</f>
        <v>#REF!</v>
      </c>
      <c r="BQ39" s="28" t="e">
        <f>#REF!*2</f>
        <v>#REF!</v>
      </c>
      <c r="BR39" s="28" t="e">
        <f>#REF!</f>
        <v>#REF!</v>
      </c>
      <c r="BS39" s="28" t="e">
        <f>#REF!*2</f>
        <v>#REF!</v>
      </c>
      <c r="BT39" s="28" t="e">
        <f>#REF!</f>
        <v>#REF!</v>
      </c>
      <c r="BU39" s="28" t="e">
        <f>#REF!*2</f>
        <v>#REF!</v>
      </c>
      <c r="BV39" s="28" t="e">
        <f>#REF!</f>
        <v>#REF!</v>
      </c>
      <c r="BW39" s="28" t="e">
        <f>#REF!*2</f>
        <v>#REF!</v>
      </c>
      <c r="BX39" s="28" t="e">
        <f>#REF!</f>
        <v>#REF!</v>
      </c>
      <c r="BY39" s="28" t="e">
        <f>#REF!*2</f>
        <v>#REF!</v>
      </c>
      <c r="BZ39" s="28" t="e">
        <f>#REF!</f>
        <v>#REF!</v>
      </c>
      <c r="CA39" s="28" t="e">
        <f>#REF!*2</f>
        <v>#REF!</v>
      </c>
      <c r="CB39" s="9">
        <f t="shared" si="23"/>
        <v>17</v>
      </c>
      <c r="CC39" s="9">
        <f t="shared" si="24"/>
        <v>7</v>
      </c>
      <c r="CD39" s="9">
        <f t="shared" si="25"/>
        <v>5</v>
      </c>
      <c r="CE39" s="9">
        <f t="shared" si="26"/>
        <v>7</v>
      </c>
      <c r="CF39" s="9">
        <f t="shared" si="27"/>
        <v>3</v>
      </c>
      <c r="CG39" s="33"/>
      <c r="CH39" s="9">
        <f t="shared" si="28"/>
        <v>17</v>
      </c>
      <c r="CI39" s="9">
        <f t="shared" si="29"/>
        <v>7</v>
      </c>
      <c r="CJ39" s="9">
        <f t="shared" si="30"/>
        <v>5</v>
      </c>
      <c r="CK39" s="9">
        <f t="shared" si="31"/>
        <v>7</v>
      </c>
      <c r="CL39" s="9">
        <f t="shared" si="32"/>
        <v>3</v>
      </c>
      <c r="CM39" s="32"/>
      <c r="CN39" s="3">
        <f t="shared" si="33"/>
        <v>1</v>
      </c>
      <c r="CO39" s="3">
        <f t="shared" si="34"/>
        <v>1</v>
      </c>
      <c r="CP39" s="3">
        <f t="shared" si="35"/>
        <v>1</v>
      </c>
      <c r="CQ39" s="3">
        <f t="shared" si="36"/>
        <v>1</v>
      </c>
      <c r="CR39" s="3">
        <f t="shared" si="37"/>
        <v>1</v>
      </c>
      <c r="CS39" s="31"/>
      <c r="CT39" s="3" cm="1">
        <f t="array" ref="CT39">SUMPRODUCT(--(MOD(CH39:CL39,2)=1))</f>
        <v>5</v>
      </c>
      <c r="CU39" s="3">
        <f t="shared" si="38"/>
        <v>0</v>
      </c>
      <c r="CV39" s="30"/>
      <c r="CW39" s="3" cm="1">
        <f t="array" ref="CW39">SUMPRODUCT(--(MOD(CH39:CL39,10)&gt;=1), --(MOD(CH39:CL39,10)&lt;=5))</f>
        <v>2</v>
      </c>
      <c r="CX39" s="3">
        <f t="shared" si="39"/>
        <v>3</v>
      </c>
      <c r="CY39" s="30"/>
      <c r="CZ39" s="3" cm="1">
        <f t="array" ref="CZ39">IFERROR(COUNT(_xlfn._xlws.FILTER(CH39:CL39, ISNUMBER(MATCH(CH39:CL39, {2,3,5,7,11,13,17,19,23,29,31,37,41,43}, 0)))), 0)</f>
        <v>5</v>
      </c>
      <c r="DA39" s="3" cm="1">
        <f t="array" ref="DA39">IFERROR(COUNT(_xlfn._xlws.FILTER(CH39:CL39, ISNUMBER(MATCH(CH39:CL39, {1,4,8,10,14,16,20,22,25,26,28,32,34,35,38,40,44}, 0)))), 0)</f>
        <v>0</v>
      </c>
      <c r="DB39" s="3" cm="1">
        <f t="array" ref="DB39">IFERROR(COUNT(_xlfn._xlws.FILTER(CH39:CL39, ISNUMBER(MATCH(CH39:CL39, {6,9,12,15,18,21,24,27,30,33,36,39,42,45}, 0)))), 0)</f>
        <v>0</v>
      </c>
      <c r="DC39" s="29"/>
      <c r="DD39" s="28" t="e">
        <f>#REF!</f>
        <v>#REF!</v>
      </c>
      <c r="DE39" s="28" t="e">
        <f>#REF!*2</f>
        <v>#REF!</v>
      </c>
      <c r="DF39" s="28" t="e">
        <f>#REF!</f>
        <v>#REF!</v>
      </c>
      <c r="DG39" s="28" t="e">
        <f>#REF!*2</f>
        <v>#REF!</v>
      </c>
      <c r="DH39" s="28" t="e">
        <f>#REF!</f>
        <v>#REF!</v>
      </c>
      <c r="DI39" s="28" t="e">
        <f>#REF!*2</f>
        <v>#REF!</v>
      </c>
      <c r="DJ39" s="28" t="e">
        <f>#REF!</f>
        <v>#REF!</v>
      </c>
      <c r="DK39" s="28" t="e">
        <f>#REF!*2</f>
        <v>#REF!</v>
      </c>
      <c r="DL39" s="28" t="e">
        <f>#REF!</f>
        <v>#REF!</v>
      </c>
      <c r="DM39" s="28" t="e">
        <f>#REF!*2</f>
        <v>#REF!</v>
      </c>
      <c r="DN39" s="27"/>
      <c r="DO39" s="26"/>
      <c r="DP39" s="26"/>
      <c r="DQ39" s="26"/>
      <c r="DR39" s="26"/>
      <c r="DS39" s="26"/>
      <c r="DT39" s="25"/>
    </row>
    <row r="40" spans="2:124" x14ac:dyDescent="0.3">
      <c r="B40" s="3">
        <v>6</v>
      </c>
      <c r="C40" s="3">
        <v>24</v>
      </c>
      <c r="D40" s="3">
        <v>31</v>
      </c>
      <c r="E40" s="3">
        <v>32</v>
      </c>
      <c r="F40" s="3">
        <v>38</v>
      </c>
      <c r="G40" s="3">
        <v>44</v>
      </c>
      <c r="H40" s="32"/>
      <c r="I40" s="3">
        <f t="shared" si="0"/>
        <v>2</v>
      </c>
      <c r="J40" s="3">
        <f t="shared" si="1"/>
        <v>2</v>
      </c>
      <c r="K40" s="3">
        <f t="shared" si="2"/>
        <v>1</v>
      </c>
      <c r="L40" s="3">
        <f t="shared" si="3"/>
        <v>2</v>
      </c>
      <c r="M40" s="3">
        <f t="shared" si="4"/>
        <v>2</v>
      </c>
      <c r="N40" s="3">
        <f t="shared" si="5"/>
        <v>2</v>
      </c>
      <c r="O40" s="32"/>
      <c r="P40" s="3" cm="1">
        <f t="array" ref="P40">SUMPRODUCT(--(MOD(B40:G40,2)=1))</f>
        <v>1</v>
      </c>
      <c r="Q40" s="3">
        <f t="shared" si="6"/>
        <v>5</v>
      </c>
      <c r="R40" s="34"/>
      <c r="S40" s="3">
        <f t="shared" si="7"/>
        <v>1</v>
      </c>
      <c r="T40" s="3">
        <f t="shared" si="8"/>
        <v>5</v>
      </c>
      <c r="U40" s="34"/>
      <c r="V40" s="3" cm="1">
        <f t="array" ref="V40">SUMPRODUCT(--(MOD(B40:G40,10)&gt;=1), --(MOD(B40:G40,10)&lt;=5))</f>
        <v>4</v>
      </c>
      <c r="W40" s="3">
        <f t="shared" si="9"/>
        <v>2</v>
      </c>
      <c r="X40" s="34"/>
      <c r="Y40" s="3" cm="1">
        <f t="array" ref="Y40">IFERROR(COUNT(_xlfn._xlws.FILTER(B40:G40, ISNUMBER(MATCH(B40:G40, {2,3,5,7,11,13,17,19,23,29,31,37,41,43}, 0)))), 0)</f>
        <v>1</v>
      </c>
      <c r="Z40" s="3" cm="1">
        <f t="array" ref="Z40">IFERROR(COUNT(_xlfn._xlws.FILTER(B40:G40, ISNUMBER(MATCH(B40:G40, {1,4,8,10,14,16,20,22,25,26,28,32,34,35,38,40,44}, 0)))), 0)</f>
        <v>3</v>
      </c>
      <c r="AA40" s="3" cm="1">
        <f t="array" ref="AA40">IFERROR(COUNT(_xlfn._xlws.FILTER(B40:G40, ISNUMBER(MATCH(B40:G40, {6,9,12,15,18,21,24,27,30,33,36,39,42,45}, 0)))), 0)</f>
        <v>2</v>
      </c>
      <c r="AB40" s="30"/>
      <c r="AC40" s="26"/>
      <c r="AD40" s="26"/>
      <c r="AE40" s="26"/>
      <c r="AF40" s="26"/>
      <c r="AG40" s="26"/>
      <c r="AH40" s="26"/>
      <c r="AI40" s="30"/>
      <c r="AJ40" s="3">
        <f t="shared" si="10"/>
        <v>1</v>
      </c>
      <c r="AK40" s="3">
        <f t="shared" si="11"/>
        <v>2</v>
      </c>
      <c r="AL40" s="3">
        <f t="shared" si="12"/>
        <v>3</v>
      </c>
      <c r="AM40" s="33"/>
      <c r="AN40" s="3">
        <f t="shared" si="13"/>
        <v>1</v>
      </c>
      <c r="AO40" s="3">
        <f t="shared" si="14"/>
        <v>0</v>
      </c>
      <c r="AP40" s="3">
        <f t="shared" si="15"/>
        <v>1</v>
      </c>
      <c r="AQ40" s="3">
        <f t="shared" si="16"/>
        <v>2</v>
      </c>
      <c r="AR40" s="3">
        <f t="shared" si="17"/>
        <v>2</v>
      </c>
      <c r="AS40" s="28" t="e">
        <f>#REF!</f>
        <v>#REF!</v>
      </c>
      <c r="AT40" s="28" t="e">
        <f>#REF!*2</f>
        <v>#REF!</v>
      </c>
      <c r="AU40" s="28" t="e">
        <f>#REF!</f>
        <v>#REF!</v>
      </c>
      <c r="AV40" s="28" t="e">
        <f>#REF!*2</f>
        <v>#REF!</v>
      </c>
      <c r="AW40" s="28" t="e">
        <f>#REF!</f>
        <v>#REF!</v>
      </c>
      <c r="AX40" s="28" t="e">
        <f>#REF!*2</f>
        <v>#REF!</v>
      </c>
      <c r="AY40" s="28" t="e">
        <f>#REF!</f>
        <v>#REF!</v>
      </c>
      <c r="AZ40" s="28" t="e">
        <f>#REF!*2</f>
        <v>#REF!</v>
      </c>
      <c r="BA40" s="28" t="e">
        <f>#REF!</f>
        <v>#REF!</v>
      </c>
      <c r="BB40" s="28" t="e">
        <f>#REF!*2</f>
        <v>#REF!</v>
      </c>
      <c r="BC40" s="28" t="e">
        <f>#REF!</f>
        <v>#REF!</v>
      </c>
      <c r="BD40" s="28" t="e">
        <f>#REF!*2</f>
        <v>#REF!</v>
      </c>
      <c r="BE40" s="9" t="e">
        <f>#REF!-#REF!</f>
        <v>#REF!</v>
      </c>
      <c r="BF40" s="9" t="e">
        <f>#REF!-#REF!</f>
        <v>#REF!</v>
      </c>
      <c r="BG40" s="9" t="e">
        <f>#REF!-#REF!</f>
        <v>#REF!</v>
      </c>
      <c r="BH40" s="9" t="e">
        <f>#REF!-#REF!</f>
        <v>#REF!</v>
      </c>
      <c r="BI40" s="9" t="e">
        <f>#REF!-#REF!</f>
        <v>#REF!</v>
      </c>
      <c r="BJ40" s="33"/>
      <c r="BK40" s="3">
        <f t="shared" si="18"/>
        <v>1</v>
      </c>
      <c r="BL40" s="3">
        <f t="shared" si="19"/>
        <v>0</v>
      </c>
      <c r="BM40" s="3">
        <f t="shared" si="20"/>
        <v>1</v>
      </c>
      <c r="BN40" s="3">
        <f t="shared" si="21"/>
        <v>3</v>
      </c>
      <c r="BO40" s="3">
        <f t="shared" si="22"/>
        <v>1</v>
      </c>
      <c r="BP40" s="28" t="e">
        <f>#REF!</f>
        <v>#REF!</v>
      </c>
      <c r="BQ40" s="28" t="e">
        <f>#REF!*2</f>
        <v>#REF!</v>
      </c>
      <c r="BR40" s="28" t="e">
        <f>#REF!</f>
        <v>#REF!</v>
      </c>
      <c r="BS40" s="28" t="e">
        <f>#REF!*2</f>
        <v>#REF!</v>
      </c>
      <c r="BT40" s="28" t="e">
        <f>#REF!</f>
        <v>#REF!</v>
      </c>
      <c r="BU40" s="28" t="e">
        <f>#REF!*2</f>
        <v>#REF!</v>
      </c>
      <c r="BV40" s="28" t="e">
        <f>#REF!</f>
        <v>#REF!</v>
      </c>
      <c r="BW40" s="28" t="e">
        <f>#REF!*2</f>
        <v>#REF!</v>
      </c>
      <c r="BX40" s="28" t="e">
        <f>#REF!</f>
        <v>#REF!</v>
      </c>
      <c r="BY40" s="28" t="e">
        <f>#REF!*2</f>
        <v>#REF!</v>
      </c>
      <c r="BZ40" s="28" t="e">
        <f>#REF!</f>
        <v>#REF!</v>
      </c>
      <c r="CA40" s="28" t="e">
        <f>#REF!*2</f>
        <v>#REF!</v>
      </c>
      <c r="CB40" s="9">
        <f t="shared" si="23"/>
        <v>18</v>
      </c>
      <c r="CC40" s="9">
        <f t="shared" si="24"/>
        <v>7</v>
      </c>
      <c r="CD40" s="9">
        <f t="shared" si="25"/>
        <v>1</v>
      </c>
      <c r="CE40" s="9">
        <f t="shared" si="26"/>
        <v>6</v>
      </c>
      <c r="CF40" s="9">
        <f t="shared" si="27"/>
        <v>6</v>
      </c>
      <c r="CG40" s="33"/>
      <c r="CH40" s="9">
        <f t="shared" si="28"/>
        <v>18</v>
      </c>
      <c r="CI40" s="9">
        <f t="shared" si="29"/>
        <v>7</v>
      </c>
      <c r="CJ40" s="9">
        <f t="shared" si="30"/>
        <v>1</v>
      </c>
      <c r="CK40" s="9">
        <f t="shared" si="31"/>
        <v>6</v>
      </c>
      <c r="CL40" s="9">
        <f t="shared" si="32"/>
        <v>6</v>
      </c>
      <c r="CM40" s="32"/>
      <c r="CN40" s="3">
        <f t="shared" si="33"/>
        <v>2</v>
      </c>
      <c r="CO40" s="3">
        <f t="shared" si="34"/>
        <v>1</v>
      </c>
      <c r="CP40" s="3">
        <f t="shared" si="35"/>
        <v>1</v>
      </c>
      <c r="CQ40" s="3">
        <f t="shared" si="36"/>
        <v>2</v>
      </c>
      <c r="CR40" s="3">
        <f t="shared" si="37"/>
        <v>2</v>
      </c>
      <c r="CS40" s="31"/>
      <c r="CT40" s="3" cm="1">
        <f t="array" ref="CT40">SUMPRODUCT(--(MOD(CH40:CL40,2)=1))</f>
        <v>2</v>
      </c>
      <c r="CU40" s="3">
        <f t="shared" si="38"/>
        <v>3</v>
      </c>
      <c r="CV40" s="30"/>
      <c r="CW40" s="3" cm="1">
        <f t="array" ref="CW40">SUMPRODUCT(--(MOD(CH40:CL40,10)&gt;=1), --(MOD(CH40:CL40,10)&lt;=5))</f>
        <v>1</v>
      </c>
      <c r="CX40" s="3">
        <f t="shared" si="39"/>
        <v>4</v>
      </c>
      <c r="CY40" s="30"/>
      <c r="CZ40" s="3" cm="1">
        <f t="array" ref="CZ40">IFERROR(COUNT(_xlfn._xlws.FILTER(CH40:CL40, ISNUMBER(MATCH(CH40:CL40, {2,3,5,7,11,13,17,19,23,29,31,37,41,43}, 0)))), 0)</f>
        <v>1</v>
      </c>
      <c r="DA40" s="3" cm="1">
        <f t="array" ref="DA40">IFERROR(COUNT(_xlfn._xlws.FILTER(CH40:CL40, ISNUMBER(MATCH(CH40:CL40, {1,4,8,10,14,16,20,22,25,26,28,32,34,35,38,40,44}, 0)))), 0)</f>
        <v>1</v>
      </c>
      <c r="DB40" s="3" cm="1">
        <f t="array" ref="DB40">IFERROR(COUNT(_xlfn._xlws.FILTER(CH40:CL40, ISNUMBER(MATCH(CH40:CL40, {6,9,12,15,18,21,24,27,30,33,36,39,42,45}, 0)))), 0)</f>
        <v>3</v>
      </c>
      <c r="DC40" s="29"/>
      <c r="DD40" s="28" t="e">
        <f>#REF!</f>
        <v>#REF!</v>
      </c>
      <c r="DE40" s="28" t="e">
        <f>#REF!*2</f>
        <v>#REF!</v>
      </c>
      <c r="DF40" s="28" t="e">
        <f>#REF!</f>
        <v>#REF!</v>
      </c>
      <c r="DG40" s="28" t="e">
        <f>#REF!*2</f>
        <v>#REF!</v>
      </c>
      <c r="DH40" s="28" t="e">
        <f>#REF!</f>
        <v>#REF!</v>
      </c>
      <c r="DI40" s="28" t="e">
        <f>#REF!*2</f>
        <v>#REF!</v>
      </c>
      <c r="DJ40" s="28" t="e">
        <f>#REF!</f>
        <v>#REF!</v>
      </c>
      <c r="DK40" s="28" t="e">
        <f>#REF!*2</f>
        <v>#REF!</v>
      </c>
      <c r="DL40" s="28" t="e">
        <f>#REF!</f>
        <v>#REF!</v>
      </c>
      <c r="DM40" s="28" t="e">
        <f>#REF!*2</f>
        <v>#REF!</v>
      </c>
      <c r="DN40" s="27"/>
      <c r="DO40" s="26"/>
      <c r="DP40" s="26"/>
      <c r="DQ40" s="26"/>
      <c r="DR40" s="26"/>
      <c r="DS40" s="26"/>
      <c r="DT40" s="25"/>
    </row>
    <row r="41" spans="2:124" x14ac:dyDescent="0.3">
      <c r="B41" s="3">
        <v>3</v>
      </c>
      <c r="C41" s="3">
        <v>6</v>
      </c>
      <c r="D41" s="3">
        <v>21</v>
      </c>
      <c r="E41" s="3">
        <v>30</v>
      </c>
      <c r="F41" s="3">
        <v>34</v>
      </c>
      <c r="G41" s="3">
        <v>35</v>
      </c>
      <c r="H41" s="32"/>
      <c r="I41" s="3">
        <f t="shared" si="0"/>
        <v>1</v>
      </c>
      <c r="J41" s="3">
        <f t="shared" si="1"/>
        <v>2</v>
      </c>
      <c r="K41" s="3">
        <f t="shared" si="2"/>
        <v>1</v>
      </c>
      <c r="L41" s="3">
        <f t="shared" si="3"/>
        <v>2</v>
      </c>
      <c r="M41" s="3">
        <f t="shared" si="4"/>
        <v>2</v>
      </c>
      <c r="N41" s="3">
        <f t="shared" si="5"/>
        <v>1</v>
      </c>
      <c r="O41" s="32"/>
      <c r="P41" s="3" cm="1">
        <f t="array" ref="P41">SUMPRODUCT(--(MOD(B41:G41,2)=1))</f>
        <v>3</v>
      </c>
      <c r="Q41" s="3">
        <f t="shared" si="6"/>
        <v>3</v>
      </c>
      <c r="R41" s="34"/>
      <c r="S41" s="3">
        <f t="shared" si="7"/>
        <v>3</v>
      </c>
      <c r="T41" s="3">
        <f t="shared" si="8"/>
        <v>3</v>
      </c>
      <c r="U41" s="34"/>
      <c r="V41" s="3" cm="1">
        <f t="array" ref="V41">SUMPRODUCT(--(MOD(B41:G41,10)&gt;=1), --(MOD(B41:G41,10)&lt;=5))</f>
        <v>4</v>
      </c>
      <c r="W41" s="3">
        <f t="shared" si="9"/>
        <v>2</v>
      </c>
      <c r="X41" s="34"/>
      <c r="Y41" s="3" cm="1">
        <f t="array" ref="Y41">IFERROR(COUNT(_xlfn._xlws.FILTER(B41:G41, ISNUMBER(MATCH(B41:G41, {2,3,5,7,11,13,17,19,23,29,31,37,41,43}, 0)))), 0)</f>
        <v>1</v>
      </c>
      <c r="Z41" s="3" cm="1">
        <f t="array" ref="Z41">IFERROR(COUNT(_xlfn._xlws.FILTER(B41:G41, ISNUMBER(MATCH(B41:G41, {1,4,8,10,14,16,20,22,25,26,28,32,34,35,38,40,44}, 0)))), 0)</f>
        <v>2</v>
      </c>
      <c r="AA41" s="3" cm="1">
        <f t="array" ref="AA41">IFERROR(COUNT(_xlfn._xlws.FILTER(B41:G41, ISNUMBER(MATCH(B41:G41, {6,9,12,15,18,21,24,27,30,33,36,39,42,45}, 0)))), 0)</f>
        <v>3</v>
      </c>
      <c r="AB41" s="30"/>
      <c r="AC41" s="26"/>
      <c r="AD41" s="26"/>
      <c r="AE41" s="26"/>
      <c r="AF41" s="26"/>
      <c r="AG41" s="26"/>
      <c r="AH41" s="26"/>
      <c r="AI41" s="30"/>
      <c r="AJ41" s="3">
        <f t="shared" si="10"/>
        <v>2</v>
      </c>
      <c r="AK41" s="3">
        <f t="shared" si="11"/>
        <v>2</v>
      </c>
      <c r="AL41" s="3">
        <f t="shared" si="12"/>
        <v>2</v>
      </c>
      <c r="AM41" s="33"/>
      <c r="AN41" s="3">
        <f t="shared" si="13"/>
        <v>2</v>
      </c>
      <c r="AO41" s="3">
        <f t="shared" si="14"/>
        <v>0</v>
      </c>
      <c r="AP41" s="3">
        <f t="shared" si="15"/>
        <v>1</v>
      </c>
      <c r="AQ41" s="3">
        <f t="shared" si="16"/>
        <v>3</v>
      </c>
      <c r="AR41" s="3">
        <f t="shared" si="17"/>
        <v>0</v>
      </c>
      <c r="AS41" s="28" t="e">
        <f>#REF!</f>
        <v>#REF!</v>
      </c>
      <c r="AT41" s="28" t="e">
        <f>#REF!*2</f>
        <v>#REF!</v>
      </c>
      <c r="AU41" s="28" t="e">
        <f>#REF!</f>
        <v>#REF!</v>
      </c>
      <c r="AV41" s="28" t="e">
        <f>#REF!*2</f>
        <v>#REF!</v>
      </c>
      <c r="AW41" s="28" t="e">
        <f>#REF!</f>
        <v>#REF!</v>
      </c>
      <c r="AX41" s="28" t="e">
        <f>#REF!*2</f>
        <v>#REF!</v>
      </c>
      <c r="AY41" s="28" t="e">
        <f>#REF!</f>
        <v>#REF!</v>
      </c>
      <c r="AZ41" s="28" t="e">
        <f>#REF!*2</f>
        <v>#REF!</v>
      </c>
      <c r="BA41" s="28" t="e">
        <f>#REF!</f>
        <v>#REF!</v>
      </c>
      <c r="BB41" s="28" t="e">
        <f>#REF!*2</f>
        <v>#REF!</v>
      </c>
      <c r="BC41" s="28" t="e">
        <f>#REF!</f>
        <v>#REF!</v>
      </c>
      <c r="BD41" s="28" t="e">
        <f>#REF!*2</f>
        <v>#REF!</v>
      </c>
      <c r="BE41" s="9" t="e">
        <f>#REF!-#REF!</f>
        <v>#REF!</v>
      </c>
      <c r="BF41" s="9" t="e">
        <f>#REF!-#REF!</f>
        <v>#REF!</v>
      </c>
      <c r="BG41" s="9" t="e">
        <f>#REF!-#REF!</f>
        <v>#REF!</v>
      </c>
      <c r="BH41" s="9" t="e">
        <f>#REF!-#REF!</f>
        <v>#REF!</v>
      </c>
      <c r="BI41" s="9" t="e">
        <f>#REF!-#REF!</f>
        <v>#REF!</v>
      </c>
      <c r="BJ41" s="33"/>
      <c r="BK41" s="3">
        <f t="shared" si="18"/>
        <v>2</v>
      </c>
      <c r="BL41" s="3">
        <f t="shared" si="19"/>
        <v>0</v>
      </c>
      <c r="BM41" s="3">
        <f t="shared" si="20"/>
        <v>1</v>
      </c>
      <c r="BN41" s="3">
        <f t="shared" si="21"/>
        <v>3</v>
      </c>
      <c r="BO41" s="3">
        <f t="shared" si="22"/>
        <v>0</v>
      </c>
      <c r="BP41" s="28" t="e">
        <f>#REF!</f>
        <v>#REF!</v>
      </c>
      <c r="BQ41" s="28" t="e">
        <f>#REF!*2</f>
        <v>#REF!</v>
      </c>
      <c r="BR41" s="28" t="e">
        <f>#REF!</f>
        <v>#REF!</v>
      </c>
      <c r="BS41" s="28" t="e">
        <f>#REF!*2</f>
        <v>#REF!</v>
      </c>
      <c r="BT41" s="28" t="e">
        <f>#REF!</f>
        <v>#REF!</v>
      </c>
      <c r="BU41" s="28" t="e">
        <f>#REF!*2</f>
        <v>#REF!</v>
      </c>
      <c r="BV41" s="28" t="e">
        <f>#REF!</f>
        <v>#REF!</v>
      </c>
      <c r="BW41" s="28" t="e">
        <f>#REF!*2</f>
        <v>#REF!</v>
      </c>
      <c r="BX41" s="28" t="e">
        <f>#REF!</f>
        <v>#REF!</v>
      </c>
      <c r="BY41" s="28" t="e">
        <f>#REF!*2</f>
        <v>#REF!</v>
      </c>
      <c r="BZ41" s="28" t="e">
        <f>#REF!</f>
        <v>#REF!</v>
      </c>
      <c r="CA41" s="28" t="e">
        <f>#REF!*2</f>
        <v>#REF!</v>
      </c>
      <c r="CB41" s="9">
        <f t="shared" si="23"/>
        <v>3</v>
      </c>
      <c r="CC41" s="9">
        <f t="shared" si="24"/>
        <v>15</v>
      </c>
      <c r="CD41" s="9">
        <f t="shared" si="25"/>
        <v>9</v>
      </c>
      <c r="CE41" s="9">
        <f t="shared" si="26"/>
        <v>4</v>
      </c>
      <c r="CF41" s="9">
        <f t="shared" si="27"/>
        <v>1</v>
      </c>
      <c r="CG41" s="33"/>
      <c r="CH41" s="9">
        <f t="shared" si="28"/>
        <v>3</v>
      </c>
      <c r="CI41" s="9">
        <f t="shared" si="29"/>
        <v>15</v>
      </c>
      <c r="CJ41" s="9">
        <f t="shared" si="30"/>
        <v>9</v>
      </c>
      <c r="CK41" s="9">
        <f t="shared" si="31"/>
        <v>4</v>
      </c>
      <c r="CL41" s="9">
        <f t="shared" si="32"/>
        <v>1</v>
      </c>
      <c r="CM41" s="32"/>
      <c r="CN41" s="3">
        <f t="shared" si="33"/>
        <v>1</v>
      </c>
      <c r="CO41" s="3">
        <f t="shared" si="34"/>
        <v>1</v>
      </c>
      <c r="CP41" s="3">
        <f t="shared" si="35"/>
        <v>1</v>
      </c>
      <c r="CQ41" s="3">
        <f t="shared" si="36"/>
        <v>2</v>
      </c>
      <c r="CR41" s="3">
        <f t="shared" si="37"/>
        <v>1</v>
      </c>
      <c r="CS41" s="31"/>
      <c r="CT41" s="3" cm="1">
        <f t="array" ref="CT41">SUMPRODUCT(--(MOD(CH41:CL41,2)=1))</f>
        <v>4</v>
      </c>
      <c r="CU41" s="3">
        <f t="shared" si="38"/>
        <v>1</v>
      </c>
      <c r="CV41" s="30"/>
      <c r="CW41" s="3" cm="1">
        <f t="array" ref="CW41">SUMPRODUCT(--(MOD(CH41:CL41,10)&gt;=1), --(MOD(CH41:CL41,10)&lt;=5))</f>
        <v>4</v>
      </c>
      <c r="CX41" s="3">
        <f t="shared" si="39"/>
        <v>1</v>
      </c>
      <c r="CY41" s="30"/>
      <c r="CZ41" s="3" cm="1">
        <f t="array" ref="CZ41">IFERROR(COUNT(_xlfn._xlws.FILTER(CH41:CL41, ISNUMBER(MATCH(CH41:CL41, {2,3,5,7,11,13,17,19,23,29,31,37,41,43}, 0)))), 0)</f>
        <v>1</v>
      </c>
      <c r="DA41" s="3" cm="1">
        <f t="array" ref="DA41">IFERROR(COUNT(_xlfn._xlws.FILTER(CH41:CL41, ISNUMBER(MATCH(CH41:CL41, {1,4,8,10,14,16,20,22,25,26,28,32,34,35,38,40,44}, 0)))), 0)</f>
        <v>2</v>
      </c>
      <c r="DB41" s="3" cm="1">
        <f t="array" ref="DB41">IFERROR(COUNT(_xlfn._xlws.FILTER(CH41:CL41, ISNUMBER(MATCH(CH41:CL41, {6,9,12,15,18,21,24,27,30,33,36,39,42,45}, 0)))), 0)</f>
        <v>2</v>
      </c>
      <c r="DC41" s="29"/>
      <c r="DD41" s="28" t="e">
        <f>#REF!</f>
        <v>#REF!</v>
      </c>
      <c r="DE41" s="28" t="e">
        <f>#REF!*2</f>
        <v>#REF!</v>
      </c>
      <c r="DF41" s="28" t="e">
        <f>#REF!</f>
        <v>#REF!</v>
      </c>
      <c r="DG41" s="28" t="e">
        <f>#REF!*2</f>
        <v>#REF!</v>
      </c>
      <c r="DH41" s="28" t="e">
        <f>#REF!</f>
        <v>#REF!</v>
      </c>
      <c r="DI41" s="28" t="e">
        <f>#REF!*2</f>
        <v>#REF!</v>
      </c>
      <c r="DJ41" s="28" t="e">
        <f>#REF!</f>
        <v>#REF!</v>
      </c>
      <c r="DK41" s="28" t="e">
        <f>#REF!*2</f>
        <v>#REF!</v>
      </c>
      <c r="DL41" s="28" t="e">
        <f>#REF!</f>
        <v>#REF!</v>
      </c>
      <c r="DM41" s="28" t="e">
        <f>#REF!*2</f>
        <v>#REF!</v>
      </c>
      <c r="DN41" s="27"/>
      <c r="DO41" s="26"/>
      <c r="DP41" s="26"/>
      <c r="DQ41" s="26"/>
      <c r="DR41" s="26"/>
      <c r="DS41" s="26"/>
      <c r="DT41" s="25"/>
    </row>
    <row r="42" spans="2:124" x14ac:dyDescent="0.3">
      <c r="B42" s="3">
        <v>13</v>
      </c>
      <c r="C42" s="3">
        <v>19</v>
      </c>
      <c r="D42" s="3">
        <v>21</v>
      </c>
      <c r="E42" s="3">
        <v>24</v>
      </c>
      <c r="F42" s="3">
        <v>34</v>
      </c>
      <c r="G42" s="3">
        <v>35</v>
      </c>
      <c r="H42" s="32"/>
      <c r="I42" s="3">
        <f t="shared" si="0"/>
        <v>1</v>
      </c>
      <c r="J42" s="3">
        <f t="shared" si="1"/>
        <v>1</v>
      </c>
      <c r="K42" s="3">
        <f t="shared" si="2"/>
        <v>1</v>
      </c>
      <c r="L42" s="3">
        <f t="shared" si="3"/>
        <v>2</v>
      </c>
      <c r="M42" s="3">
        <f t="shared" si="4"/>
        <v>2</v>
      </c>
      <c r="N42" s="3">
        <f t="shared" si="5"/>
        <v>1</v>
      </c>
      <c r="O42" s="32"/>
      <c r="P42" s="3" cm="1">
        <f t="array" ref="P42">SUMPRODUCT(--(MOD(B42:G42,2)=1))</f>
        <v>4</v>
      </c>
      <c r="Q42" s="3">
        <f t="shared" si="6"/>
        <v>2</v>
      </c>
      <c r="R42" s="34"/>
      <c r="S42" s="3">
        <f t="shared" si="7"/>
        <v>3</v>
      </c>
      <c r="T42" s="3">
        <f t="shared" si="8"/>
        <v>3</v>
      </c>
      <c r="U42" s="34"/>
      <c r="V42" s="3" cm="1">
        <f t="array" ref="V42">SUMPRODUCT(--(MOD(B42:G42,10)&gt;=1), --(MOD(B42:G42,10)&lt;=5))</f>
        <v>5</v>
      </c>
      <c r="W42" s="3">
        <f t="shared" si="9"/>
        <v>1</v>
      </c>
      <c r="X42" s="34"/>
      <c r="Y42" s="3" cm="1">
        <f t="array" ref="Y42">IFERROR(COUNT(_xlfn._xlws.FILTER(B42:G42, ISNUMBER(MATCH(B42:G42, {2,3,5,7,11,13,17,19,23,29,31,37,41,43}, 0)))), 0)</f>
        <v>2</v>
      </c>
      <c r="Z42" s="3" cm="1">
        <f t="array" ref="Z42">IFERROR(COUNT(_xlfn._xlws.FILTER(B42:G42, ISNUMBER(MATCH(B42:G42, {1,4,8,10,14,16,20,22,25,26,28,32,34,35,38,40,44}, 0)))), 0)</f>
        <v>2</v>
      </c>
      <c r="AA42" s="3" cm="1">
        <f t="array" ref="AA42">IFERROR(COUNT(_xlfn._xlws.FILTER(B42:G42, ISNUMBER(MATCH(B42:G42, {6,9,12,15,18,21,24,27,30,33,36,39,42,45}, 0)))), 0)</f>
        <v>2</v>
      </c>
      <c r="AB42" s="30"/>
      <c r="AC42" s="26"/>
      <c r="AD42" s="26"/>
      <c r="AE42" s="26"/>
      <c r="AF42" s="26"/>
      <c r="AG42" s="26"/>
      <c r="AH42" s="26"/>
      <c r="AI42" s="30"/>
      <c r="AJ42" s="3">
        <f t="shared" si="10"/>
        <v>1</v>
      </c>
      <c r="AK42" s="3">
        <f t="shared" si="11"/>
        <v>3</v>
      </c>
      <c r="AL42" s="3">
        <f t="shared" si="12"/>
        <v>2</v>
      </c>
      <c r="AM42" s="33"/>
      <c r="AN42" s="3">
        <f t="shared" si="13"/>
        <v>0</v>
      </c>
      <c r="AO42" s="3">
        <f t="shared" si="14"/>
        <v>1</v>
      </c>
      <c r="AP42" s="3">
        <f t="shared" si="15"/>
        <v>3</v>
      </c>
      <c r="AQ42" s="3">
        <f t="shared" si="16"/>
        <v>2</v>
      </c>
      <c r="AR42" s="3">
        <f t="shared" si="17"/>
        <v>0</v>
      </c>
      <c r="AS42" s="28" t="e">
        <f>#REF!</f>
        <v>#REF!</v>
      </c>
      <c r="AT42" s="28" t="e">
        <f>#REF!*2</f>
        <v>#REF!</v>
      </c>
      <c r="AU42" s="28" t="e">
        <f>#REF!</f>
        <v>#REF!</v>
      </c>
      <c r="AV42" s="28" t="e">
        <f>#REF!*2</f>
        <v>#REF!</v>
      </c>
      <c r="AW42" s="28" t="e">
        <f>#REF!</f>
        <v>#REF!</v>
      </c>
      <c r="AX42" s="28" t="e">
        <f>#REF!*2</f>
        <v>#REF!</v>
      </c>
      <c r="AY42" s="28" t="e">
        <f>#REF!</f>
        <v>#REF!</v>
      </c>
      <c r="AZ42" s="28" t="e">
        <f>#REF!*2</f>
        <v>#REF!</v>
      </c>
      <c r="BA42" s="28" t="e">
        <f>#REF!</f>
        <v>#REF!</v>
      </c>
      <c r="BB42" s="28" t="e">
        <f>#REF!*2</f>
        <v>#REF!</v>
      </c>
      <c r="BC42" s="28" t="e">
        <f>#REF!</f>
        <v>#REF!</v>
      </c>
      <c r="BD42" s="28" t="e">
        <f>#REF!*2</f>
        <v>#REF!</v>
      </c>
      <c r="BE42" s="9" t="e">
        <f>#REF!-#REF!</f>
        <v>#REF!</v>
      </c>
      <c r="BF42" s="9" t="e">
        <f>#REF!-#REF!</f>
        <v>#REF!</v>
      </c>
      <c r="BG42" s="9" t="e">
        <f>#REF!-#REF!</f>
        <v>#REF!</v>
      </c>
      <c r="BH42" s="9" t="e">
        <f>#REF!-#REF!</f>
        <v>#REF!</v>
      </c>
      <c r="BI42" s="9" t="e">
        <f>#REF!-#REF!</f>
        <v>#REF!</v>
      </c>
      <c r="BJ42" s="33"/>
      <c r="BK42" s="3">
        <f t="shared" si="18"/>
        <v>0</v>
      </c>
      <c r="BL42" s="3">
        <f t="shared" si="19"/>
        <v>2</v>
      </c>
      <c r="BM42" s="3">
        <f t="shared" si="20"/>
        <v>2</v>
      </c>
      <c r="BN42" s="3">
        <f t="shared" si="21"/>
        <v>2</v>
      </c>
      <c r="BO42" s="3">
        <f t="shared" si="22"/>
        <v>0</v>
      </c>
      <c r="BP42" s="28" t="e">
        <f>#REF!</f>
        <v>#REF!</v>
      </c>
      <c r="BQ42" s="28" t="e">
        <f>#REF!*2</f>
        <v>#REF!</v>
      </c>
      <c r="BR42" s="28" t="e">
        <f>#REF!</f>
        <v>#REF!</v>
      </c>
      <c r="BS42" s="28" t="e">
        <f>#REF!*2</f>
        <v>#REF!</v>
      </c>
      <c r="BT42" s="28" t="e">
        <f>#REF!</f>
        <v>#REF!</v>
      </c>
      <c r="BU42" s="28" t="e">
        <f>#REF!*2</f>
        <v>#REF!</v>
      </c>
      <c r="BV42" s="28" t="e">
        <f>#REF!</f>
        <v>#REF!</v>
      </c>
      <c r="BW42" s="28" t="e">
        <f>#REF!*2</f>
        <v>#REF!</v>
      </c>
      <c r="BX42" s="28" t="e">
        <f>#REF!</f>
        <v>#REF!</v>
      </c>
      <c r="BY42" s="28" t="e">
        <f>#REF!*2</f>
        <v>#REF!</v>
      </c>
      <c r="BZ42" s="28" t="e">
        <f>#REF!</f>
        <v>#REF!</v>
      </c>
      <c r="CA42" s="28" t="e">
        <f>#REF!*2</f>
        <v>#REF!</v>
      </c>
      <c r="CB42" s="9">
        <f t="shared" si="23"/>
        <v>6</v>
      </c>
      <c r="CC42" s="9">
        <f t="shared" si="24"/>
        <v>2</v>
      </c>
      <c r="CD42" s="9">
        <f t="shared" si="25"/>
        <v>3</v>
      </c>
      <c r="CE42" s="9">
        <f t="shared" si="26"/>
        <v>10</v>
      </c>
      <c r="CF42" s="9">
        <f t="shared" si="27"/>
        <v>1</v>
      </c>
      <c r="CG42" s="33"/>
      <c r="CH42" s="9">
        <f t="shared" si="28"/>
        <v>6</v>
      </c>
      <c r="CI42" s="9">
        <f t="shared" si="29"/>
        <v>2</v>
      </c>
      <c r="CJ42" s="9">
        <f t="shared" si="30"/>
        <v>3</v>
      </c>
      <c r="CK42" s="9">
        <f t="shared" si="31"/>
        <v>10</v>
      </c>
      <c r="CL42" s="9">
        <f t="shared" si="32"/>
        <v>1</v>
      </c>
      <c r="CM42" s="32"/>
      <c r="CN42" s="3">
        <f t="shared" si="33"/>
        <v>2</v>
      </c>
      <c r="CO42" s="3">
        <f t="shared" si="34"/>
        <v>2</v>
      </c>
      <c r="CP42" s="3">
        <f t="shared" si="35"/>
        <v>1</v>
      </c>
      <c r="CQ42" s="3">
        <f t="shared" si="36"/>
        <v>2</v>
      </c>
      <c r="CR42" s="3">
        <f t="shared" si="37"/>
        <v>1</v>
      </c>
      <c r="CS42" s="31"/>
      <c r="CT42" s="3" cm="1">
        <f t="array" ref="CT42">SUMPRODUCT(--(MOD(CH42:CL42,2)=1))</f>
        <v>2</v>
      </c>
      <c r="CU42" s="3">
        <f t="shared" si="38"/>
        <v>3</v>
      </c>
      <c r="CV42" s="30"/>
      <c r="CW42" s="3" cm="1">
        <f t="array" ref="CW42">SUMPRODUCT(--(MOD(CH42:CL42,10)&gt;=1), --(MOD(CH42:CL42,10)&lt;=5))</f>
        <v>3</v>
      </c>
      <c r="CX42" s="3">
        <f t="shared" si="39"/>
        <v>2</v>
      </c>
      <c r="CY42" s="30"/>
      <c r="CZ42" s="3" cm="1">
        <f t="array" ref="CZ42">IFERROR(COUNT(_xlfn._xlws.FILTER(CH42:CL42, ISNUMBER(MATCH(CH42:CL42, {2,3,5,7,11,13,17,19,23,29,31,37,41,43}, 0)))), 0)</f>
        <v>2</v>
      </c>
      <c r="DA42" s="3" cm="1">
        <f t="array" ref="DA42">IFERROR(COUNT(_xlfn._xlws.FILTER(CH42:CL42, ISNUMBER(MATCH(CH42:CL42, {1,4,8,10,14,16,20,22,25,26,28,32,34,35,38,40,44}, 0)))), 0)</f>
        <v>2</v>
      </c>
      <c r="DB42" s="3" cm="1">
        <f t="array" ref="DB42">IFERROR(COUNT(_xlfn._xlws.FILTER(CH42:CL42, ISNUMBER(MATCH(CH42:CL42, {6,9,12,15,18,21,24,27,30,33,36,39,42,45}, 0)))), 0)</f>
        <v>1</v>
      </c>
      <c r="DC42" s="29"/>
      <c r="DD42" s="28" t="e">
        <f>#REF!</f>
        <v>#REF!</v>
      </c>
      <c r="DE42" s="28" t="e">
        <f>#REF!*2</f>
        <v>#REF!</v>
      </c>
      <c r="DF42" s="28" t="e">
        <f>#REF!</f>
        <v>#REF!</v>
      </c>
      <c r="DG42" s="28" t="e">
        <f>#REF!*2</f>
        <v>#REF!</v>
      </c>
      <c r="DH42" s="28" t="e">
        <f>#REF!</f>
        <v>#REF!</v>
      </c>
      <c r="DI42" s="28" t="e">
        <f>#REF!*2</f>
        <v>#REF!</v>
      </c>
      <c r="DJ42" s="28" t="e">
        <f>#REF!</f>
        <v>#REF!</v>
      </c>
      <c r="DK42" s="28" t="e">
        <f>#REF!*2</f>
        <v>#REF!</v>
      </c>
      <c r="DL42" s="28" t="e">
        <f>#REF!</f>
        <v>#REF!</v>
      </c>
      <c r="DM42" s="28" t="e">
        <f>#REF!*2</f>
        <v>#REF!</v>
      </c>
      <c r="DN42" s="27"/>
      <c r="DO42" s="26"/>
      <c r="DP42" s="26"/>
      <c r="DQ42" s="26"/>
      <c r="DR42" s="26"/>
      <c r="DS42" s="26"/>
      <c r="DT42" s="25"/>
    </row>
    <row r="43" spans="2:124" x14ac:dyDescent="0.3">
      <c r="B43" s="3">
        <v>3</v>
      </c>
      <c r="C43" s="3">
        <v>8</v>
      </c>
      <c r="D43" s="3">
        <v>17</v>
      </c>
      <c r="E43" s="3">
        <v>30</v>
      </c>
      <c r="F43" s="3">
        <v>33</v>
      </c>
      <c r="G43" s="3">
        <v>34</v>
      </c>
      <c r="H43" s="32"/>
      <c r="I43" s="3">
        <f t="shared" si="0"/>
        <v>1</v>
      </c>
      <c r="J43" s="3">
        <f t="shared" si="1"/>
        <v>2</v>
      </c>
      <c r="K43" s="3">
        <f t="shared" si="2"/>
        <v>1</v>
      </c>
      <c r="L43" s="3">
        <f t="shared" si="3"/>
        <v>2</v>
      </c>
      <c r="M43" s="3">
        <f t="shared" si="4"/>
        <v>1</v>
      </c>
      <c r="N43" s="3">
        <f t="shared" si="5"/>
        <v>2</v>
      </c>
      <c r="O43" s="32"/>
      <c r="P43" s="3" cm="1">
        <f t="array" ref="P43">SUMPRODUCT(--(MOD(B43:G43,2)=1))</f>
        <v>3</v>
      </c>
      <c r="Q43" s="3">
        <f t="shared" si="6"/>
        <v>3</v>
      </c>
      <c r="R43" s="34"/>
      <c r="S43" s="3">
        <f t="shared" si="7"/>
        <v>3</v>
      </c>
      <c r="T43" s="3">
        <f t="shared" si="8"/>
        <v>3</v>
      </c>
      <c r="U43" s="34"/>
      <c r="V43" s="3" cm="1">
        <f t="array" ref="V43">SUMPRODUCT(--(MOD(B43:G43,10)&gt;=1), --(MOD(B43:G43,10)&lt;=5))</f>
        <v>3</v>
      </c>
      <c r="W43" s="3">
        <f t="shared" si="9"/>
        <v>3</v>
      </c>
      <c r="X43" s="34"/>
      <c r="Y43" s="3" cm="1">
        <f t="array" ref="Y43">IFERROR(COUNT(_xlfn._xlws.FILTER(B43:G43, ISNUMBER(MATCH(B43:G43, {2,3,5,7,11,13,17,19,23,29,31,37,41,43}, 0)))), 0)</f>
        <v>2</v>
      </c>
      <c r="Z43" s="3" cm="1">
        <f t="array" ref="Z43">IFERROR(COUNT(_xlfn._xlws.FILTER(B43:G43, ISNUMBER(MATCH(B43:G43, {1,4,8,10,14,16,20,22,25,26,28,32,34,35,38,40,44}, 0)))), 0)</f>
        <v>2</v>
      </c>
      <c r="AA43" s="3" cm="1">
        <f t="array" ref="AA43">IFERROR(COUNT(_xlfn._xlws.FILTER(B43:G43, ISNUMBER(MATCH(B43:G43, {6,9,12,15,18,21,24,27,30,33,36,39,42,45}, 0)))), 0)</f>
        <v>2</v>
      </c>
      <c r="AB43" s="30"/>
      <c r="AI43" s="30"/>
      <c r="AJ43" s="3">
        <f t="shared" si="10"/>
        <v>2</v>
      </c>
      <c r="AK43" s="3">
        <f t="shared" si="11"/>
        <v>2</v>
      </c>
      <c r="AL43" s="3">
        <f t="shared" si="12"/>
        <v>2</v>
      </c>
      <c r="AM43" s="33"/>
      <c r="AN43" s="3">
        <f t="shared" si="13"/>
        <v>2</v>
      </c>
      <c r="AO43" s="3">
        <f t="shared" si="14"/>
        <v>1</v>
      </c>
      <c r="AP43" s="3">
        <f t="shared" si="15"/>
        <v>0</v>
      </c>
      <c r="AQ43" s="3">
        <f t="shared" si="16"/>
        <v>3</v>
      </c>
      <c r="AR43" s="3">
        <f t="shared" si="17"/>
        <v>0</v>
      </c>
      <c r="AS43" s="28" t="e">
        <f>#REF!</f>
        <v>#REF!</v>
      </c>
      <c r="AT43" s="28" t="e">
        <f>#REF!*2</f>
        <v>#REF!</v>
      </c>
      <c r="AU43" s="28" t="e">
        <f>#REF!</f>
        <v>#REF!</v>
      </c>
      <c r="AV43" s="28" t="e">
        <f>#REF!*2</f>
        <v>#REF!</v>
      </c>
      <c r="AW43" s="28" t="e">
        <f>#REF!</f>
        <v>#REF!</v>
      </c>
      <c r="AX43" s="28" t="e">
        <f>#REF!*2</f>
        <v>#REF!</v>
      </c>
      <c r="AY43" s="28" t="e">
        <f>#REF!</f>
        <v>#REF!</v>
      </c>
      <c r="AZ43" s="28" t="e">
        <f>#REF!*2</f>
        <v>#REF!</v>
      </c>
      <c r="BA43" s="28" t="e">
        <f>#REF!</f>
        <v>#REF!</v>
      </c>
      <c r="BB43" s="28" t="e">
        <f>#REF!*2</f>
        <v>#REF!</v>
      </c>
      <c r="BC43" s="28" t="e">
        <f>#REF!</f>
        <v>#REF!</v>
      </c>
      <c r="BD43" s="28" t="e">
        <f>#REF!*2</f>
        <v>#REF!</v>
      </c>
      <c r="BE43" s="9" t="e">
        <f>#REF!-#REF!</f>
        <v>#REF!</v>
      </c>
      <c r="BF43" s="9" t="e">
        <f>#REF!-#REF!</f>
        <v>#REF!</v>
      </c>
      <c r="BG43" s="9" t="e">
        <f>#REF!-#REF!</f>
        <v>#REF!</v>
      </c>
      <c r="BH43" s="9" t="e">
        <f>#REF!-#REF!</f>
        <v>#REF!</v>
      </c>
      <c r="BI43" s="9" t="e">
        <f>#REF!-#REF!</f>
        <v>#REF!</v>
      </c>
      <c r="BJ43" s="33"/>
      <c r="BK43" s="3">
        <f t="shared" si="18"/>
        <v>2</v>
      </c>
      <c r="BL43" s="3">
        <f t="shared" si="19"/>
        <v>1</v>
      </c>
      <c r="BM43" s="3">
        <f t="shared" si="20"/>
        <v>0</v>
      </c>
      <c r="BN43" s="3">
        <f t="shared" si="21"/>
        <v>3</v>
      </c>
      <c r="BO43" s="3">
        <f t="shared" si="22"/>
        <v>0</v>
      </c>
      <c r="BP43" s="28" t="e">
        <f>#REF!</f>
        <v>#REF!</v>
      </c>
      <c r="BQ43" s="28" t="e">
        <f>#REF!*2</f>
        <v>#REF!</v>
      </c>
      <c r="BR43" s="28" t="e">
        <f>#REF!</f>
        <v>#REF!</v>
      </c>
      <c r="BS43" s="28" t="e">
        <f>#REF!*2</f>
        <v>#REF!</v>
      </c>
      <c r="BT43" s="28" t="e">
        <f>#REF!</f>
        <v>#REF!</v>
      </c>
      <c r="BU43" s="28" t="e">
        <f>#REF!*2</f>
        <v>#REF!</v>
      </c>
      <c r="BV43" s="28" t="e">
        <f>#REF!</f>
        <v>#REF!</v>
      </c>
      <c r="BW43" s="28" t="e">
        <f>#REF!*2</f>
        <v>#REF!</v>
      </c>
      <c r="BX43" s="28" t="e">
        <f>#REF!</f>
        <v>#REF!</v>
      </c>
      <c r="BY43" s="28" t="e">
        <f>#REF!*2</f>
        <v>#REF!</v>
      </c>
      <c r="BZ43" s="28" t="e">
        <f>#REF!</f>
        <v>#REF!</v>
      </c>
      <c r="CA43" s="28" t="e">
        <f>#REF!*2</f>
        <v>#REF!</v>
      </c>
      <c r="CB43" s="9">
        <f t="shared" si="23"/>
        <v>5</v>
      </c>
      <c r="CC43" s="9">
        <f t="shared" si="24"/>
        <v>9</v>
      </c>
      <c r="CD43" s="9">
        <f t="shared" si="25"/>
        <v>13</v>
      </c>
      <c r="CE43" s="9">
        <f t="shared" si="26"/>
        <v>3</v>
      </c>
      <c r="CF43" s="9">
        <f t="shared" si="27"/>
        <v>1</v>
      </c>
      <c r="CG43" s="33"/>
      <c r="CH43" s="9">
        <f t="shared" si="28"/>
        <v>5</v>
      </c>
      <c r="CI43" s="9">
        <f t="shared" si="29"/>
        <v>9</v>
      </c>
      <c r="CJ43" s="9">
        <f t="shared" si="30"/>
        <v>13</v>
      </c>
      <c r="CK43" s="9">
        <f t="shared" si="31"/>
        <v>3</v>
      </c>
      <c r="CL43" s="9">
        <f t="shared" si="32"/>
        <v>1</v>
      </c>
      <c r="CM43" s="32"/>
      <c r="CN43" s="3">
        <f t="shared" si="33"/>
        <v>1</v>
      </c>
      <c r="CO43" s="3">
        <f t="shared" si="34"/>
        <v>1</v>
      </c>
      <c r="CP43" s="3">
        <f t="shared" si="35"/>
        <v>1</v>
      </c>
      <c r="CQ43" s="3">
        <f t="shared" si="36"/>
        <v>1</v>
      </c>
      <c r="CR43" s="3">
        <f t="shared" si="37"/>
        <v>1</v>
      </c>
      <c r="CS43" s="31"/>
      <c r="CT43" s="3" cm="1">
        <f t="array" ref="CT43">SUMPRODUCT(--(MOD(CH43:CL43,2)=1))</f>
        <v>5</v>
      </c>
      <c r="CU43" s="3">
        <f t="shared" si="38"/>
        <v>0</v>
      </c>
      <c r="CV43" s="30"/>
      <c r="CW43" s="3" cm="1">
        <f t="array" ref="CW43">SUMPRODUCT(--(MOD(CH43:CL43,10)&gt;=1), --(MOD(CH43:CL43,10)&lt;=5))</f>
        <v>4</v>
      </c>
      <c r="CX43" s="3">
        <f t="shared" si="39"/>
        <v>1</v>
      </c>
      <c r="CY43" s="30"/>
      <c r="CZ43" s="3" cm="1">
        <f t="array" ref="CZ43">IFERROR(COUNT(_xlfn._xlws.FILTER(CH43:CL43, ISNUMBER(MATCH(CH43:CL43, {2,3,5,7,11,13,17,19,23,29,31,37,41,43}, 0)))), 0)</f>
        <v>3</v>
      </c>
      <c r="DA43" s="3" cm="1">
        <f t="array" ref="DA43">IFERROR(COUNT(_xlfn._xlws.FILTER(CH43:CL43, ISNUMBER(MATCH(CH43:CL43, {1,4,8,10,14,16,20,22,25,26,28,32,34,35,38,40,44}, 0)))), 0)</f>
        <v>1</v>
      </c>
      <c r="DB43" s="3" cm="1">
        <f t="array" ref="DB43">IFERROR(COUNT(_xlfn._xlws.FILTER(CH43:CL43, ISNUMBER(MATCH(CH43:CL43, {6,9,12,15,18,21,24,27,30,33,36,39,42,45}, 0)))), 0)</f>
        <v>1</v>
      </c>
      <c r="DC43" s="29"/>
      <c r="DD43" s="28" t="e">
        <f>#REF!</f>
        <v>#REF!</v>
      </c>
      <c r="DE43" s="28" t="e">
        <f>#REF!*2</f>
        <v>#REF!</v>
      </c>
      <c r="DF43" s="28" t="e">
        <f>#REF!</f>
        <v>#REF!</v>
      </c>
      <c r="DG43" s="28" t="e">
        <f>#REF!*2</f>
        <v>#REF!</v>
      </c>
      <c r="DH43" s="28" t="e">
        <f>#REF!</f>
        <v>#REF!</v>
      </c>
      <c r="DI43" s="28" t="e">
        <f>#REF!*2</f>
        <v>#REF!</v>
      </c>
      <c r="DJ43" s="28" t="e">
        <f>#REF!</f>
        <v>#REF!</v>
      </c>
      <c r="DK43" s="28" t="e">
        <f>#REF!*2</f>
        <v>#REF!</v>
      </c>
      <c r="DL43" s="28" t="e">
        <f>#REF!</f>
        <v>#REF!</v>
      </c>
      <c r="DM43" s="28" t="e">
        <f>#REF!*2</f>
        <v>#REF!</v>
      </c>
      <c r="DN43" s="27"/>
      <c r="DO43" s="26" t="str" cm="1">
        <f t="array" ref="DO43">_xlfn.IFS(
   OR(CH43="",ISBLANK(CH43),CH43=0),0,
   ISNUMBER(MATCH(CH43,{2,3,5,7,11,13,17,19,23,29,31,37,41,43},0)),"소",
   AND(ISNUMBER(CH43),MOD(CH43,3)=0),"배",
   AND(ISNUMBER(CH43),CH43&gt;0),"자"
)</f>
        <v>소</v>
      </c>
      <c r="DP43" s="26" t="str" cm="1">
        <f t="array" ref="DP43">_xlfn.IFS(
   OR(CI43="",ISBLANK(CI43),CI43=0),0,
   ISNUMBER(MATCH(CI43,{2,3,5,7,11,13,17,19,23,29,31,37,41,43},0)),"소",
   AND(ISNUMBER(CI43),MOD(CI43,3)=0),"배",
   AND(ISNUMBER(CI43),CI43&gt;0),"자"
)</f>
        <v>배</v>
      </c>
      <c r="DQ43" s="26" t="str" cm="1">
        <f t="array" ref="DQ43">_xlfn.IFS(
   OR(CJ43="",ISBLANK(CJ43),CJ43=0),0,
   ISNUMBER(MATCH(CJ43,{2,3,5,7,11,13,17,19,23,29,31,37,41,43},0)),"소",
   AND(ISNUMBER(CJ43),MOD(CJ43,3)=0),"배",
   AND(ISNUMBER(CJ43),CJ43&gt;0),"자"
)</f>
        <v>소</v>
      </c>
      <c r="DR43" s="26" t="str" cm="1">
        <f t="array" ref="DR43">_xlfn.IFS(
   OR(CK43="",ISBLANK(CK43),CK43=0),0,
   ISNUMBER(MATCH(CK43,{2,3,5,7,11,13,17,19,23,29,31,37,41,43},0)),"소",
   AND(ISNUMBER(CK43),MOD(CK43,3)=0),"배",
   AND(ISNUMBER(CK43),CK43&gt;0),"자"
)</f>
        <v>소</v>
      </c>
      <c r="DS43" s="26" t="str" cm="1">
        <f t="array" ref="DS43">_xlfn.IFS(
   OR(CL43="",ISBLANK(CL43),CL43=0),0,
   ISNUMBER(MATCH(CL43,{2,3,5,7,11,13,17,19,23,29,31,37,41,43},0)),"소",
   AND(ISNUMBER(CL43),MOD(CL43,3)=0),"배",
   AND(ISNUMBER(CL43),CL43&gt;0),"자"
)</f>
        <v>자</v>
      </c>
      <c r="DT43" s="25"/>
    </row>
    <row r="44" spans="2:124" x14ac:dyDescent="0.3">
      <c r="B44" s="3">
        <v>6</v>
      </c>
      <c r="C44" s="3">
        <v>14</v>
      </c>
      <c r="D44" s="3">
        <v>25</v>
      </c>
      <c r="E44" s="3">
        <v>33</v>
      </c>
      <c r="F44" s="3">
        <v>40</v>
      </c>
      <c r="G44" s="3">
        <v>44</v>
      </c>
      <c r="H44" s="32"/>
      <c r="I44" s="3">
        <f t="shared" si="0"/>
        <v>2</v>
      </c>
      <c r="J44" s="3">
        <f t="shared" si="1"/>
        <v>2</v>
      </c>
      <c r="K44" s="3">
        <f t="shared" si="2"/>
        <v>1</v>
      </c>
      <c r="L44" s="3">
        <f t="shared" si="3"/>
        <v>1</v>
      </c>
      <c r="M44" s="3">
        <f t="shared" si="4"/>
        <v>2</v>
      </c>
      <c r="N44" s="3">
        <f t="shared" si="5"/>
        <v>2</v>
      </c>
      <c r="O44" s="32"/>
      <c r="P44" s="3" cm="1">
        <f t="array" ref="P44">SUMPRODUCT(--(MOD(B44:G44,2)=1))</f>
        <v>2</v>
      </c>
      <c r="Q44" s="3">
        <f t="shared" si="6"/>
        <v>4</v>
      </c>
      <c r="R44" s="34"/>
      <c r="S44" s="3">
        <f t="shared" si="7"/>
        <v>2</v>
      </c>
      <c r="T44" s="3">
        <f t="shared" si="8"/>
        <v>4</v>
      </c>
      <c r="U44" s="34"/>
      <c r="V44" s="3" cm="1">
        <f t="array" ref="V44">SUMPRODUCT(--(MOD(B44:G44,10)&gt;=1), --(MOD(B44:G44,10)&lt;=5))</f>
        <v>4</v>
      </c>
      <c r="W44" s="3">
        <f t="shared" si="9"/>
        <v>2</v>
      </c>
      <c r="X44" s="34"/>
      <c r="Y44" s="3" cm="1">
        <f t="array" ref="Y44">IFERROR(COUNT(_xlfn._xlws.FILTER(B44:G44, ISNUMBER(MATCH(B44:G44, {2,3,5,7,11,13,17,19,23,29,31,37,41,43}, 0)))), 0)</f>
        <v>0</v>
      </c>
      <c r="Z44" s="3" cm="1">
        <f t="array" ref="Z44">IFERROR(COUNT(_xlfn._xlws.FILTER(B44:G44, ISNUMBER(MATCH(B44:G44, {1,4,8,10,14,16,20,22,25,26,28,32,34,35,38,40,44}, 0)))), 0)</f>
        <v>4</v>
      </c>
      <c r="AA44" s="3" cm="1">
        <f t="array" ref="AA44">IFERROR(COUNT(_xlfn._xlws.FILTER(B44:G44, ISNUMBER(MATCH(B44:G44, {6,9,12,15,18,21,24,27,30,33,36,39,42,45}, 0)))), 0)</f>
        <v>2</v>
      </c>
      <c r="AB44" s="30"/>
      <c r="AC44" s="26" t="str" cm="1">
        <f t="array" ref="AC44">_xlfn.IFS(
   OR(B44="",ISBLANK(B44),B44=0),0,
   ISNUMBER(MATCH(B44,{2,3,5,7,11,13,17,19,23,29,31,37,41,43},0)),"소",
   AND(ISNUMBER(B44),MOD(B44,3)=0),"배",
   AND(ISNUMBER(B44),B44&gt;0),"자"
)</f>
        <v>배</v>
      </c>
      <c r="AD44" s="26" t="str" cm="1">
        <f t="array" ref="AD44">_xlfn.IFS(
   OR(C44="",ISBLANK(C44),C44=0),0,
   ISNUMBER(MATCH(C44,{2,3,5,7,11,13,17,19,23,29,31,37,41,43},0)),"소",
   AND(ISNUMBER(C44),MOD(C44,3)=0),"배",
   AND(ISNUMBER(C44),C44&gt;0),"자"
)</f>
        <v>자</v>
      </c>
      <c r="AE44" s="26" t="str" cm="1">
        <f t="array" ref="AE44">_xlfn.IFS(
   OR(D44="",ISBLANK(D44),D44=0),0,
   ISNUMBER(MATCH(D44,{2,3,5,7,11,13,17,19,23,29,31,37,41,43},0)),"소",
   AND(ISNUMBER(D44),MOD(D44,3)=0),"배",
   AND(ISNUMBER(D44),D44&gt;0),"자"
)</f>
        <v>자</v>
      </c>
      <c r="AF44" s="26" t="str" cm="1">
        <f t="array" ref="AF44">_xlfn.IFS(
   OR(E44="",ISBLANK(E44),E44=0),0,
   ISNUMBER(MATCH(E44,{2,3,5,7,11,13,17,19,23,29,31,37,41,43},0)),"소",
   AND(ISNUMBER(E44),MOD(E44,3)=0),"배",
   AND(ISNUMBER(E44),E44&gt;0),"자"
)</f>
        <v>배</v>
      </c>
      <c r="AG44" s="26" t="str" cm="1">
        <f t="array" ref="AG44">_xlfn.IFS(
   OR(F44="",ISBLANK(F44),F44=0),0,
   ISNUMBER(MATCH(F44,{2,3,5,7,11,13,17,19,23,29,31,37,41,43},0)),"소",
   AND(ISNUMBER(F44),MOD(F44,3)=0),"배",
   AND(ISNUMBER(F44),F44&gt;0),"자"
)</f>
        <v>자</v>
      </c>
      <c r="AH44" s="26" t="str" cm="1">
        <f t="array" ref="AH44">_xlfn.IFS(
   OR(G44="",ISBLANK(G44),G44=0),0,
   ISNUMBER(MATCH(G44,{2,3,5,7,11,13,17,19,23,29,31,37,41,43},0)),"소",
   AND(ISNUMBER(G44),MOD(G44,3)=0),"배",
   AND(ISNUMBER(G44),G44&gt;0),"자"
)</f>
        <v>자</v>
      </c>
      <c r="AI44" s="30"/>
      <c r="AJ44" s="3">
        <f t="shared" si="10"/>
        <v>2</v>
      </c>
      <c r="AK44" s="3">
        <f t="shared" si="11"/>
        <v>1</v>
      </c>
      <c r="AL44" s="3">
        <f t="shared" si="12"/>
        <v>3</v>
      </c>
      <c r="AM44" s="33"/>
      <c r="AN44" s="3">
        <f t="shared" si="13"/>
        <v>1</v>
      </c>
      <c r="AO44" s="3">
        <f t="shared" si="14"/>
        <v>1</v>
      </c>
      <c r="AP44" s="3">
        <f t="shared" si="15"/>
        <v>1</v>
      </c>
      <c r="AQ44" s="3">
        <f t="shared" si="16"/>
        <v>1</v>
      </c>
      <c r="AR44" s="3">
        <f t="shared" si="17"/>
        <v>2</v>
      </c>
      <c r="AS44" s="28" t="e">
        <f>#REF!</f>
        <v>#REF!</v>
      </c>
      <c r="AT44" s="28" t="e">
        <f>#REF!*2</f>
        <v>#REF!</v>
      </c>
      <c r="AU44" s="28" t="e">
        <f>#REF!</f>
        <v>#REF!</v>
      </c>
      <c r="AV44" s="28" t="e">
        <f>#REF!*2</f>
        <v>#REF!</v>
      </c>
      <c r="AW44" s="28" t="e">
        <f>#REF!</f>
        <v>#REF!</v>
      </c>
      <c r="AX44" s="28" t="e">
        <f>#REF!*2</f>
        <v>#REF!</v>
      </c>
      <c r="AY44" s="28" t="e">
        <f>#REF!</f>
        <v>#REF!</v>
      </c>
      <c r="AZ44" s="28" t="e">
        <f>#REF!*2</f>
        <v>#REF!</v>
      </c>
      <c r="BA44" s="28" t="e">
        <f>#REF!</f>
        <v>#REF!</v>
      </c>
      <c r="BB44" s="28" t="e">
        <f>#REF!*2</f>
        <v>#REF!</v>
      </c>
      <c r="BC44" s="28" t="e">
        <f>#REF!</f>
        <v>#REF!</v>
      </c>
      <c r="BD44" s="28" t="e">
        <f>#REF!*2</f>
        <v>#REF!</v>
      </c>
      <c r="BE44" s="9" t="e">
        <f>#REF!-#REF!</f>
        <v>#REF!</v>
      </c>
      <c r="BF44" s="9" t="e">
        <f>#REF!-#REF!</f>
        <v>#REF!</v>
      </c>
      <c r="BG44" s="9" t="e">
        <f>#REF!-#REF!</f>
        <v>#REF!</v>
      </c>
      <c r="BH44" s="9" t="e">
        <f>#REF!-#REF!</f>
        <v>#REF!</v>
      </c>
      <c r="BI44" s="9" t="e">
        <f>#REF!-#REF!</f>
        <v>#REF!</v>
      </c>
      <c r="BJ44" s="33"/>
      <c r="BK44" s="3">
        <f t="shared" si="18"/>
        <v>1</v>
      </c>
      <c r="BL44" s="3">
        <f t="shared" si="19"/>
        <v>1</v>
      </c>
      <c r="BM44" s="3">
        <f t="shared" si="20"/>
        <v>1</v>
      </c>
      <c r="BN44" s="3">
        <f t="shared" si="21"/>
        <v>1</v>
      </c>
      <c r="BO44" s="3">
        <f t="shared" si="22"/>
        <v>2</v>
      </c>
      <c r="BP44" s="28" t="e">
        <f>#REF!</f>
        <v>#REF!</v>
      </c>
      <c r="BQ44" s="28" t="e">
        <f>#REF!*2</f>
        <v>#REF!</v>
      </c>
      <c r="BR44" s="28" t="e">
        <f>#REF!</f>
        <v>#REF!</v>
      </c>
      <c r="BS44" s="28" t="e">
        <f>#REF!*2</f>
        <v>#REF!</v>
      </c>
      <c r="BT44" s="28" t="e">
        <f>#REF!</f>
        <v>#REF!</v>
      </c>
      <c r="BU44" s="28" t="e">
        <f>#REF!*2</f>
        <v>#REF!</v>
      </c>
      <c r="BV44" s="28" t="e">
        <f>#REF!</f>
        <v>#REF!</v>
      </c>
      <c r="BW44" s="28" t="e">
        <f>#REF!*2</f>
        <v>#REF!</v>
      </c>
      <c r="BX44" s="28" t="e">
        <f>#REF!</f>
        <v>#REF!</v>
      </c>
      <c r="BY44" s="28" t="e">
        <f>#REF!*2</f>
        <v>#REF!</v>
      </c>
      <c r="BZ44" s="28" t="e">
        <f>#REF!</f>
        <v>#REF!</v>
      </c>
      <c r="CA44" s="28" t="e">
        <f>#REF!*2</f>
        <v>#REF!</v>
      </c>
      <c r="CB44" s="9">
        <f t="shared" si="23"/>
        <v>8</v>
      </c>
      <c r="CC44" s="9">
        <f t="shared" si="24"/>
        <v>11</v>
      </c>
      <c r="CD44" s="9">
        <f t="shared" si="25"/>
        <v>8</v>
      </c>
      <c r="CE44" s="9">
        <f t="shared" si="26"/>
        <v>7</v>
      </c>
      <c r="CF44" s="9">
        <f t="shared" si="27"/>
        <v>4</v>
      </c>
      <c r="CG44" s="33"/>
      <c r="CH44" s="9">
        <f t="shared" si="28"/>
        <v>8</v>
      </c>
      <c r="CI44" s="9">
        <f t="shared" si="29"/>
        <v>11</v>
      </c>
      <c r="CJ44" s="9">
        <f t="shared" si="30"/>
        <v>8</v>
      </c>
      <c r="CK44" s="9">
        <f t="shared" si="31"/>
        <v>7</v>
      </c>
      <c r="CL44" s="9">
        <f t="shared" si="32"/>
        <v>4</v>
      </c>
      <c r="CM44" s="32"/>
      <c r="CN44" s="3">
        <f t="shared" si="33"/>
        <v>2</v>
      </c>
      <c r="CO44" s="3">
        <f t="shared" si="34"/>
        <v>1</v>
      </c>
      <c r="CP44" s="3">
        <f t="shared" si="35"/>
        <v>2</v>
      </c>
      <c r="CQ44" s="3">
        <f t="shared" si="36"/>
        <v>1</v>
      </c>
      <c r="CR44" s="3">
        <f t="shared" si="37"/>
        <v>2</v>
      </c>
      <c r="CS44" s="31"/>
      <c r="CT44" s="3" cm="1">
        <f t="array" ref="CT44">SUMPRODUCT(--(MOD(CH44:CL44,2)=1))</f>
        <v>2</v>
      </c>
      <c r="CU44" s="3">
        <f t="shared" si="38"/>
        <v>3</v>
      </c>
      <c r="CV44" s="30"/>
      <c r="CW44" s="3" cm="1">
        <f t="array" ref="CW44">SUMPRODUCT(--(MOD(CH44:CL44,10)&gt;=1), --(MOD(CH44:CL44,10)&lt;=5))</f>
        <v>2</v>
      </c>
      <c r="CX44" s="3">
        <f t="shared" si="39"/>
        <v>3</v>
      </c>
      <c r="CY44" s="30"/>
      <c r="CZ44" s="3" cm="1">
        <f t="array" ref="CZ44">IFERROR(COUNT(_xlfn._xlws.FILTER(CH44:CL44, ISNUMBER(MATCH(CH44:CL44, {2,3,5,7,11,13,17,19,23,29,31,37,41,43}, 0)))), 0)</f>
        <v>2</v>
      </c>
      <c r="DA44" s="3" cm="1">
        <f t="array" ref="DA44">IFERROR(COUNT(_xlfn._xlws.FILTER(CH44:CL44, ISNUMBER(MATCH(CH44:CL44, {1,4,8,10,14,16,20,22,25,26,28,32,34,35,38,40,44}, 0)))), 0)</f>
        <v>3</v>
      </c>
      <c r="DB44" s="3" cm="1">
        <f t="array" ref="DB44">IFERROR(COUNT(_xlfn._xlws.FILTER(CH44:CL44, ISNUMBER(MATCH(CH44:CL44, {6,9,12,15,18,21,24,27,30,33,36,39,42,45}, 0)))), 0)</f>
        <v>0</v>
      </c>
      <c r="DC44" s="29"/>
      <c r="DD44" s="28" t="e">
        <f>#REF!</f>
        <v>#REF!</v>
      </c>
      <c r="DE44" s="28" t="e">
        <f>#REF!*2</f>
        <v>#REF!</v>
      </c>
      <c r="DF44" s="28" t="e">
        <f>#REF!</f>
        <v>#REF!</v>
      </c>
      <c r="DG44" s="28" t="e">
        <f>#REF!*2</f>
        <v>#REF!</v>
      </c>
      <c r="DH44" s="28" t="e">
        <f>#REF!</f>
        <v>#REF!</v>
      </c>
      <c r="DI44" s="28" t="e">
        <f>#REF!*2</f>
        <v>#REF!</v>
      </c>
      <c r="DJ44" s="28" t="e">
        <f>#REF!</f>
        <v>#REF!</v>
      </c>
      <c r="DK44" s="28" t="e">
        <f>#REF!*2</f>
        <v>#REF!</v>
      </c>
      <c r="DL44" s="28" t="e">
        <f>#REF!</f>
        <v>#REF!</v>
      </c>
      <c r="DM44" s="28" t="e">
        <f>#REF!*2</f>
        <v>#REF!</v>
      </c>
      <c r="DN44" s="27"/>
      <c r="DO44" s="26" t="str" cm="1">
        <f t="array" ref="DO44">_xlfn.IFS(
   OR(CH44="",ISBLANK(CH44),CH44=0),0,
   ISNUMBER(MATCH(CH44,{2,3,5,7,11,13,17,19,23,29,31,37,41,43},0)),"소",
   AND(ISNUMBER(CH44),MOD(CH44,3)=0),"배",
   AND(ISNUMBER(CH44),CH44&gt;0),"자"
)</f>
        <v>자</v>
      </c>
      <c r="DP44" s="26" t="str" cm="1">
        <f t="array" ref="DP44">_xlfn.IFS(
   OR(CI44="",ISBLANK(CI44),CI44=0),0,
   ISNUMBER(MATCH(CI44,{2,3,5,7,11,13,17,19,23,29,31,37,41,43},0)),"소",
   AND(ISNUMBER(CI44),MOD(CI44,3)=0),"배",
   AND(ISNUMBER(CI44),CI44&gt;0),"자"
)</f>
        <v>소</v>
      </c>
      <c r="DQ44" s="26" t="str" cm="1">
        <f t="array" ref="DQ44">_xlfn.IFS(
   OR(CJ44="",ISBLANK(CJ44),CJ44=0),0,
   ISNUMBER(MATCH(CJ44,{2,3,5,7,11,13,17,19,23,29,31,37,41,43},0)),"소",
   AND(ISNUMBER(CJ44),MOD(CJ44,3)=0),"배",
   AND(ISNUMBER(CJ44),CJ44&gt;0),"자"
)</f>
        <v>자</v>
      </c>
      <c r="DR44" s="26" t="str" cm="1">
        <f t="array" ref="DR44">_xlfn.IFS(
   OR(CK44="",ISBLANK(CK44),CK44=0),0,
   ISNUMBER(MATCH(CK44,{2,3,5,7,11,13,17,19,23,29,31,37,41,43},0)),"소",
   AND(ISNUMBER(CK44),MOD(CK44,3)=0),"배",
   AND(ISNUMBER(CK44),CK44&gt;0),"자"
)</f>
        <v>소</v>
      </c>
      <c r="DS44" s="26" t="str" cm="1">
        <f t="array" ref="DS44">_xlfn.IFS(
   OR(CL44="",ISBLANK(CL44),CL44=0),0,
   ISNUMBER(MATCH(CL44,{2,3,5,7,11,13,17,19,23,29,31,37,41,43},0)),"소",
   AND(ISNUMBER(CL44),MOD(CL44,3)=0),"배",
   AND(ISNUMBER(CL44),CL44&gt;0),"자"
)</f>
        <v>자</v>
      </c>
      <c r="DT44" s="25"/>
    </row>
    <row r="45" spans="2:124" x14ac:dyDescent="0.3">
      <c r="B45" s="3">
        <v>4</v>
      </c>
      <c r="C45" s="3">
        <v>5</v>
      </c>
      <c r="D45" s="3">
        <v>9</v>
      </c>
      <c r="E45" s="3">
        <v>11</v>
      </c>
      <c r="F45" s="3">
        <v>37</v>
      </c>
      <c r="G45" s="3">
        <v>40</v>
      </c>
      <c r="H45" s="32"/>
      <c r="I45" s="3">
        <f t="shared" si="0"/>
        <v>2</v>
      </c>
      <c r="J45" s="3">
        <f t="shared" si="1"/>
        <v>1</v>
      </c>
      <c r="K45" s="3">
        <f t="shared" si="2"/>
        <v>1</v>
      </c>
      <c r="L45" s="3">
        <f t="shared" si="3"/>
        <v>1</v>
      </c>
      <c r="M45" s="3">
        <f t="shared" si="4"/>
        <v>1</v>
      </c>
      <c r="N45" s="3">
        <f t="shared" si="5"/>
        <v>2</v>
      </c>
      <c r="O45" s="32"/>
      <c r="P45" s="3" cm="1">
        <f t="array" ref="P45">SUMPRODUCT(--(MOD(B45:G45,2)=1))</f>
        <v>4</v>
      </c>
      <c r="Q45" s="3">
        <f t="shared" si="6"/>
        <v>2</v>
      </c>
      <c r="R45" s="34"/>
      <c r="S45" s="3">
        <f t="shared" si="7"/>
        <v>4</v>
      </c>
      <c r="T45" s="3">
        <f t="shared" si="8"/>
        <v>2</v>
      </c>
      <c r="U45" s="34"/>
      <c r="V45" s="3" cm="1">
        <f t="array" ref="V45">SUMPRODUCT(--(MOD(B45:G45,10)&gt;=1), --(MOD(B45:G45,10)&lt;=5))</f>
        <v>3</v>
      </c>
      <c r="W45" s="3">
        <f t="shared" si="9"/>
        <v>3</v>
      </c>
      <c r="X45" s="34"/>
      <c r="Y45" s="3" cm="1">
        <f t="array" ref="Y45">IFERROR(COUNT(_xlfn._xlws.FILTER(B45:G45, ISNUMBER(MATCH(B45:G45, {2,3,5,7,11,13,17,19,23,29,31,37,41,43}, 0)))), 0)</f>
        <v>3</v>
      </c>
      <c r="Z45" s="3" cm="1">
        <f t="array" ref="Z45">IFERROR(COUNT(_xlfn._xlws.FILTER(B45:G45, ISNUMBER(MATCH(B45:G45, {1,4,8,10,14,16,20,22,25,26,28,32,34,35,38,40,44}, 0)))), 0)</f>
        <v>2</v>
      </c>
      <c r="AA45" s="3" cm="1">
        <f t="array" ref="AA45">IFERROR(COUNT(_xlfn._xlws.FILTER(B45:G45, ISNUMBER(MATCH(B45:G45, {6,9,12,15,18,21,24,27,30,33,36,39,42,45}, 0)))), 0)</f>
        <v>1</v>
      </c>
      <c r="AB45" s="30"/>
      <c r="AC45" s="26" t="str" cm="1">
        <f t="array" ref="AC45">_xlfn.IFS(
   OR(B45="",ISBLANK(B45),B45=0),0,
   ISNUMBER(MATCH(B45,{2,3,5,7,11,13,17,19,23,29,31,37,41,43},0)),"소",
   AND(ISNUMBER(B45),MOD(B45,3)=0),"배",
   AND(ISNUMBER(B45),B45&gt;0),"자"
)</f>
        <v>자</v>
      </c>
      <c r="AD45" s="26" t="str" cm="1">
        <f t="array" ref="AD45">_xlfn.IFS(
   OR(C45="",ISBLANK(C45),C45=0),0,
   ISNUMBER(MATCH(C45,{2,3,5,7,11,13,17,19,23,29,31,37,41,43},0)),"소",
   AND(ISNUMBER(C45),MOD(C45,3)=0),"배",
   AND(ISNUMBER(C45),C45&gt;0),"자"
)</f>
        <v>소</v>
      </c>
      <c r="AE45" s="26" t="str" cm="1">
        <f t="array" ref="AE45">_xlfn.IFS(
   OR(D45="",ISBLANK(D45),D45=0),0,
   ISNUMBER(MATCH(D45,{2,3,5,7,11,13,17,19,23,29,31,37,41,43},0)),"소",
   AND(ISNUMBER(D45),MOD(D45,3)=0),"배",
   AND(ISNUMBER(D45),D45&gt;0),"자"
)</f>
        <v>배</v>
      </c>
      <c r="AF45" s="26" t="str" cm="1">
        <f t="array" ref="AF45">_xlfn.IFS(
   OR(E45="",ISBLANK(E45),E45=0),0,
   ISNUMBER(MATCH(E45,{2,3,5,7,11,13,17,19,23,29,31,37,41,43},0)),"소",
   AND(ISNUMBER(E45),MOD(E45,3)=0),"배",
   AND(ISNUMBER(E45),E45&gt;0),"자"
)</f>
        <v>소</v>
      </c>
      <c r="AG45" s="26" t="str" cm="1">
        <f t="array" ref="AG45">_xlfn.IFS(
   OR(F45="",ISBLANK(F45),F45=0),0,
   ISNUMBER(MATCH(F45,{2,3,5,7,11,13,17,19,23,29,31,37,41,43},0)),"소",
   AND(ISNUMBER(F45),MOD(F45,3)=0),"배",
   AND(ISNUMBER(F45),F45&gt;0),"자"
)</f>
        <v>소</v>
      </c>
      <c r="AH45" s="26" t="str" cm="1">
        <f t="array" ref="AH45">_xlfn.IFS(
   OR(G45="",ISBLANK(G45),G45=0),0,
   ISNUMBER(MATCH(G45,{2,3,5,7,11,13,17,19,23,29,31,37,41,43},0)),"소",
   AND(ISNUMBER(G45),MOD(G45,3)=0),"배",
   AND(ISNUMBER(G45),G45&gt;0),"자"
)</f>
        <v>자</v>
      </c>
      <c r="AI45" s="30"/>
      <c r="AJ45" s="3">
        <f t="shared" si="10"/>
        <v>4</v>
      </c>
      <c r="AK45" s="3">
        <f t="shared" si="11"/>
        <v>0</v>
      </c>
      <c r="AL45" s="3">
        <f t="shared" si="12"/>
        <v>2</v>
      </c>
      <c r="AM45" s="33"/>
      <c r="AN45" s="3">
        <f t="shared" si="13"/>
        <v>3</v>
      </c>
      <c r="AO45" s="3">
        <f t="shared" si="14"/>
        <v>1</v>
      </c>
      <c r="AP45" s="3">
        <f t="shared" si="15"/>
        <v>0</v>
      </c>
      <c r="AQ45" s="3">
        <f t="shared" si="16"/>
        <v>0</v>
      </c>
      <c r="AR45" s="3">
        <f t="shared" si="17"/>
        <v>2</v>
      </c>
      <c r="AS45" s="28" t="e">
        <f>#REF!</f>
        <v>#REF!</v>
      </c>
      <c r="AT45" s="28" t="e">
        <f>#REF!*2</f>
        <v>#REF!</v>
      </c>
      <c r="AU45" s="28" t="e">
        <f>#REF!</f>
        <v>#REF!</v>
      </c>
      <c r="AV45" s="28" t="e">
        <f>#REF!*2</f>
        <v>#REF!</v>
      </c>
      <c r="AW45" s="28" t="e">
        <f>#REF!</f>
        <v>#REF!</v>
      </c>
      <c r="AX45" s="28" t="e">
        <f>#REF!*2</f>
        <v>#REF!</v>
      </c>
      <c r="AY45" s="28" t="e">
        <f>#REF!</f>
        <v>#REF!</v>
      </c>
      <c r="AZ45" s="28" t="e">
        <f>#REF!*2</f>
        <v>#REF!</v>
      </c>
      <c r="BA45" s="28" t="e">
        <f>#REF!</f>
        <v>#REF!</v>
      </c>
      <c r="BB45" s="28" t="e">
        <f>#REF!*2</f>
        <v>#REF!</v>
      </c>
      <c r="BC45" s="28" t="e">
        <f>#REF!</f>
        <v>#REF!</v>
      </c>
      <c r="BD45" s="28" t="e">
        <f>#REF!*2</f>
        <v>#REF!</v>
      </c>
      <c r="BE45" s="9" t="e">
        <f>#REF!-#REF!</f>
        <v>#REF!</v>
      </c>
      <c r="BF45" s="9" t="e">
        <f>#REF!-#REF!</f>
        <v>#REF!</v>
      </c>
      <c r="BG45" s="9" t="e">
        <f>#REF!-#REF!</f>
        <v>#REF!</v>
      </c>
      <c r="BH45" s="9" t="e">
        <f>#REF!-#REF!</f>
        <v>#REF!</v>
      </c>
      <c r="BI45" s="9" t="e">
        <f>#REF!-#REF!</f>
        <v>#REF!</v>
      </c>
      <c r="BJ45" s="33"/>
      <c r="BK45" s="3">
        <f t="shared" si="18"/>
        <v>3</v>
      </c>
      <c r="BL45" s="3">
        <f t="shared" si="19"/>
        <v>1</v>
      </c>
      <c r="BM45" s="3">
        <f t="shared" si="20"/>
        <v>0</v>
      </c>
      <c r="BN45" s="3">
        <f t="shared" si="21"/>
        <v>1</v>
      </c>
      <c r="BO45" s="3">
        <f t="shared" si="22"/>
        <v>1</v>
      </c>
      <c r="BP45" s="28" t="e">
        <f>#REF!</f>
        <v>#REF!</v>
      </c>
      <c r="BQ45" s="28" t="e">
        <f>#REF!*2</f>
        <v>#REF!</v>
      </c>
      <c r="BR45" s="28" t="e">
        <f>#REF!</f>
        <v>#REF!</v>
      </c>
      <c r="BS45" s="28" t="e">
        <f>#REF!*2</f>
        <v>#REF!</v>
      </c>
      <c r="BT45" s="28" t="e">
        <f>#REF!</f>
        <v>#REF!</v>
      </c>
      <c r="BU45" s="28" t="e">
        <f>#REF!*2</f>
        <v>#REF!</v>
      </c>
      <c r="BV45" s="28" t="e">
        <f>#REF!</f>
        <v>#REF!</v>
      </c>
      <c r="BW45" s="28" t="e">
        <f>#REF!*2</f>
        <v>#REF!</v>
      </c>
      <c r="BX45" s="28" t="e">
        <f>#REF!</f>
        <v>#REF!</v>
      </c>
      <c r="BY45" s="28" t="e">
        <f>#REF!*2</f>
        <v>#REF!</v>
      </c>
      <c r="BZ45" s="28" t="e">
        <f>#REF!</f>
        <v>#REF!</v>
      </c>
      <c r="CA45" s="28" t="e">
        <f>#REF!*2</f>
        <v>#REF!</v>
      </c>
      <c r="CB45" s="9">
        <f t="shared" si="23"/>
        <v>1</v>
      </c>
      <c r="CC45" s="9">
        <f t="shared" si="24"/>
        <v>4</v>
      </c>
      <c r="CD45" s="9">
        <f t="shared" si="25"/>
        <v>2</v>
      </c>
      <c r="CE45" s="9">
        <f t="shared" si="26"/>
        <v>26</v>
      </c>
      <c r="CF45" s="9">
        <f t="shared" si="27"/>
        <v>3</v>
      </c>
      <c r="CG45" s="33"/>
      <c r="CH45" s="9">
        <f t="shared" si="28"/>
        <v>1</v>
      </c>
      <c r="CI45" s="9">
        <f t="shared" si="29"/>
        <v>4</v>
      </c>
      <c r="CJ45" s="9">
        <f t="shared" si="30"/>
        <v>2</v>
      </c>
      <c r="CK45" s="9">
        <f t="shared" si="31"/>
        <v>26</v>
      </c>
      <c r="CL45" s="9">
        <f t="shared" si="32"/>
        <v>3</v>
      </c>
      <c r="CM45" s="32"/>
      <c r="CN45" s="3">
        <f t="shared" si="33"/>
        <v>1</v>
      </c>
      <c r="CO45" s="3">
        <f t="shared" si="34"/>
        <v>2</v>
      </c>
      <c r="CP45" s="3">
        <f t="shared" si="35"/>
        <v>2</v>
      </c>
      <c r="CQ45" s="3">
        <f t="shared" si="36"/>
        <v>2</v>
      </c>
      <c r="CR45" s="3">
        <f t="shared" si="37"/>
        <v>1</v>
      </c>
      <c r="CS45" s="31"/>
      <c r="CT45" s="3" cm="1">
        <f t="array" ref="CT45">SUMPRODUCT(--(MOD(CH45:CL45,2)=1))</f>
        <v>2</v>
      </c>
      <c r="CU45" s="3">
        <f t="shared" si="38"/>
        <v>3</v>
      </c>
      <c r="CV45" s="30"/>
      <c r="CW45" s="3" cm="1">
        <f t="array" ref="CW45">SUMPRODUCT(--(MOD(CH45:CL45,10)&gt;=1), --(MOD(CH45:CL45,10)&lt;=5))</f>
        <v>4</v>
      </c>
      <c r="CX45" s="3">
        <f t="shared" si="39"/>
        <v>1</v>
      </c>
      <c r="CY45" s="30"/>
      <c r="CZ45" s="3" cm="1">
        <f t="array" ref="CZ45">IFERROR(COUNT(_xlfn._xlws.FILTER(CH45:CL45, ISNUMBER(MATCH(CH45:CL45, {2,3,5,7,11,13,17,19,23,29,31,37,41,43}, 0)))), 0)</f>
        <v>2</v>
      </c>
      <c r="DA45" s="3" cm="1">
        <f t="array" ref="DA45">IFERROR(COUNT(_xlfn._xlws.FILTER(CH45:CL45, ISNUMBER(MATCH(CH45:CL45, {1,4,8,10,14,16,20,22,25,26,28,32,34,35,38,40,44}, 0)))), 0)</f>
        <v>3</v>
      </c>
      <c r="DB45" s="3" cm="1">
        <f t="array" ref="DB45">IFERROR(COUNT(_xlfn._xlws.FILTER(CH45:CL45, ISNUMBER(MATCH(CH45:CL45, {6,9,12,15,18,21,24,27,30,33,36,39,42,45}, 0)))), 0)</f>
        <v>0</v>
      </c>
      <c r="DC45" s="29"/>
      <c r="DD45" s="28" t="e">
        <f>#REF!</f>
        <v>#REF!</v>
      </c>
      <c r="DE45" s="28" t="e">
        <f>#REF!*2</f>
        <v>#REF!</v>
      </c>
      <c r="DF45" s="28" t="e">
        <f>#REF!</f>
        <v>#REF!</v>
      </c>
      <c r="DG45" s="28" t="e">
        <f>#REF!*2</f>
        <v>#REF!</v>
      </c>
      <c r="DH45" s="28" t="e">
        <f>#REF!</f>
        <v>#REF!</v>
      </c>
      <c r="DI45" s="28" t="e">
        <f>#REF!*2</f>
        <v>#REF!</v>
      </c>
      <c r="DJ45" s="28" t="e">
        <f>#REF!</f>
        <v>#REF!</v>
      </c>
      <c r="DK45" s="28" t="e">
        <f>#REF!*2</f>
        <v>#REF!</v>
      </c>
      <c r="DL45" s="28" t="e">
        <f>#REF!</f>
        <v>#REF!</v>
      </c>
      <c r="DM45" s="28" t="e">
        <f>#REF!*2</f>
        <v>#REF!</v>
      </c>
      <c r="DN45" s="27"/>
      <c r="DO45" s="26" t="str" cm="1">
        <f t="array" ref="DO45">_xlfn.IFS(
   OR(CH45="",ISBLANK(CH45),CH45=0),0,
   ISNUMBER(MATCH(CH45,{2,3,5,7,11,13,17,19,23,29,31,37,41,43},0)),"소",
   AND(ISNUMBER(CH45),MOD(CH45,3)=0),"배",
   AND(ISNUMBER(CH45),CH45&gt;0),"자"
)</f>
        <v>자</v>
      </c>
      <c r="DP45" s="26" t="str" cm="1">
        <f t="array" ref="DP45">_xlfn.IFS(
   OR(CI45="",ISBLANK(CI45),CI45=0),0,
   ISNUMBER(MATCH(CI45,{2,3,5,7,11,13,17,19,23,29,31,37,41,43},0)),"소",
   AND(ISNUMBER(CI45),MOD(CI45,3)=0),"배",
   AND(ISNUMBER(CI45),CI45&gt;0),"자"
)</f>
        <v>자</v>
      </c>
      <c r="DQ45" s="26" t="str" cm="1">
        <f t="array" ref="DQ45">_xlfn.IFS(
   OR(CJ45="",ISBLANK(CJ45),CJ45=0),0,
   ISNUMBER(MATCH(CJ45,{2,3,5,7,11,13,17,19,23,29,31,37,41,43},0)),"소",
   AND(ISNUMBER(CJ45),MOD(CJ45,3)=0),"배",
   AND(ISNUMBER(CJ45),CJ45&gt;0),"자"
)</f>
        <v>소</v>
      </c>
      <c r="DR45" s="26" t="str" cm="1">
        <f t="array" ref="DR45">_xlfn.IFS(
   OR(CK45="",ISBLANK(CK45),CK45=0),0,
   ISNUMBER(MATCH(CK45,{2,3,5,7,11,13,17,19,23,29,31,37,41,43},0)),"소",
   AND(ISNUMBER(CK45),MOD(CK45,3)=0),"배",
   AND(ISNUMBER(CK45),CK45&gt;0),"자"
)</f>
        <v>자</v>
      </c>
      <c r="DS45" s="26" t="str" cm="1">
        <f t="array" ref="DS45">_xlfn.IFS(
   OR(CL45="",ISBLANK(CL45),CL45=0),0,
   ISNUMBER(MATCH(CL45,{2,3,5,7,11,13,17,19,23,29,31,37,41,43},0)),"소",
   AND(ISNUMBER(CL45),MOD(CL45,3)=0),"배",
   AND(ISNUMBER(CL45),CL45&gt;0),"자"
)</f>
        <v>소</v>
      </c>
      <c r="DT45" s="25"/>
    </row>
    <row r="46" spans="2:124" x14ac:dyDescent="0.3">
      <c r="B46" s="3">
        <v>10</v>
      </c>
      <c r="C46" s="3">
        <v>15</v>
      </c>
      <c r="D46" s="3">
        <v>24</v>
      </c>
      <c r="E46" s="3">
        <v>30</v>
      </c>
      <c r="F46" s="3">
        <v>31</v>
      </c>
      <c r="G46" s="3">
        <v>37</v>
      </c>
      <c r="H46" s="32"/>
      <c r="I46" s="3">
        <f t="shared" si="0"/>
        <v>2</v>
      </c>
      <c r="J46" s="3">
        <f t="shared" si="1"/>
        <v>1</v>
      </c>
      <c r="K46" s="3">
        <f t="shared" si="2"/>
        <v>2</v>
      </c>
      <c r="L46" s="3">
        <f t="shared" si="3"/>
        <v>2</v>
      </c>
      <c r="M46" s="3">
        <f t="shared" si="4"/>
        <v>1</v>
      </c>
      <c r="N46" s="3">
        <f t="shared" si="5"/>
        <v>1</v>
      </c>
      <c r="O46" s="32"/>
      <c r="P46" s="3" cm="1">
        <f t="array" ref="P46">SUMPRODUCT(--(MOD(B46:G46,2)=1))</f>
        <v>3</v>
      </c>
      <c r="Q46" s="3">
        <f t="shared" si="6"/>
        <v>3</v>
      </c>
      <c r="R46" s="34"/>
      <c r="S46" s="3">
        <f t="shared" si="7"/>
        <v>2</v>
      </c>
      <c r="T46" s="3">
        <f t="shared" si="8"/>
        <v>4</v>
      </c>
      <c r="U46" s="34"/>
      <c r="V46" s="3" cm="1">
        <f t="array" ref="V46">SUMPRODUCT(--(MOD(B46:G46,10)&gt;=1), --(MOD(B46:G46,10)&lt;=5))</f>
        <v>3</v>
      </c>
      <c r="W46" s="3">
        <f t="shared" si="9"/>
        <v>3</v>
      </c>
      <c r="X46" s="34"/>
      <c r="Y46" s="3" cm="1">
        <f t="array" ref="Y46">IFERROR(COUNT(_xlfn._xlws.FILTER(B46:G46, ISNUMBER(MATCH(B46:G46, {2,3,5,7,11,13,17,19,23,29,31,37,41,43}, 0)))), 0)</f>
        <v>2</v>
      </c>
      <c r="Z46" s="3" cm="1">
        <f t="array" ref="Z46">IFERROR(COUNT(_xlfn._xlws.FILTER(B46:G46, ISNUMBER(MATCH(B46:G46, {1,4,8,10,14,16,20,22,25,26,28,32,34,35,38,40,44}, 0)))), 0)</f>
        <v>1</v>
      </c>
      <c r="AA46" s="3" cm="1">
        <f t="array" ref="AA46">IFERROR(COUNT(_xlfn._xlws.FILTER(B46:G46, ISNUMBER(MATCH(B46:G46, {6,9,12,15,18,21,24,27,30,33,36,39,42,45}, 0)))), 0)</f>
        <v>3</v>
      </c>
      <c r="AB46" s="30"/>
      <c r="AC46" s="26" t="str" cm="1">
        <f t="array" ref="AC46">_xlfn.IFS(
   OR(B46="",ISBLANK(B46),B46=0),0,
   ISNUMBER(MATCH(B46,{2,3,5,7,11,13,17,19,23,29,31,37,41,43},0)),"소",
   AND(ISNUMBER(B46),MOD(B46,3)=0),"배",
   AND(ISNUMBER(B46),B46&gt;0),"자"
)</f>
        <v>자</v>
      </c>
      <c r="AD46" s="26" t="str" cm="1">
        <f t="array" ref="AD46">_xlfn.IFS(
   OR(C46="",ISBLANK(C46),C46=0),0,
   ISNUMBER(MATCH(C46,{2,3,5,7,11,13,17,19,23,29,31,37,41,43},0)),"소",
   AND(ISNUMBER(C46),MOD(C46,3)=0),"배",
   AND(ISNUMBER(C46),C46&gt;0),"자"
)</f>
        <v>배</v>
      </c>
      <c r="AE46" s="26" t="str" cm="1">
        <f t="array" ref="AE46">_xlfn.IFS(
   OR(D46="",ISBLANK(D46),D46=0),0,
   ISNUMBER(MATCH(D46,{2,3,5,7,11,13,17,19,23,29,31,37,41,43},0)),"소",
   AND(ISNUMBER(D46),MOD(D46,3)=0),"배",
   AND(ISNUMBER(D46),D46&gt;0),"자"
)</f>
        <v>배</v>
      </c>
      <c r="AF46" s="26" t="str" cm="1">
        <f t="array" ref="AF46">_xlfn.IFS(
   OR(E46="",ISBLANK(E46),E46=0),0,
   ISNUMBER(MATCH(E46,{2,3,5,7,11,13,17,19,23,29,31,37,41,43},0)),"소",
   AND(ISNUMBER(E46),MOD(E46,3)=0),"배",
   AND(ISNUMBER(E46),E46&gt;0),"자"
)</f>
        <v>배</v>
      </c>
      <c r="AG46" s="26" t="str" cm="1">
        <f t="array" ref="AG46">_xlfn.IFS(
   OR(F46="",ISBLANK(F46),F46=0),0,
   ISNUMBER(MATCH(F46,{2,3,5,7,11,13,17,19,23,29,31,37,41,43},0)),"소",
   AND(ISNUMBER(F46),MOD(F46,3)=0),"배",
   AND(ISNUMBER(F46),F46&gt;0),"자"
)</f>
        <v>소</v>
      </c>
      <c r="AH46" s="26" t="str" cm="1">
        <f t="array" ref="AH46">_xlfn.IFS(
   OR(G46="",ISBLANK(G46),G46=0),0,
   ISNUMBER(MATCH(G46,{2,3,5,7,11,13,17,19,23,29,31,37,41,43},0)),"소",
   AND(ISNUMBER(G46),MOD(G46,3)=0),"배",
   AND(ISNUMBER(G46),G46&gt;0),"자"
)</f>
        <v>소</v>
      </c>
      <c r="AI46" s="30"/>
      <c r="AJ46" s="3">
        <f t="shared" si="10"/>
        <v>1</v>
      </c>
      <c r="AK46" s="3">
        <f t="shared" si="11"/>
        <v>4</v>
      </c>
      <c r="AL46" s="3">
        <f t="shared" si="12"/>
        <v>1</v>
      </c>
      <c r="AM46" s="33"/>
      <c r="AN46" s="3">
        <f t="shared" si="13"/>
        <v>0</v>
      </c>
      <c r="AO46" s="3">
        <f t="shared" si="14"/>
        <v>2</v>
      </c>
      <c r="AP46" s="3">
        <f t="shared" si="15"/>
        <v>1</v>
      </c>
      <c r="AQ46" s="3">
        <f t="shared" si="16"/>
        <v>2</v>
      </c>
      <c r="AR46" s="3">
        <f t="shared" si="17"/>
        <v>1</v>
      </c>
      <c r="AS46" s="28" t="e">
        <f>#REF!</f>
        <v>#REF!</v>
      </c>
      <c r="AT46" s="28" t="e">
        <f>#REF!*2</f>
        <v>#REF!</v>
      </c>
      <c r="AU46" s="28" t="e">
        <f>#REF!</f>
        <v>#REF!</v>
      </c>
      <c r="AV46" s="28" t="e">
        <f>#REF!*2</f>
        <v>#REF!</v>
      </c>
      <c r="AW46" s="28" t="e">
        <f>#REF!</f>
        <v>#REF!</v>
      </c>
      <c r="AX46" s="28" t="e">
        <f>#REF!*2</f>
        <v>#REF!</v>
      </c>
      <c r="AY46" s="28" t="e">
        <f>#REF!</f>
        <v>#REF!</v>
      </c>
      <c r="AZ46" s="28" t="e">
        <f>#REF!*2</f>
        <v>#REF!</v>
      </c>
      <c r="BA46" s="28" t="e">
        <f>#REF!</f>
        <v>#REF!</v>
      </c>
      <c r="BB46" s="28" t="e">
        <f>#REF!*2</f>
        <v>#REF!</v>
      </c>
      <c r="BC46" s="28" t="e">
        <f>#REF!</f>
        <v>#REF!</v>
      </c>
      <c r="BD46" s="28" t="e">
        <f>#REF!*2</f>
        <v>#REF!</v>
      </c>
      <c r="BE46" s="9" t="e">
        <f>#REF!-#REF!</f>
        <v>#REF!</v>
      </c>
      <c r="BF46" s="9" t="e">
        <f>#REF!-#REF!</f>
        <v>#REF!</v>
      </c>
      <c r="BG46" s="9" t="e">
        <f>#REF!-#REF!</f>
        <v>#REF!</v>
      </c>
      <c r="BH46" s="9" t="e">
        <f>#REF!-#REF!</f>
        <v>#REF!</v>
      </c>
      <c r="BI46" s="9" t="e">
        <f>#REF!-#REF!</f>
        <v>#REF!</v>
      </c>
      <c r="BJ46" s="33"/>
      <c r="BK46" s="3">
        <f t="shared" si="18"/>
        <v>0</v>
      </c>
      <c r="BL46" s="3">
        <f t="shared" si="19"/>
        <v>2</v>
      </c>
      <c r="BM46" s="3">
        <f t="shared" si="20"/>
        <v>1</v>
      </c>
      <c r="BN46" s="3">
        <f t="shared" si="21"/>
        <v>3</v>
      </c>
      <c r="BO46" s="3">
        <f t="shared" si="22"/>
        <v>0</v>
      </c>
      <c r="BP46" s="28" t="e">
        <f>#REF!</f>
        <v>#REF!</v>
      </c>
      <c r="BQ46" s="28" t="e">
        <f>#REF!*2</f>
        <v>#REF!</v>
      </c>
      <c r="BR46" s="28" t="e">
        <f>#REF!</f>
        <v>#REF!</v>
      </c>
      <c r="BS46" s="28" t="e">
        <f>#REF!*2</f>
        <v>#REF!</v>
      </c>
      <c r="BT46" s="28" t="e">
        <f>#REF!</f>
        <v>#REF!</v>
      </c>
      <c r="BU46" s="28" t="e">
        <f>#REF!*2</f>
        <v>#REF!</v>
      </c>
      <c r="BV46" s="28" t="e">
        <f>#REF!</f>
        <v>#REF!</v>
      </c>
      <c r="BW46" s="28" t="e">
        <f>#REF!*2</f>
        <v>#REF!</v>
      </c>
      <c r="BX46" s="28" t="e">
        <f>#REF!</f>
        <v>#REF!</v>
      </c>
      <c r="BY46" s="28" t="e">
        <f>#REF!*2</f>
        <v>#REF!</v>
      </c>
      <c r="BZ46" s="28" t="e">
        <f>#REF!</f>
        <v>#REF!</v>
      </c>
      <c r="CA46" s="28" t="e">
        <f>#REF!*2</f>
        <v>#REF!</v>
      </c>
      <c r="CB46" s="9">
        <f t="shared" si="23"/>
        <v>5</v>
      </c>
      <c r="CC46" s="9">
        <f t="shared" si="24"/>
        <v>9</v>
      </c>
      <c r="CD46" s="9">
        <f t="shared" si="25"/>
        <v>6</v>
      </c>
      <c r="CE46" s="9">
        <f t="shared" si="26"/>
        <v>1</v>
      </c>
      <c r="CF46" s="9">
        <f t="shared" si="27"/>
        <v>6</v>
      </c>
      <c r="CG46" s="33"/>
      <c r="CH46" s="9">
        <f t="shared" si="28"/>
        <v>5</v>
      </c>
      <c r="CI46" s="9">
        <f t="shared" si="29"/>
        <v>9</v>
      </c>
      <c r="CJ46" s="9">
        <f t="shared" si="30"/>
        <v>6</v>
      </c>
      <c r="CK46" s="9">
        <f t="shared" si="31"/>
        <v>1</v>
      </c>
      <c r="CL46" s="9">
        <f t="shared" si="32"/>
        <v>6</v>
      </c>
      <c r="CM46" s="32"/>
      <c r="CN46" s="3">
        <f t="shared" si="33"/>
        <v>1</v>
      </c>
      <c r="CO46" s="3">
        <f t="shared" si="34"/>
        <v>1</v>
      </c>
      <c r="CP46" s="3">
        <f t="shared" si="35"/>
        <v>2</v>
      </c>
      <c r="CQ46" s="3">
        <f t="shared" si="36"/>
        <v>1</v>
      </c>
      <c r="CR46" s="3">
        <f t="shared" si="37"/>
        <v>2</v>
      </c>
      <c r="CS46" s="31"/>
      <c r="CT46" s="3" cm="1">
        <f t="array" ref="CT46">SUMPRODUCT(--(MOD(CH46:CL46,2)=1))</f>
        <v>3</v>
      </c>
      <c r="CU46" s="3">
        <f t="shared" si="38"/>
        <v>2</v>
      </c>
      <c r="CV46" s="30"/>
      <c r="CW46" s="3" cm="1">
        <f t="array" ref="CW46">SUMPRODUCT(--(MOD(CH46:CL46,10)&gt;=1), --(MOD(CH46:CL46,10)&lt;=5))</f>
        <v>2</v>
      </c>
      <c r="CX46" s="3">
        <f t="shared" si="39"/>
        <v>3</v>
      </c>
      <c r="CY46" s="30"/>
      <c r="CZ46" s="3" cm="1">
        <f t="array" ref="CZ46">IFERROR(COUNT(_xlfn._xlws.FILTER(CH46:CL46, ISNUMBER(MATCH(CH46:CL46, {2,3,5,7,11,13,17,19,23,29,31,37,41,43}, 0)))), 0)</f>
        <v>1</v>
      </c>
      <c r="DA46" s="3" cm="1">
        <f t="array" ref="DA46">IFERROR(COUNT(_xlfn._xlws.FILTER(CH46:CL46, ISNUMBER(MATCH(CH46:CL46, {1,4,8,10,14,16,20,22,25,26,28,32,34,35,38,40,44}, 0)))), 0)</f>
        <v>1</v>
      </c>
      <c r="DB46" s="3" cm="1">
        <f t="array" ref="DB46">IFERROR(COUNT(_xlfn._xlws.FILTER(CH46:CL46, ISNUMBER(MATCH(CH46:CL46, {6,9,12,15,18,21,24,27,30,33,36,39,42,45}, 0)))), 0)</f>
        <v>3</v>
      </c>
      <c r="DC46" s="29"/>
      <c r="DD46" s="28" t="e">
        <f>#REF!</f>
        <v>#REF!</v>
      </c>
      <c r="DE46" s="28" t="e">
        <f>#REF!*2</f>
        <v>#REF!</v>
      </c>
      <c r="DF46" s="28" t="e">
        <f>#REF!</f>
        <v>#REF!</v>
      </c>
      <c r="DG46" s="28" t="e">
        <f>#REF!*2</f>
        <v>#REF!</v>
      </c>
      <c r="DH46" s="28" t="e">
        <f>#REF!</f>
        <v>#REF!</v>
      </c>
      <c r="DI46" s="28" t="e">
        <f>#REF!*2</f>
        <v>#REF!</v>
      </c>
      <c r="DJ46" s="28" t="e">
        <f>#REF!</f>
        <v>#REF!</v>
      </c>
      <c r="DK46" s="28" t="e">
        <f>#REF!*2</f>
        <v>#REF!</v>
      </c>
      <c r="DL46" s="28" t="e">
        <f>#REF!</f>
        <v>#REF!</v>
      </c>
      <c r="DM46" s="28" t="e">
        <f>#REF!*2</f>
        <v>#REF!</v>
      </c>
      <c r="DN46" s="27"/>
      <c r="DO46" s="26" t="str" cm="1">
        <f t="array" ref="DO46">_xlfn.IFS(
   OR(CH46="",ISBLANK(CH46),CH46=0),0,
   ISNUMBER(MATCH(CH46,{2,3,5,7,11,13,17,19,23,29,31,37,41,43},0)),"소",
   AND(ISNUMBER(CH46),MOD(CH46,3)=0),"배",
   AND(ISNUMBER(CH46),CH46&gt;0),"자"
)</f>
        <v>소</v>
      </c>
      <c r="DP46" s="26" t="str" cm="1">
        <f t="array" ref="DP46">_xlfn.IFS(
   OR(CI46="",ISBLANK(CI46),CI46=0),0,
   ISNUMBER(MATCH(CI46,{2,3,5,7,11,13,17,19,23,29,31,37,41,43},0)),"소",
   AND(ISNUMBER(CI46),MOD(CI46,3)=0),"배",
   AND(ISNUMBER(CI46),CI46&gt;0),"자"
)</f>
        <v>배</v>
      </c>
      <c r="DQ46" s="26" t="str" cm="1">
        <f t="array" ref="DQ46">_xlfn.IFS(
   OR(CJ46="",ISBLANK(CJ46),CJ46=0),0,
   ISNUMBER(MATCH(CJ46,{2,3,5,7,11,13,17,19,23,29,31,37,41,43},0)),"소",
   AND(ISNUMBER(CJ46),MOD(CJ46,3)=0),"배",
   AND(ISNUMBER(CJ46),CJ46&gt;0),"자"
)</f>
        <v>배</v>
      </c>
      <c r="DR46" s="26" t="str" cm="1">
        <f t="array" ref="DR46">_xlfn.IFS(
   OR(CK46="",ISBLANK(CK46),CK46=0),0,
   ISNUMBER(MATCH(CK46,{2,3,5,7,11,13,17,19,23,29,31,37,41,43},0)),"소",
   AND(ISNUMBER(CK46),MOD(CK46,3)=0),"배",
   AND(ISNUMBER(CK46),CK46&gt;0),"자"
)</f>
        <v>자</v>
      </c>
      <c r="DS46" s="26" t="str" cm="1">
        <f t="array" ref="DS46">_xlfn.IFS(
   OR(CL46="",ISBLANK(CL46),CL46=0),0,
   ISNUMBER(MATCH(CL46,{2,3,5,7,11,13,17,19,23,29,31,37,41,43},0)),"소",
   AND(ISNUMBER(CL46),MOD(CL46,3)=0),"배",
   AND(ISNUMBER(CL46),CL46&gt;0),"자"
)</f>
        <v>배</v>
      </c>
      <c r="DT46" s="25"/>
    </row>
    <row r="47" spans="2:124" x14ac:dyDescent="0.3">
      <c r="B47" s="3">
        <v>1</v>
      </c>
      <c r="C47" s="3">
        <v>5</v>
      </c>
      <c r="D47" s="3">
        <v>8</v>
      </c>
      <c r="E47" s="3">
        <v>16</v>
      </c>
      <c r="F47" s="3">
        <v>28</v>
      </c>
      <c r="G47" s="3">
        <v>33</v>
      </c>
      <c r="H47" s="32"/>
      <c r="I47" s="3">
        <f t="shared" si="0"/>
        <v>1</v>
      </c>
      <c r="J47" s="3">
        <f t="shared" si="1"/>
        <v>1</v>
      </c>
      <c r="K47" s="3">
        <f t="shared" si="2"/>
        <v>2</v>
      </c>
      <c r="L47" s="3">
        <f t="shared" si="3"/>
        <v>2</v>
      </c>
      <c r="M47" s="3">
        <f t="shared" si="4"/>
        <v>2</v>
      </c>
      <c r="N47" s="3">
        <f t="shared" si="5"/>
        <v>1</v>
      </c>
      <c r="O47" s="32"/>
      <c r="P47" s="3" cm="1">
        <f t="array" ref="P47">SUMPRODUCT(--(MOD(B47:G47,2)=1))</f>
        <v>3</v>
      </c>
      <c r="Q47" s="3">
        <f t="shared" si="6"/>
        <v>3</v>
      </c>
      <c r="R47" s="34"/>
      <c r="S47" s="3">
        <f t="shared" si="7"/>
        <v>4</v>
      </c>
      <c r="T47" s="3">
        <f t="shared" si="8"/>
        <v>2</v>
      </c>
      <c r="U47" s="34"/>
      <c r="V47" s="3" cm="1">
        <f t="array" ref="V47">SUMPRODUCT(--(MOD(B47:G47,10)&gt;=1), --(MOD(B47:G47,10)&lt;=5))</f>
        <v>3</v>
      </c>
      <c r="W47" s="3">
        <f t="shared" si="9"/>
        <v>3</v>
      </c>
      <c r="X47" s="34"/>
      <c r="Y47" s="3" cm="1">
        <f t="array" ref="Y47">IFERROR(COUNT(_xlfn._xlws.FILTER(B47:G47, ISNUMBER(MATCH(B47:G47, {2,3,5,7,11,13,17,19,23,29,31,37,41,43}, 0)))), 0)</f>
        <v>1</v>
      </c>
      <c r="Z47" s="3" cm="1">
        <f t="array" ref="Z47">IFERROR(COUNT(_xlfn._xlws.FILTER(B47:G47, ISNUMBER(MATCH(B47:G47, {1,4,8,10,14,16,20,22,25,26,28,32,34,35,38,40,44}, 0)))), 0)</f>
        <v>4</v>
      </c>
      <c r="AA47" s="3" cm="1">
        <f t="array" ref="AA47">IFERROR(COUNT(_xlfn._xlws.FILTER(B47:G47, ISNUMBER(MATCH(B47:G47, {6,9,12,15,18,21,24,27,30,33,36,39,42,45}, 0)))), 0)</f>
        <v>1</v>
      </c>
      <c r="AB47" s="30"/>
      <c r="AC47" s="26" t="str" cm="1">
        <f t="array" ref="AC47">_xlfn.IFS(
   OR(B47="",ISBLANK(B47),B47=0),0,
   ISNUMBER(MATCH(B47,{2,3,5,7,11,13,17,19,23,29,31,37,41,43},0)),"소",
   AND(ISNUMBER(B47),MOD(B47,3)=0),"배",
   AND(ISNUMBER(B47),B47&gt;0),"자"
)</f>
        <v>자</v>
      </c>
      <c r="AD47" s="26" t="str" cm="1">
        <f t="array" ref="AD47">_xlfn.IFS(
   OR(C47="",ISBLANK(C47),C47=0),0,
   ISNUMBER(MATCH(C47,{2,3,5,7,11,13,17,19,23,29,31,37,41,43},0)),"소",
   AND(ISNUMBER(C47),MOD(C47,3)=0),"배",
   AND(ISNUMBER(C47),C47&gt;0),"자"
)</f>
        <v>소</v>
      </c>
      <c r="AE47" s="26" t="str" cm="1">
        <f t="array" ref="AE47">_xlfn.IFS(
   OR(D47="",ISBLANK(D47),D47=0),0,
   ISNUMBER(MATCH(D47,{2,3,5,7,11,13,17,19,23,29,31,37,41,43},0)),"소",
   AND(ISNUMBER(D47),MOD(D47,3)=0),"배",
   AND(ISNUMBER(D47),D47&gt;0),"자"
)</f>
        <v>자</v>
      </c>
      <c r="AF47" s="26" t="str" cm="1">
        <f t="array" ref="AF47">_xlfn.IFS(
   OR(E47="",ISBLANK(E47),E47=0),0,
   ISNUMBER(MATCH(E47,{2,3,5,7,11,13,17,19,23,29,31,37,41,43},0)),"소",
   AND(ISNUMBER(E47),MOD(E47,3)=0),"배",
   AND(ISNUMBER(E47),E47&gt;0),"자"
)</f>
        <v>자</v>
      </c>
      <c r="AG47" s="26" t="str" cm="1">
        <f t="array" ref="AG47">_xlfn.IFS(
   OR(F47="",ISBLANK(F47),F47=0),0,
   ISNUMBER(MATCH(F47,{2,3,5,7,11,13,17,19,23,29,31,37,41,43},0)),"소",
   AND(ISNUMBER(F47),MOD(F47,3)=0),"배",
   AND(ISNUMBER(F47),F47&gt;0),"자"
)</f>
        <v>자</v>
      </c>
      <c r="AH47" s="26" t="str" cm="1">
        <f t="array" ref="AH47">_xlfn.IFS(
   OR(G47="",ISBLANK(G47),G47=0),0,
   ISNUMBER(MATCH(G47,{2,3,5,7,11,13,17,19,23,29,31,37,41,43},0)),"소",
   AND(ISNUMBER(G47),MOD(G47,3)=0),"배",
   AND(ISNUMBER(G47),G47&gt;0),"자"
)</f>
        <v>배</v>
      </c>
      <c r="AI47" s="30"/>
      <c r="AJ47" s="3">
        <f t="shared" si="10"/>
        <v>3</v>
      </c>
      <c r="AK47" s="3">
        <f t="shared" si="11"/>
        <v>2</v>
      </c>
      <c r="AL47" s="3">
        <f t="shared" si="12"/>
        <v>1</v>
      </c>
      <c r="AM47" s="33"/>
      <c r="AN47" s="3">
        <f t="shared" si="13"/>
        <v>3</v>
      </c>
      <c r="AO47" s="3">
        <f t="shared" si="14"/>
        <v>1</v>
      </c>
      <c r="AP47" s="3">
        <f t="shared" si="15"/>
        <v>0</v>
      </c>
      <c r="AQ47" s="3">
        <f t="shared" si="16"/>
        <v>2</v>
      </c>
      <c r="AR47" s="3">
        <f t="shared" si="17"/>
        <v>0</v>
      </c>
      <c r="AS47" s="28" t="e">
        <f>#REF!</f>
        <v>#REF!</v>
      </c>
      <c r="AT47" s="28" t="e">
        <f>#REF!*2</f>
        <v>#REF!</v>
      </c>
      <c r="AU47" s="28" t="e">
        <f>#REF!</f>
        <v>#REF!</v>
      </c>
      <c r="AV47" s="28" t="e">
        <f>#REF!*2</f>
        <v>#REF!</v>
      </c>
      <c r="AW47" s="28" t="e">
        <f>#REF!</f>
        <v>#REF!</v>
      </c>
      <c r="AX47" s="28" t="e">
        <f>#REF!*2</f>
        <v>#REF!</v>
      </c>
      <c r="AY47" s="28" t="e">
        <f>#REF!</f>
        <v>#REF!</v>
      </c>
      <c r="AZ47" s="28" t="e">
        <f>#REF!*2</f>
        <v>#REF!</v>
      </c>
      <c r="BA47" s="28" t="e">
        <f>#REF!</f>
        <v>#REF!</v>
      </c>
      <c r="BB47" s="28" t="e">
        <f>#REF!*2</f>
        <v>#REF!</v>
      </c>
      <c r="BC47" s="28" t="e">
        <f>#REF!</f>
        <v>#REF!</v>
      </c>
      <c r="BD47" s="28" t="e">
        <f>#REF!*2</f>
        <v>#REF!</v>
      </c>
      <c r="BE47" s="9" t="e">
        <f>#REF!-#REF!</f>
        <v>#REF!</v>
      </c>
      <c r="BF47" s="9" t="e">
        <f>#REF!-#REF!</f>
        <v>#REF!</v>
      </c>
      <c r="BG47" s="9" t="e">
        <f>#REF!-#REF!</f>
        <v>#REF!</v>
      </c>
      <c r="BH47" s="9" t="e">
        <f>#REF!-#REF!</f>
        <v>#REF!</v>
      </c>
      <c r="BI47" s="9" t="e">
        <f>#REF!-#REF!</f>
        <v>#REF!</v>
      </c>
      <c r="BJ47" s="33"/>
      <c r="BK47" s="3">
        <f t="shared" si="18"/>
        <v>3</v>
      </c>
      <c r="BL47" s="3">
        <f t="shared" si="19"/>
        <v>1</v>
      </c>
      <c r="BM47" s="3">
        <f t="shared" si="20"/>
        <v>1</v>
      </c>
      <c r="BN47" s="3">
        <f t="shared" si="21"/>
        <v>1</v>
      </c>
      <c r="BO47" s="3">
        <f t="shared" si="22"/>
        <v>0</v>
      </c>
      <c r="BP47" s="28" t="e">
        <f>#REF!</f>
        <v>#REF!</v>
      </c>
      <c r="BQ47" s="28" t="e">
        <f>#REF!*2</f>
        <v>#REF!</v>
      </c>
      <c r="BR47" s="28" t="e">
        <f>#REF!</f>
        <v>#REF!</v>
      </c>
      <c r="BS47" s="28" t="e">
        <f>#REF!*2</f>
        <v>#REF!</v>
      </c>
      <c r="BT47" s="28" t="e">
        <f>#REF!</f>
        <v>#REF!</v>
      </c>
      <c r="BU47" s="28" t="e">
        <f>#REF!*2</f>
        <v>#REF!</v>
      </c>
      <c r="BV47" s="28" t="e">
        <f>#REF!</f>
        <v>#REF!</v>
      </c>
      <c r="BW47" s="28" t="e">
        <f>#REF!*2</f>
        <v>#REF!</v>
      </c>
      <c r="BX47" s="28" t="e">
        <f>#REF!</f>
        <v>#REF!</v>
      </c>
      <c r="BY47" s="28" t="e">
        <f>#REF!*2</f>
        <v>#REF!</v>
      </c>
      <c r="BZ47" s="28" t="e">
        <f>#REF!</f>
        <v>#REF!</v>
      </c>
      <c r="CA47" s="28" t="e">
        <f>#REF!*2</f>
        <v>#REF!</v>
      </c>
      <c r="CB47" s="9">
        <f t="shared" si="23"/>
        <v>4</v>
      </c>
      <c r="CC47" s="9">
        <f t="shared" si="24"/>
        <v>3</v>
      </c>
      <c r="CD47" s="9">
        <f t="shared" si="25"/>
        <v>8</v>
      </c>
      <c r="CE47" s="9">
        <f t="shared" si="26"/>
        <v>12</v>
      </c>
      <c r="CF47" s="9">
        <f t="shared" si="27"/>
        <v>5</v>
      </c>
      <c r="CG47" s="33"/>
      <c r="CH47" s="9">
        <f t="shared" si="28"/>
        <v>4</v>
      </c>
      <c r="CI47" s="9">
        <f t="shared" si="29"/>
        <v>3</v>
      </c>
      <c r="CJ47" s="9">
        <f t="shared" si="30"/>
        <v>8</v>
      </c>
      <c r="CK47" s="9">
        <f t="shared" si="31"/>
        <v>12</v>
      </c>
      <c r="CL47" s="9">
        <f t="shared" si="32"/>
        <v>5</v>
      </c>
      <c r="CM47" s="32"/>
      <c r="CN47" s="3">
        <f t="shared" si="33"/>
        <v>2</v>
      </c>
      <c r="CO47" s="3">
        <f t="shared" si="34"/>
        <v>1</v>
      </c>
      <c r="CP47" s="3">
        <f t="shared" si="35"/>
        <v>2</v>
      </c>
      <c r="CQ47" s="3">
        <f t="shared" si="36"/>
        <v>2</v>
      </c>
      <c r="CR47" s="3">
        <f t="shared" si="37"/>
        <v>1</v>
      </c>
      <c r="CS47" s="31"/>
      <c r="CT47" s="3" cm="1">
        <f t="array" ref="CT47">SUMPRODUCT(--(MOD(CH47:CL47,2)=1))</f>
        <v>2</v>
      </c>
      <c r="CU47" s="3">
        <f t="shared" si="38"/>
        <v>3</v>
      </c>
      <c r="CV47" s="30"/>
      <c r="CW47" s="3" cm="1">
        <f t="array" ref="CW47">SUMPRODUCT(--(MOD(CH47:CL47,10)&gt;=1), --(MOD(CH47:CL47,10)&lt;=5))</f>
        <v>4</v>
      </c>
      <c r="CX47" s="3">
        <f t="shared" si="39"/>
        <v>1</v>
      </c>
      <c r="CY47" s="30"/>
      <c r="CZ47" s="3" cm="1">
        <f t="array" ref="CZ47">IFERROR(COUNT(_xlfn._xlws.FILTER(CH47:CL47, ISNUMBER(MATCH(CH47:CL47, {2,3,5,7,11,13,17,19,23,29,31,37,41,43}, 0)))), 0)</f>
        <v>2</v>
      </c>
      <c r="DA47" s="3" cm="1">
        <f t="array" ref="DA47">IFERROR(COUNT(_xlfn._xlws.FILTER(CH47:CL47, ISNUMBER(MATCH(CH47:CL47, {1,4,8,10,14,16,20,22,25,26,28,32,34,35,38,40,44}, 0)))), 0)</f>
        <v>2</v>
      </c>
      <c r="DB47" s="3" cm="1">
        <f t="array" ref="DB47">IFERROR(COUNT(_xlfn._xlws.FILTER(CH47:CL47, ISNUMBER(MATCH(CH47:CL47, {6,9,12,15,18,21,24,27,30,33,36,39,42,45}, 0)))), 0)</f>
        <v>1</v>
      </c>
      <c r="DC47" s="29"/>
      <c r="DD47" s="28" t="e">
        <f>#REF!</f>
        <v>#REF!</v>
      </c>
      <c r="DE47" s="28" t="e">
        <f>#REF!*2</f>
        <v>#REF!</v>
      </c>
      <c r="DF47" s="28" t="e">
        <f>#REF!</f>
        <v>#REF!</v>
      </c>
      <c r="DG47" s="28" t="e">
        <f>#REF!*2</f>
        <v>#REF!</v>
      </c>
      <c r="DH47" s="28" t="e">
        <f>#REF!</f>
        <v>#REF!</v>
      </c>
      <c r="DI47" s="28" t="e">
        <f>#REF!*2</f>
        <v>#REF!</v>
      </c>
      <c r="DJ47" s="28" t="e">
        <f>#REF!</f>
        <v>#REF!</v>
      </c>
      <c r="DK47" s="28" t="e">
        <f>#REF!*2</f>
        <v>#REF!</v>
      </c>
      <c r="DL47" s="28" t="e">
        <f>#REF!</f>
        <v>#REF!</v>
      </c>
      <c r="DM47" s="28" t="e">
        <f>#REF!*2</f>
        <v>#REF!</v>
      </c>
      <c r="DN47" s="27"/>
      <c r="DO47" s="26" t="str" cm="1">
        <f t="array" ref="DO47">_xlfn.IFS(
   OR(CH47="",ISBLANK(CH47),CH47=0),0,
   ISNUMBER(MATCH(CH47,{2,3,5,7,11,13,17,19,23,29,31,37,41,43},0)),"소",
   AND(ISNUMBER(CH47),MOD(CH47,3)=0),"배",
   AND(ISNUMBER(CH47),CH47&gt;0),"자"
)</f>
        <v>자</v>
      </c>
      <c r="DP47" s="26" t="str" cm="1">
        <f t="array" ref="DP47">_xlfn.IFS(
   OR(CI47="",ISBLANK(CI47),CI47=0),0,
   ISNUMBER(MATCH(CI47,{2,3,5,7,11,13,17,19,23,29,31,37,41,43},0)),"소",
   AND(ISNUMBER(CI47),MOD(CI47,3)=0),"배",
   AND(ISNUMBER(CI47),CI47&gt;0),"자"
)</f>
        <v>소</v>
      </c>
      <c r="DQ47" s="26" t="str" cm="1">
        <f t="array" ref="DQ47">_xlfn.IFS(
   OR(CJ47="",ISBLANK(CJ47),CJ47=0),0,
   ISNUMBER(MATCH(CJ47,{2,3,5,7,11,13,17,19,23,29,31,37,41,43},0)),"소",
   AND(ISNUMBER(CJ47),MOD(CJ47,3)=0),"배",
   AND(ISNUMBER(CJ47),CJ47&gt;0),"자"
)</f>
        <v>자</v>
      </c>
      <c r="DR47" s="26" t="str" cm="1">
        <f t="array" ref="DR47">_xlfn.IFS(
   OR(CK47="",ISBLANK(CK47),CK47=0),0,
   ISNUMBER(MATCH(CK47,{2,3,5,7,11,13,17,19,23,29,31,37,41,43},0)),"소",
   AND(ISNUMBER(CK47),MOD(CK47,3)=0),"배",
   AND(ISNUMBER(CK47),CK47&gt;0),"자"
)</f>
        <v>배</v>
      </c>
      <c r="DS47" s="26" t="str" cm="1">
        <f t="array" ref="DS47">_xlfn.IFS(
   OR(CL47="",ISBLANK(CL47),CL47=0),0,
   ISNUMBER(MATCH(CL47,{2,3,5,7,11,13,17,19,23,29,31,37,41,43},0)),"소",
   AND(ISNUMBER(CL47),MOD(CL47,3)=0),"배",
   AND(ISNUMBER(CL47),CL47&gt;0),"자"
)</f>
        <v>소</v>
      </c>
      <c r="DT47" s="25"/>
    </row>
    <row r="48" spans="2:124" x14ac:dyDescent="0.3">
      <c r="B48" s="3">
        <v>5</v>
      </c>
      <c r="C48" s="3">
        <v>10</v>
      </c>
      <c r="D48" s="3">
        <v>11</v>
      </c>
      <c r="E48" s="3">
        <v>17</v>
      </c>
      <c r="F48" s="3">
        <v>28</v>
      </c>
      <c r="G48" s="3">
        <v>34</v>
      </c>
      <c r="H48" s="32"/>
      <c r="I48" s="3">
        <f t="shared" si="0"/>
        <v>1</v>
      </c>
      <c r="J48" s="3">
        <f t="shared" si="1"/>
        <v>2</v>
      </c>
      <c r="K48" s="3">
        <f t="shared" si="2"/>
        <v>1</v>
      </c>
      <c r="L48" s="3">
        <f t="shared" si="3"/>
        <v>1</v>
      </c>
      <c r="M48" s="3">
        <f t="shared" si="4"/>
        <v>2</v>
      </c>
      <c r="N48" s="3">
        <f t="shared" si="5"/>
        <v>2</v>
      </c>
      <c r="O48" s="32"/>
      <c r="P48" s="3" cm="1">
        <f t="array" ref="P48">SUMPRODUCT(--(MOD(B48:G48,2)=1))</f>
        <v>3</v>
      </c>
      <c r="Q48" s="3">
        <f t="shared" si="6"/>
        <v>3</v>
      </c>
      <c r="R48" s="34"/>
      <c r="S48" s="3">
        <f t="shared" si="7"/>
        <v>4</v>
      </c>
      <c r="T48" s="3">
        <f t="shared" si="8"/>
        <v>2</v>
      </c>
      <c r="U48" s="34"/>
      <c r="V48" s="3" cm="1">
        <f t="array" ref="V48">SUMPRODUCT(--(MOD(B48:G48,10)&gt;=1), --(MOD(B48:G48,10)&lt;=5))</f>
        <v>3</v>
      </c>
      <c r="W48" s="3">
        <f t="shared" si="9"/>
        <v>3</v>
      </c>
      <c r="X48" s="34"/>
      <c r="Y48" s="3" cm="1">
        <f t="array" ref="Y48">IFERROR(COUNT(_xlfn._xlws.FILTER(B48:G48, ISNUMBER(MATCH(B48:G48, {2,3,5,7,11,13,17,19,23,29,31,37,41,43}, 0)))), 0)</f>
        <v>3</v>
      </c>
      <c r="Z48" s="3" cm="1">
        <f t="array" ref="Z48">IFERROR(COUNT(_xlfn._xlws.FILTER(B48:G48, ISNUMBER(MATCH(B48:G48, {1,4,8,10,14,16,20,22,25,26,28,32,34,35,38,40,44}, 0)))), 0)</f>
        <v>3</v>
      </c>
      <c r="AA48" s="3" cm="1">
        <f t="array" ref="AA48">IFERROR(COUNT(_xlfn._xlws.FILTER(B48:G48, ISNUMBER(MATCH(B48:G48, {6,9,12,15,18,21,24,27,30,33,36,39,42,45}, 0)))), 0)</f>
        <v>0</v>
      </c>
      <c r="AB48" s="30"/>
      <c r="AC48" s="26" t="str" cm="1">
        <f t="array" ref="AC48">_xlfn.IFS(
   OR(B48="",ISBLANK(B48),B48=0),0,
   ISNUMBER(MATCH(B48,{2,3,5,7,11,13,17,19,23,29,31,37,41,43},0)),"소",
   AND(ISNUMBER(B48),MOD(B48,3)=0),"배",
   AND(ISNUMBER(B48),B48&gt;0),"자"
)</f>
        <v>소</v>
      </c>
      <c r="AD48" s="26" t="str" cm="1">
        <f t="array" ref="AD48">_xlfn.IFS(
   OR(C48="",ISBLANK(C48),C48=0),0,
   ISNUMBER(MATCH(C48,{2,3,5,7,11,13,17,19,23,29,31,37,41,43},0)),"소",
   AND(ISNUMBER(C48),MOD(C48,3)=0),"배",
   AND(ISNUMBER(C48),C48&gt;0),"자"
)</f>
        <v>자</v>
      </c>
      <c r="AE48" s="26" t="str" cm="1">
        <f t="array" ref="AE48">_xlfn.IFS(
   OR(D48="",ISBLANK(D48),D48=0),0,
   ISNUMBER(MATCH(D48,{2,3,5,7,11,13,17,19,23,29,31,37,41,43},0)),"소",
   AND(ISNUMBER(D48),MOD(D48,3)=0),"배",
   AND(ISNUMBER(D48),D48&gt;0),"자"
)</f>
        <v>소</v>
      </c>
      <c r="AF48" s="26" t="str" cm="1">
        <f t="array" ref="AF48">_xlfn.IFS(
   OR(E48="",ISBLANK(E48),E48=0),0,
   ISNUMBER(MATCH(E48,{2,3,5,7,11,13,17,19,23,29,31,37,41,43},0)),"소",
   AND(ISNUMBER(E48),MOD(E48,3)=0),"배",
   AND(ISNUMBER(E48),E48&gt;0),"자"
)</f>
        <v>소</v>
      </c>
      <c r="AG48" s="26" t="str" cm="1">
        <f t="array" ref="AG48">_xlfn.IFS(
   OR(F48="",ISBLANK(F48),F48=0),0,
   ISNUMBER(MATCH(F48,{2,3,5,7,11,13,17,19,23,29,31,37,41,43},0)),"소",
   AND(ISNUMBER(F48),MOD(F48,3)=0),"배",
   AND(ISNUMBER(F48),F48&gt;0),"자"
)</f>
        <v>자</v>
      </c>
      <c r="AH48" s="26" t="str" cm="1">
        <f t="array" ref="AH48">_xlfn.IFS(
   OR(G48="",ISBLANK(G48),G48=0),0,
   ISNUMBER(MATCH(G48,{2,3,5,7,11,13,17,19,23,29,31,37,41,43},0)),"소",
   AND(ISNUMBER(G48),MOD(G48,3)=0),"배",
   AND(ISNUMBER(G48),G48&gt;0),"자"
)</f>
        <v>자</v>
      </c>
      <c r="AI48" s="30"/>
      <c r="AJ48" s="3">
        <f t="shared" si="10"/>
        <v>3</v>
      </c>
      <c r="AK48" s="3">
        <f t="shared" si="11"/>
        <v>2</v>
      </c>
      <c r="AL48" s="3">
        <f t="shared" si="12"/>
        <v>1</v>
      </c>
      <c r="AM48" s="33"/>
      <c r="AN48" s="3">
        <f t="shared" si="13"/>
        <v>1</v>
      </c>
      <c r="AO48" s="3">
        <f t="shared" si="14"/>
        <v>3</v>
      </c>
      <c r="AP48" s="3">
        <f t="shared" si="15"/>
        <v>0</v>
      </c>
      <c r="AQ48" s="3">
        <f t="shared" si="16"/>
        <v>2</v>
      </c>
      <c r="AR48" s="3">
        <f t="shared" si="17"/>
        <v>0</v>
      </c>
      <c r="AS48" s="28" t="e">
        <f>#REF!</f>
        <v>#REF!</v>
      </c>
      <c r="AT48" s="28" t="e">
        <f>#REF!*2</f>
        <v>#REF!</v>
      </c>
      <c r="AU48" s="28" t="e">
        <f>#REF!</f>
        <v>#REF!</v>
      </c>
      <c r="AV48" s="28" t="e">
        <f>#REF!*2</f>
        <v>#REF!</v>
      </c>
      <c r="AW48" s="28" t="e">
        <f>#REF!</f>
        <v>#REF!</v>
      </c>
      <c r="AX48" s="28" t="e">
        <f>#REF!*2</f>
        <v>#REF!</v>
      </c>
      <c r="AY48" s="28" t="e">
        <f>#REF!</f>
        <v>#REF!</v>
      </c>
      <c r="AZ48" s="28" t="e">
        <f>#REF!*2</f>
        <v>#REF!</v>
      </c>
      <c r="BA48" s="28" t="e">
        <f>#REF!</f>
        <v>#REF!</v>
      </c>
      <c r="BB48" s="28" t="e">
        <f>#REF!*2</f>
        <v>#REF!</v>
      </c>
      <c r="BC48" s="28" t="e">
        <f>#REF!</f>
        <v>#REF!</v>
      </c>
      <c r="BD48" s="28" t="e">
        <f>#REF!*2</f>
        <v>#REF!</v>
      </c>
      <c r="BE48" s="9" t="e">
        <f>#REF!-#REF!</f>
        <v>#REF!</v>
      </c>
      <c r="BF48" s="9" t="e">
        <f>#REF!-#REF!</f>
        <v>#REF!</v>
      </c>
      <c r="BG48" s="9" t="e">
        <f>#REF!-#REF!</f>
        <v>#REF!</v>
      </c>
      <c r="BH48" s="9" t="e">
        <f>#REF!-#REF!</f>
        <v>#REF!</v>
      </c>
      <c r="BI48" s="9" t="e">
        <f>#REF!-#REF!</f>
        <v>#REF!</v>
      </c>
      <c r="BJ48" s="33"/>
      <c r="BK48" s="3">
        <f t="shared" si="18"/>
        <v>1</v>
      </c>
      <c r="BL48" s="3">
        <f t="shared" si="19"/>
        <v>3</v>
      </c>
      <c r="BM48" s="3">
        <f t="shared" si="20"/>
        <v>1</v>
      </c>
      <c r="BN48" s="3">
        <f t="shared" si="21"/>
        <v>1</v>
      </c>
      <c r="BO48" s="3">
        <f t="shared" si="22"/>
        <v>0</v>
      </c>
      <c r="BP48" s="28" t="e">
        <f>#REF!</f>
        <v>#REF!</v>
      </c>
      <c r="BQ48" s="28" t="e">
        <f>#REF!*2</f>
        <v>#REF!</v>
      </c>
      <c r="BR48" s="28" t="e">
        <f>#REF!</f>
        <v>#REF!</v>
      </c>
      <c r="BS48" s="28" t="e">
        <f>#REF!*2</f>
        <v>#REF!</v>
      </c>
      <c r="BT48" s="28" t="e">
        <f>#REF!</f>
        <v>#REF!</v>
      </c>
      <c r="BU48" s="28" t="e">
        <f>#REF!*2</f>
        <v>#REF!</v>
      </c>
      <c r="BV48" s="28" t="e">
        <f>#REF!</f>
        <v>#REF!</v>
      </c>
      <c r="BW48" s="28" t="e">
        <f>#REF!*2</f>
        <v>#REF!</v>
      </c>
      <c r="BX48" s="28" t="e">
        <f>#REF!</f>
        <v>#REF!</v>
      </c>
      <c r="BY48" s="28" t="e">
        <f>#REF!*2</f>
        <v>#REF!</v>
      </c>
      <c r="BZ48" s="28" t="e">
        <f>#REF!</f>
        <v>#REF!</v>
      </c>
      <c r="CA48" s="28" t="e">
        <f>#REF!*2</f>
        <v>#REF!</v>
      </c>
      <c r="CB48" s="9">
        <f t="shared" si="23"/>
        <v>5</v>
      </c>
      <c r="CC48" s="9">
        <f t="shared" si="24"/>
        <v>1</v>
      </c>
      <c r="CD48" s="9">
        <f t="shared" si="25"/>
        <v>6</v>
      </c>
      <c r="CE48" s="9">
        <f t="shared" si="26"/>
        <v>11</v>
      </c>
      <c r="CF48" s="9">
        <f t="shared" si="27"/>
        <v>6</v>
      </c>
      <c r="CG48" s="33"/>
      <c r="CH48" s="9">
        <f t="shared" si="28"/>
        <v>5</v>
      </c>
      <c r="CI48" s="9">
        <f t="shared" si="29"/>
        <v>1</v>
      </c>
      <c r="CJ48" s="9">
        <f t="shared" si="30"/>
        <v>6</v>
      </c>
      <c r="CK48" s="9">
        <f t="shared" si="31"/>
        <v>11</v>
      </c>
      <c r="CL48" s="9">
        <f t="shared" si="32"/>
        <v>6</v>
      </c>
      <c r="CM48" s="32"/>
      <c r="CN48" s="3">
        <f t="shared" si="33"/>
        <v>1</v>
      </c>
      <c r="CO48" s="3">
        <f t="shared" si="34"/>
        <v>1</v>
      </c>
      <c r="CP48" s="3">
        <f t="shared" si="35"/>
        <v>2</v>
      </c>
      <c r="CQ48" s="3">
        <f t="shared" si="36"/>
        <v>1</v>
      </c>
      <c r="CR48" s="3">
        <f t="shared" si="37"/>
        <v>2</v>
      </c>
      <c r="CS48" s="31"/>
      <c r="CT48" s="3" cm="1">
        <f t="array" ref="CT48">SUMPRODUCT(--(MOD(CH48:CL48,2)=1))</f>
        <v>3</v>
      </c>
      <c r="CU48" s="3">
        <f t="shared" si="38"/>
        <v>2</v>
      </c>
      <c r="CV48" s="30"/>
      <c r="CW48" s="3" cm="1">
        <f t="array" ref="CW48">SUMPRODUCT(--(MOD(CH48:CL48,10)&gt;=1), --(MOD(CH48:CL48,10)&lt;=5))</f>
        <v>3</v>
      </c>
      <c r="CX48" s="3">
        <f t="shared" si="39"/>
        <v>2</v>
      </c>
      <c r="CY48" s="30"/>
      <c r="CZ48" s="3" cm="1">
        <f t="array" ref="CZ48">IFERROR(COUNT(_xlfn._xlws.FILTER(CH48:CL48, ISNUMBER(MATCH(CH48:CL48, {2,3,5,7,11,13,17,19,23,29,31,37,41,43}, 0)))), 0)</f>
        <v>2</v>
      </c>
      <c r="DA48" s="3" cm="1">
        <f t="array" ref="DA48">IFERROR(COUNT(_xlfn._xlws.FILTER(CH48:CL48, ISNUMBER(MATCH(CH48:CL48, {1,4,8,10,14,16,20,22,25,26,28,32,34,35,38,40,44}, 0)))), 0)</f>
        <v>1</v>
      </c>
      <c r="DB48" s="3" cm="1">
        <f t="array" ref="DB48">IFERROR(COUNT(_xlfn._xlws.FILTER(CH48:CL48, ISNUMBER(MATCH(CH48:CL48, {6,9,12,15,18,21,24,27,30,33,36,39,42,45}, 0)))), 0)</f>
        <v>2</v>
      </c>
      <c r="DC48" s="29"/>
      <c r="DD48" s="28" t="e">
        <f>#REF!</f>
        <v>#REF!</v>
      </c>
      <c r="DE48" s="28" t="e">
        <f>#REF!*2</f>
        <v>#REF!</v>
      </c>
      <c r="DF48" s="28" t="e">
        <f>#REF!</f>
        <v>#REF!</v>
      </c>
      <c r="DG48" s="28" t="e">
        <f>#REF!*2</f>
        <v>#REF!</v>
      </c>
      <c r="DH48" s="28" t="e">
        <f>#REF!</f>
        <v>#REF!</v>
      </c>
      <c r="DI48" s="28" t="e">
        <f>#REF!*2</f>
        <v>#REF!</v>
      </c>
      <c r="DJ48" s="28" t="e">
        <f>#REF!</f>
        <v>#REF!</v>
      </c>
      <c r="DK48" s="28" t="e">
        <f>#REF!*2</f>
        <v>#REF!</v>
      </c>
      <c r="DL48" s="28" t="e">
        <f>#REF!</f>
        <v>#REF!</v>
      </c>
      <c r="DM48" s="28" t="e">
        <f>#REF!*2</f>
        <v>#REF!</v>
      </c>
      <c r="DN48" s="27"/>
      <c r="DO48" s="26" t="str" cm="1">
        <f t="array" ref="DO48">_xlfn.IFS(
   OR(CH48="",ISBLANK(CH48),CH48=0),0,
   ISNUMBER(MATCH(CH48,{2,3,5,7,11,13,17,19,23,29,31,37,41,43},0)),"소",
   AND(ISNUMBER(CH48),MOD(CH48,3)=0),"배",
   AND(ISNUMBER(CH48),CH48&gt;0),"자"
)</f>
        <v>소</v>
      </c>
      <c r="DP48" s="26" t="str" cm="1">
        <f t="array" ref="DP48">_xlfn.IFS(
   OR(CI48="",ISBLANK(CI48),CI48=0),0,
   ISNUMBER(MATCH(CI48,{2,3,5,7,11,13,17,19,23,29,31,37,41,43},0)),"소",
   AND(ISNUMBER(CI48),MOD(CI48,3)=0),"배",
   AND(ISNUMBER(CI48),CI48&gt;0),"자"
)</f>
        <v>자</v>
      </c>
      <c r="DQ48" s="26" t="str" cm="1">
        <f t="array" ref="DQ48">_xlfn.IFS(
   OR(CJ48="",ISBLANK(CJ48),CJ48=0),0,
   ISNUMBER(MATCH(CJ48,{2,3,5,7,11,13,17,19,23,29,31,37,41,43},0)),"소",
   AND(ISNUMBER(CJ48),MOD(CJ48,3)=0),"배",
   AND(ISNUMBER(CJ48),CJ48&gt;0),"자"
)</f>
        <v>배</v>
      </c>
      <c r="DR48" s="26" t="str" cm="1">
        <f t="array" ref="DR48">_xlfn.IFS(
   OR(CK48="",ISBLANK(CK48),CK48=0),0,
   ISNUMBER(MATCH(CK48,{2,3,5,7,11,13,17,19,23,29,31,37,41,43},0)),"소",
   AND(ISNUMBER(CK48),MOD(CK48,3)=0),"배",
   AND(ISNUMBER(CK48),CK48&gt;0),"자"
)</f>
        <v>소</v>
      </c>
      <c r="DS48" s="26" t="str" cm="1">
        <f t="array" ref="DS48">_xlfn.IFS(
   OR(CL48="",ISBLANK(CL48),CL48=0),0,
   ISNUMBER(MATCH(CL48,{2,3,5,7,11,13,17,19,23,29,31,37,41,43},0)),"소",
   AND(ISNUMBER(CL48),MOD(CL48,3)=0),"배",
   AND(ISNUMBER(CL48),CL48&gt;0),"자"
)</f>
        <v>배</v>
      </c>
      <c r="DT48" s="25"/>
    </row>
    <row r="49" spans="2:124" x14ac:dyDescent="0.3">
      <c r="B49" s="3">
        <v>15</v>
      </c>
      <c r="C49" s="3">
        <v>19</v>
      </c>
      <c r="D49" s="3">
        <v>21</v>
      </c>
      <c r="E49" s="3">
        <v>25</v>
      </c>
      <c r="F49" s="3">
        <v>27</v>
      </c>
      <c r="G49" s="3">
        <v>28</v>
      </c>
      <c r="H49" s="32"/>
      <c r="I49" s="3">
        <f t="shared" si="0"/>
        <v>1</v>
      </c>
      <c r="J49" s="3">
        <f t="shared" si="1"/>
        <v>1</v>
      </c>
      <c r="K49" s="3">
        <f t="shared" si="2"/>
        <v>1</v>
      </c>
      <c r="L49" s="3">
        <f t="shared" si="3"/>
        <v>1</v>
      </c>
      <c r="M49" s="3">
        <f t="shared" si="4"/>
        <v>1</v>
      </c>
      <c r="N49" s="3">
        <f t="shared" si="5"/>
        <v>2</v>
      </c>
      <c r="O49" s="32"/>
      <c r="P49" s="3" cm="1">
        <f t="array" ref="P49">SUMPRODUCT(--(MOD(B49:G49,2)=1))</f>
        <v>5</v>
      </c>
      <c r="Q49" s="3">
        <f t="shared" si="6"/>
        <v>1</v>
      </c>
      <c r="R49" s="34"/>
      <c r="S49" s="3">
        <f t="shared" si="7"/>
        <v>3</v>
      </c>
      <c r="T49" s="3">
        <f t="shared" si="8"/>
        <v>3</v>
      </c>
      <c r="U49" s="34"/>
      <c r="V49" s="3" cm="1">
        <f t="array" ref="V49">SUMPRODUCT(--(MOD(B49:G49,10)&gt;=1), --(MOD(B49:G49,10)&lt;=5))</f>
        <v>3</v>
      </c>
      <c r="W49" s="3">
        <f t="shared" si="9"/>
        <v>3</v>
      </c>
      <c r="X49" s="34"/>
      <c r="Y49" s="3" cm="1">
        <f t="array" ref="Y49">IFERROR(COUNT(_xlfn._xlws.FILTER(B49:G49, ISNUMBER(MATCH(B49:G49, {2,3,5,7,11,13,17,19,23,29,31,37,41,43}, 0)))), 0)</f>
        <v>1</v>
      </c>
      <c r="Z49" s="3" cm="1">
        <f t="array" ref="Z49">IFERROR(COUNT(_xlfn._xlws.FILTER(B49:G49, ISNUMBER(MATCH(B49:G49, {1,4,8,10,14,16,20,22,25,26,28,32,34,35,38,40,44}, 0)))), 0)</f>
        <v>2</v>
      </c>
      <c r="AA49" s="3" cm="1">
        <f t="array" ref="AA49">IFERROR(COUNT(_xlfn._xlws.FILTER(B49:G49, ISNUMBER(MATCH(B49:G49, {6,9,12,15,18,21,24,27,30,33,36,39,42,45}, 0)))), 0)</f>
        <v>3</v>
      </c>
      <c r="AB49" s="30"/>
      <c r="AC49" s="26" t="str" cm="1">
        <f t="array" ref="AC49">_xlfn.IFS(
   OR(B49="",ISBLANK(B49),B49=0),0,
   ISNUMBER(MATCH(B49,{2,3,5,7,11,13,17,19,23,29,31,37,41,43},0)),"소",
   AND(ISNUMBER(B49),MOD(B49,3)=0),"배",
   AND(ISNUMBER(B49),B49&gt;0),"자"
)</f>
        <v>배</v>
      </c>
      <c r="AD49" s="26" t="str" cm="1">
        <f t="array" ref="AD49">_xlfn.IFS(
   OR(C49="",ISBLANK(C49),C49=0),0,
   ISNUMBER(MATCH(C49,{2,3,5,7,11,13,17,19,23,29,31,37,41,43},0)),"소",
   AND(ISNUMBER(C49),MOD(C49,3)=0),"배",
   AND(ISNUMBER(C49),C49&gt;0),"자"
)</f>
        <v>소</v>
      </c>
      <c r="AE49" s="26" t="str" cm="1">
        <f t="array" ref="AE49">_xlfn.IFS(
   OR(D49="",ISBLANK(D49),D49=0),0,
   ISNUMBER(MATCH(D49,{2,3,5,7,11,13,17,19,23,29,31,37,41,43},0)),"소",
   AND(ISNUMBER(D49),MOD(D49,3)=0),"배",
   AND(ISNUMBER(D49),D49&gt;0),"자"
)</f>
        <v>배</v>
      </c>
      <c r="AF49" s="26" t="str" cm="1">
        <f t="array" ref="AF49">_xlfn.IFS(
   OR(E49="",ISBLANK(E49),E49=0),0,
   ISNUMBER(MATCH(E49,{2,3,5,7,11,13,17,19,23,29,31,37,41,43},0)),"소",
   AND(ISNUMBER(E49),MOD(E49,3)=0),"배",
   AND(ISNUMBER(E49),E49&gt;0),"자"
)</f>
        <v>자</v>
      </c>
      <c r="AG49" s="26" t="str" cm="1">
        <f t="array" ref="AG49">_xlfn.IFS(
   OR(F49="",ISBLANK(F49),F49=0),0,
   ISNUMBER(MATCH(F49,{2,3,5,7,11,13,17,19,23,29,31,37,41,43},0)),"소",
   AND(ISNUMBER(F49),MOD(F49,3)=0),"배",
   AND(ISNUMBER(F49),F49&gt;0),"자"
)</f>
        <v>배</v>
      </c>
      <c r="AH49" s="26" t="str" cm="1">
        <f t="array" ref="AH49">_xlfn.IFS(
   OR(G49="",ISBLANK(G49),G49=0),0,
   ISNUMBER(MATCH(G49,{2,3,5,7,11,13,17,19,23,29,31,37,41,43},0)),"소",
   AND(ISNUMBER(G49),MOD(G49,3)=0),"배",
   AND(ISNUMBER(G49),G49&gt;0),"자"
)</f>
        <v>자</v>
      </c>
      <c r="AI49" s="30"/>
      <c r="AJ49" s="3">
        <f t="shared" si="10"/>
        <v>0</v>
      </c>
      <c r="AK49" s="3">
        <f t="shared" si="11"/>
        <v>6</v>
      </c>
      <c r="AL49" s="3">
        <f t="shared" si="12"/>
        <v>0</v>
      </c>
      <c r="AM49" s="33"/>
      <c r="AN49" s="3">
        <f t="shared" si="13"/>
        <v>0</v>
      </c>
      <c r="AO49" s="3">
        <f t="shared" si="14"/>
        <v>1</v>
      </c>
      <c r="AP49" s="3">
        <f t="shared" si="15"/>
        <v>4</v>
      </c>
      <c r="AQ49" s="3">
        <f t="shared" si="16"/>
        <v>1</v>
      </c>
      <c r="AR49" s="3">
        <f t="shared" si="17"/>
        <v>0</v>
      </c>
      <c r="AS49" s="28" t="e">
        <f>#REF!</f>
        <v>#REF!</v>
      </c>
      <c r="AT49" s="28" t="e">
        <f>#REF!*2</f>
        <v>#REF!</v>
      </c>
      <c r="AU49" s="28" t="e">
        <f>#REF!</f>
        <v>#REF!</v>
      </c>
      <c r="AV49" s="28" t="e">
        <f>#REF!*2</f>
        <v>#REF!</v>
      </c>
      <c r="AW49" s="28" t="e">
        <f>#REF!</f>
        <v>#REF!</v>
      </c>
      <c r="AX49" s="28" t="e">
        <f>#REF!*2</f>
        <v>#REF!</v>
      </c>
      <c r="AY49" s="28" t="e">
        <f>#REF!</f>
        <v>#REF!</v>
      </c>
      <c r="AZ49" s="28" t="e">
        <f>#REF!*2</f>
        <v>#REF!</v>
      </c>
      <c r="BA49" s="28" t="e">
        <f>#REF!</f>
        <v>#REF!</v>
      </c>
      <c r="BB49" s="28" t="e">
        <f>#REF!*2</f>
        <v>#REF!</v>
      </c>
      <c r="BC49" s="28" t="e">
        <f>#REF!</f>
        <v>#REF!</v>
      </c>
      <c r="BD49" s="28" t="e">
        <f>#REF!*2</f>
        <v>#REF!</v>
      </c>
      <c r="BE49" s="9" t="e">
        <f>#REF!-#REF!</f>
        <v>#REF!</v>
      </c>
      <c r="BF49" s="9" t="e">
        <f>#REF!-#REF!</f>
        <v>#REF!</v>
      </c>
      <c r="BG49" s="9" t="e">
        <f>#REF!-#REF!</f>
        <v>#REF!</v>
      </c>
      <c r="BH49" s="9" t="e">
        <f>#REF!-#REF!</f>
        <v>#REF!</v>
      </c>
      <c r="BI49" s="9" t="e">
        <f>#REF!-#REF!</f>
        <v>#REF!</v>
      </c>
      <c r="BJ49" s="33"/>
      <c r="BK49" s="3">
        <f t="shared" si="18"/>
        <v>0</v>
      </c>
      <c r="BL49" s="3">
        <f t="shared" si="19"/>
        <v>2</v>
      </c>
      <c r="BM49" s="3">
        <f t="shared" si="20"/>
        <v>4</v>
      </c>
      <c r="BN49" s="3">
        <f t="shared" si="21"/>
        <v>0</v>
      </c>
      <c r="BO49" s="3">
        <f t="shared" si="22"/>
        <v>0</v>
      </c>
      <c r="BP49" s="28" t="e">
        <f>#REF!</f>
        <v>#REF!</v>
      </c>
      <c r="BQ49" s="28" t="e">
        <f>#REF!*2</f>
        <v>#REF!</v>
      </c>
      <c r="BR49" s="28" t="e">
        <f>#REF!</f>
        <v>#REF!</v>
      </c>
      <c r="BS49" s="28" t="e">
        <f>#REF!*2</f>
        <v>#REF!</v>
      </c>
      <c r="BT49" s="28" t="e">
        <f>#REF!</f>
        <v>#REF!</v>
      </c>
      <c r="BU49" s="28" t="e">
        <f>#REF!*2</f>
        <v>#REF!</v>
      </c>
      <c r="BV49" s="28" t="e">
        <f>#REF!</f>
        <v>#REF!</v>
      </c>
      <c r="BW49" s="28" t="e">
        <f>#REF!*2</f>
        <v>#REF!</v>
      </c>
      <c r="BX49" s="28" t="e">
        <f>#REF!</f>
        <v>#REF!</v>
      </c>
      <c r="BY49" s="28" t="e">
        <f>#REF!*2</f>
        <v>#REF!</v>
      </c>
      <c r="BZ49" s="28" t="e">
        <f>#REF!</f>
        <v>#REF!</v>
      </c>
      <c r="CA49" s="28" t="e">
        <f>#REF!*2</f>
        <v>#REF!</v>
      </c>
      <c r="CB49" s="9">
        <f t="shared" si="23"/>
        <v>4</v>
      </c>
      <c r="CC49" s="9">
        <f t="shared" si="24"/>
        <v>2</v>
      </c>
      <c r="CD49" s="9">
        <f t="shared" si="25"/>
        <v>4</v>
      </c>
      <c r="CE49" s="9">
        <f t="shared" si="26"/>
        <v>2</v>
      </c>
      <c r="CF49" s="9">
        <f t="shared" si="27"/>
        <v>1</v>
      </c>
      <c r="CG49" s="33"/>
      <c r="CH49" s="9">
        <f t="shared" si="28"/>
        <v>4</v>
      </c>
      <c r="CI49" s="9">
        <f t="shared" si="29"/>
        <v>2</v>
      </c>
      <c r="CJ49" s="9">
        <f t="shared" si="30"/>
        <v>4</v>
      </c>
      <c r="CK49" s="9">
        <f t="shared" si="31"/>
        <v>2</v>
      </c>
      <c r="CL49" s="9">
        <f t="shared" si="32"/>
        <v>1</v>
      </c>
      <c r="CM49" s="32"/>
      <c r="CN49" s="3">
        <f t="shared" si="33"/>
        <v>2</v>
      </c>
      <c r="CO49" s="3">
        <f t="shared" si="34"/>
        <v>2</v>
      </c>
      <c r="CP49" s="3">
        <f t="shared" si="35"/>
        <v>2</v>
      </c>
      <c r="CQ49" s="3">
        <f t="shared" si="36"/>
        <v>2</v>
      </c>
      <c r="CR49" s="3">
        <f t="shared" si="37"/>
        <v>1</v>
      </c>
      <c r="CS49" s="31"/>
      <c r="CT49" s="3" cm="1">
        <f t="array" ref="CT49">SUMPRODUCT(--(MOD(CH49:CL49,2)=1))</f>
        <v>1</v>
      </c>
      <c r="CU49" s="3">
        <f t="shared" si="38"/>
        <v>4</v>
      </c>
      <c r="CV49" s="30"/>
      <c r="CW49" s="3" cm="1">
        <f t="array" ref="CW49">SUMPRODUCT(--(MOD(CH49:CL49,10)&gt;=1), --(MOD(CH49:CL49,10)&lt;=5))</f>
        <v>5</v>
      </c>
      <c r="CX49" s="3">
        <f t="shared" si="39"/>
        <v>0</v>
      </c>
      <c r="CY49" s="30"/>
      <c r="CZ49" s="3" cm="1">
        <f t="array" ref="CZ49">IFERROR(COUNT(_xlfn._xlws.FILTER(CH49:CL49, ISNUMBER(MATCH(CH49:CL49, {2,3,5,7,11,13,17,19,23,29,31,37,41,43}, 0)))), 0)</f>
        <v>2</v>
      </c>
      <c r="DA49" s="3" cm="1">
        <f t="array" ref="DA49">IFERROR(COUNT(_xlfn._xlws.FILTER(CH49:CL49, ISNUMBER(MATCH(CH49:CL49, {1,4,8,10,14,16,20,22,25,26,28,32,34,35,38,40,44}, 0)))), 0)</f>
        <v>3</v>
      </c>
      <c r="DB49" s="3" cm="1">
        <f t="array" ref="DB49">IFERROR(COUNT(_xlfn._xlws.FILTER(CH49:CL49, ISNUMBER(MATCH(CH49:CL49, {6,9,12,15,18,21,24,27,30,33,36,39,42,45}, 0)))), 0)</f>
        <v>0</v>
      </c>
      <c r="DC49" s="29"/>
      <c r="DD49" s="28" t="e">
        <f>#REF!</f>
        <v>#REF!</v>
      </c>
      <c r="DE49" s="28" t="e">
        <f>#REF!*2</f>
        <v>#REF!</v>
      </c>
      <c r="DF49" s="28" t="e">
        <f>#REF!</f>
        <v>#REF!</v>
      </c>
      <c r="DG49" s="28" t="e">
        <f>#REF!*2</f>
        <v>#REF!</v>
      </c>
      <c r="DH49" s="28" t="e">
        <f>#REF!</f>
        <v>#REF!</v>
      </c>
      <c r="DI49" s="28" t="e">
        <f>#REF!*2</f>
        <v>#REF!</v>
      </c>
      <c r="DJ49" s="28" t="e">
        <f>#REF!</f>
        <v>#REF!</v>
      </c>
      <c r="DK49" s="28" t="e">
        <f>#REF!*2</f>
        <v>#REF!</v>
      </c>
      <c r="DL49" s="28" t="e">
        <f>#REF!</f>
        <v>#REF!</v>
      </c>
      <c r="DM49" s="28" t="e">
        <f>#REF!*2</f>
        <v>#REF!</v>
      </c>
      <c r="DN49" s="27"/>
      <c r="DO49" s="26" t="str" cm="1">
        <f t="array" ref="DO49">_xlfn.IFS(
   OR(CH49="",ISBLANK(CH49),CH49=0),0,
   ISNUMBER(MATCH(CH49,{2,3,5,7,11,13,17,19,23,29,31,37,41,43},0)),"소",
   AND(ISNUMBER(CH49),MOD(CH49,3)=0),"배",
   AND(ISNUMBER(CH49),CH49&gt;0),"자"
)</f>
        <v>자</v>
      </c>
      <c r="DP49" s="26" t="str" cm="1">
        <f t="array" ref="DP49">_xlfn.IFS(
   OR(CI49="",ISBLANK(CI49),CI49=0),0,
   ISNUMBER(MATCH(CI49,{2,3,5,7,11,13,17,19,23,29,31,37,41,43},0)),"소",
   AND(ISNUMBER(CI49),MOD(CI49,3)=0),"배",
   AND(ISNUMBER(CI49),CI49&gt;0),"자"
)</f>
        <v>소</v>
      </c>
      <c r="DQ49" s="26" t="str" cm="1">
        <f t="array" ref="DQ49">_xlfn.IFS(
   OR(CJ49="",ISBLANK(CJ49),CJ49=0),0,
   ISNUMBER(MATCH(CJ49,{2,3,5,7,11,13,17,19,23,29,31,37,41,43},0)),"소",
   AND(ISNUMBER(CJ49),MOD(CJ49,3)=0),"배",
   AND(ISNUMBER(CJ49),CJ49&gt;0),"자"
)</f>
        <v>자</v>
      </c>
      <c r="DR49" s="26" t="str" cm="1">
        <f t="array" ref="DR49">_xlfn.IFS(
   OR(CK49="",ISBLANK(CK49),CK49=0),0,
   ISNUMBER(MATCH(CK49,{2,3,5,7,11,13,17,19,23,29,31,37,41,43},0)),"소",
   AND(ISNUMBER(CK49),MOD(CK49,3)=0),"배",
   AND(ISNUMBER(CK49),CK49&gt;0),"자"
)</f>
        <v>소</v>
      </c>
      <c r="DS49" s="26" t="str" cm="1">
        <f t="array" ref="DS49">_xlfn.IFS(
   OR(CL49="",ISBLANK(CL49),CL49=0),0,
   ISNUMBER(MATCH(CL49,{2,3,5,7,11,13,17,19,23,29,31,37,41,43},0)),"소",
   AND(ISNUMBER(CL49),MOD(CL49,3)=0),"배",
   AND(ISNUMBER(CL49),CL49&gt;0),"자"
)</f>
        <v>자</v>
      </c>
      <c r="DT49" s="25"/>
    </row>
    <row r="50" spans="2:124" x14ac:dyDescent="0.3">
      <c r="B50" s="3">
        <v>1</v>
      </c>
      <c r="C50" s="3">
        <v>2</v>
      </c>
      <c r="D50" s="3">
        <v>6</v>
      </c>
      <c r="E50" s="3">
        <v>14</v>
      </c>
      <c r="F50" s="3">
        <v>27</v>
      </c>
      <c r="G50" s="3">
        <v>38</v>
      </c>
      <c r="H50" s="32"/>
      <c r="I50" s="3">
        <f t="shared" si="0"/>
        <v>1</v>
      </c>
      <c r="J50" s="3">
        <f t="shared" si="1"/>
        <v>2</v>
      </c>
      <c r="K50" s="3">
        <f t="shared" si="2"/>
        <v>2</v>
      </c>
      <c r="L50" s="3">
        <f t="shared" si="3"/>
        <v>2</v>
      </c>
      <c r="M50" s="3">
        <f t="shared" si="4"/>
        <v>1</v>
      </c>
      <c r="N50" s="3">
        <f t="shared" si="5"/>
        <v>2</v>
      </c>
      <c r="O50" s="32"/>
      <c r="P50" s="3" cm="1">
        <f t="array" ref="P50">SUMPRODUCT(--(MOD(B50:G50,2)=1))</f>
        <v>2</v>
      </c>
      <c r="Q50" s="3">
        <f t="shared" si="6"/>
        <v>4</v>
      </c>
      <c r="R50" s="34"/>
      <c r="S50" s="3">
        <f t="shared" si="7"/>
        <v>4</v>
      </c>
      <c r="T50" s="3">
        <f t="shared" si="8"/>
        <v>2</v>
      </c>
      <c r="U50" s="34"/>
      <c r="V50" s="3" cm="1">
        <f t="array" ref="V50">SUMPRODUCT(--(MOD(B50:G50,10)&gt;=1), --(MOD(B50:G50,10)&lt;=5))</f>
        <v>3</v>
      </c>
      <c r="W50" s="3">
        <f t="shared" si="9"/>
        <v>3</v>
      </c>
      <c r="X50" s="34"/>
      <c r="Y50" s="3" cm="1">
        <f t="array" ref="Y50">IFERROR(COUNT(_xlfn._xlws.FILTER(B50:G50, ISNUMBER(MATCH(B50:G50, {2,3,5,7,11,13,17,19,23,29,31,37,41,43}, 0)))), 0)</f>
        <v>1</v>
      </c>
      <c r="Z50" s="3" cm="1">
        <f t="array" ref="Z50">IFERROR(COUNT(_xlfn._xlws.FILTER(B50:G50, ISNUMBER(MATCH(B50:G50, {1,4,8,10,14,16,20,22,25,26,28,32,34,35,38,40,44}, 0)))), 0)</f>
        <v>3</v>
      </c>
      <c r="AA50" s="3" cm="1">
        <f t="array" ref="AA50">IFERROR(COUNT(_xlfn._xlws.FILTER(B50:G50, ISNUMBER(MATCH(B50:G50, {6,9,12,15,18,21,24,27,30,33,36,39,42,45}, 0)))), 0)</f>
        <v>2</v>
      </c>
      <c r="AB50" s="30"/>
      <c r="AC50" s="26" t="str" cm="1">
        <f t="array" ref="AC50">_xlfn.IFS(
   OR(B50="",ISBLANK(B50),B50=0),0,
   ISNUMBER(MATCH(B50,{2,3,5,7,11,13,17,19,23,29,31,37,41,43},0)),"소",
   AND(ISNUMBER(B50),MOD(B50,3)=0),"배",
   AND(ISNUMBER(B50),B50&gt;0),"자"
)</f>
        <v>자</v>
      </c>
      <c r="AD50" s="26" t="str" cm="1">
        <f t="array" ref="AD50">_xlfn.IFS(
   OR(C50="",ISBLANK(C50),C50=0),0,
   ISNUMBER(MATCH(C50,{2,3,5,7,11,13,17,19,23,29,31,37,41,43},0)),"소",
   AND(ISNUMBER(C50),MOD(C50,3)=0),"배",
   AND(ISNUMBER(C50),C50&gt;0),"자"
)</f>
        <v>소</v>
      </c>
      <c r="AE50" s="26" t="str" cm="1">
        <f t="array" ref="AE50">_xlfn.IFS(
   OR(D50="",ISBLANK(D50),D50=0),0,
   ISNUMBER(MATCH(D50,{2,3,5,7,11,13,17,19,23,29,31,37,41,43},0)),"소",
   AND(ISNUMBER(D50),MOD(D50,3)=0),"배",
   AND(ISNUMBER(D50),D50&gt;0),"자"
)</f>
        <v>배</v>
      </c>
      <c r="AF50" s="26" t="str" cm="1">
        <f t="array" ref="AF50">_xlfn.IFS(
   OR(E50="",ISBLANK(E50),E50=0),0,
   ISNUMBER(MATCH(E50,{2,3,5,7,11,13,17,19,23,29,31,37,41,43},0)),"소",
   AND(ISNUMBER(E50),MOD(E50,3)=0),"배",
   AND(ISNUMBER(E50),E50&gt;0),"자"
)</f>
        <v>자</v>
      </c>
      <c r="AG50" s="26" t="str" cm="1">
        <f t="array" ref="AG50">_xlfn.IFS(
   OR(F50="",ISBLANK(F50),F50=0),0,
   ISNUMBER(MATCH(F50,{2,3,5,7,11,13,17,19,23,29,31,37,41,43},0)),"소",
   AND(ISNUMBER(F50),MOD(F50,3)=0),"배",
   AND(ISNUMBER(F50),F50&gt;0),"자"
)</f>
        <v>배</v>
      </c>
      <c r="AH50" s="26" t="str" cm="1">
        <f t="array" ref="AH50">_xlfn.IFS(
   OR(G50="",ISBLANK(G50),G50=0),0,
   ISNUMBER(MATCH(G50,{2,3,5,7,11,13,17,19,23,29,31,37,41,43},0)),"소",
   AND(ISNUMBER(G50),MOD(G50,3)=0),"배",
   AND(ISNUMBER(G50),G50&gt;0),"자"
)</f>
        <v>자</v>
      </c>
      <c r="AI50" s="30"/>
      <c r="AJ50" s="3">
        <f t="shared" si="10"/>
        <v>4</v>
      </c>
      <c r="AK50" s="3">
        <f t="shared" si="11"/>
        <v>1</v>
      </c>
      <c r="AL50" s="3">
        <f t="shared" si="12"/>
        <v>1</v>
      </c>
      <c r="AM50" s="33"/>
      <c r="AN50" s="3">
        <f t="shared" si="13"/>
        <v>3</v>
      </c>
      <c r="AO50" s="3">
        <f t="shared" si="14"/>
        <v>1</v>
      </c>
      <c r="AP50" s="3">
        <f t="shared" si="15"/>
        <v>1</v>
      </c>
      <c r="AQ50" s="3">
        <f t="shared" si="16"/>
        <v>0</v>
      </c>
      <c r="AR50" s="3">
        <f t="shared" si="17"/>
        <v>1</v>
      </c>
      <c r="AS50" s="28" t="e">
        <f>#REF!</f>
        <v>#REF!</v>
      </c>
      <c r="AT50" s="28" t="e">
        <f>#REF!*2</f>
        <v>#REF!</v>
      </c>
      <c r="AU50" s="28" t="e">
        <f>#REF!</f>
        <v>#REF!</v>
      </c>
      <c r="AV50" s="28" t="e">
        <f>#REF!*2</f>
        <v>#REF!</v>
      </c>
      <c r="AW50" s="28" t="e">
        <f>#REF!</f>
        <v>#REF!</v>
      </c>
      <c r="AX50" s="28" t="e">
        <f>#REF!*2</f>
        <v>#REF!</v>
      </c>
      <c r="AY50" s="28" t="e">
        <f>#REF!</f>
        <v>#REF!</v>
      </c>
      <c r="AZ50" s="28" t="e">
        <f>#REF!*2</f>
        <v>#REF!</v>
      </c>
      <c r="BA50" s="28" t="e">
        <f>#REF!</f>
        <v>#REF!</v>
      </c>
      <c r="BB50" s="28" t="e">
        <f>#REF!*2</f>
        <v>#REF!</v>
      </c>
      <c r="BC50" s="28" t="e">
        <f>#REF!</f>
        <v>#REF!</v>
      </c>
      <c r="BD50" s="28" t="e">
        <f>#REF!*2</f>
        <v>#REF!</v>
      </c>
      <c r="BE50" s="9" t="e">
        <f>#REF!-#REF!</f>
        <v>#REF!</v>
      </c>
      <c r="BF50" s="9" t="e">
        <f>#REF!-#REF!</f>
        <v>#REF!</v>
      </c>
      <c r="BG50" s="9" t="e">
        <f>#REF!-#REF!</f>
        <v>#REF!</v>
      </c>
      <c r="BH50" s="9" t="e">
        <f>#REF!-#REF!</f>
        <v>#REF!</v>
      </c>
      <c r="BI50" s="9" t="e">
        <f>#REF!-#REF!</f>
        <v>#REF!</v>
      </c>
      <c r="BJ50" s="33"/>
      <c r="BK50" s="3">
        <f t="shared" si="18"/>
        <v>3</v>
      </c>
      <c r="BL50" s="3">
        <f t="shared" si="19"/>
        <v>1</v>
      </c>
      <c r="BM50" s="3">
        <f t="shared" si="20"/>
        <v>1</v>
      </c>
      <c r="BN50" s="3">
        <f t="shared" si="21"/>
        <v>1</v>
      </c>
      <c r="BO50" s="3">
        <f t="shared" si="22"/>
        <v>0</v>
      </c>
      <c r="BP50" s="28" t="e">
        <f>#REF!</f>
        <v>#REF!</v>
      </c>
      <c r="BQ50" s="28" t="e">
        <f>#REF!*2</f>
        <v>#REF!</v>
      </c>
      <c r="BR50" s="28" t="e">
        <f>#REF!</f>
        <v>#REF!</v>
      </c>
      <c r="BS50" s="28" t="e">
        <f>#REF!*2</f>
        <v>#REF!</v>
      </c>
      <c r="BT50" s="28" t="e">
        <f>#REF!</f>
        <v>#REF!</v>
      </c>
      <c r="BU50" s="28" t="e">
        <f>#REF!*2</f>
        <v>#REF!</v>
      </c>
      <c r="BV50" s="28" t="e">
        <f>#REF!</f>
        <v>#REF!</v>
      </c>
      <c r="BW50" s="28" t="e">
        <f>#REF!*2</f>
        <v>#REF!</v>
      </c>
      <c r="BX50" s="28" t="e">
        <f>#REF!</f>
        <v>#REF!</v>
      </c>
      <c r="BY50" s="28" t="e">
        <f>#REF!*2</f>
        <v>#REF!</v>
      </c>
      <c r="BZ50" s="28" t="e">
        <f>#REF!</f>
        <v>#REF!</v>
      </c>
      <c r="CA50" s="28" t="e">
        <f>#REF!*2</f>
        <v>#REF!</v>
      </c>
      <c r="CB50" s="9">
        <f t="shared" si="23"/>
        <v>1</v>
      </c>
      <c r="CC50" s="9">
        <f t="shared" si="24"/>
        <v>4</v>
      </c>
      <c r="CD50" s="9">
        <f t="shared" si="25"/>
        <v>8</v>
      </c>
      <c r="CE50" s="9">
        <f t="shared" si="26"/>
        <v>13</v>
      </c>
      <c r="CF50" s="9">
        <f t="shared" si="27"/>
        <v>11</v>
      </c>
      <c r="CG50" s="33"/>
      <c r="CH50" s="9">
        <f t="shared" si="28"/>
        <v>1</v>
      </c>
      <c r="CI50" s="9">
        <f t="shared" si="29"/>
        <v>4</v>
      </c>
      <c r="CJ50" s="9">
        <f t="shared" si="30"/>
        <v>8</v>
      </c>
      <c r="CK50" s="9">
        <f t="shared" si="31"/>
        <v>13</v>
      </c>
      <c r="CL50" s="9">
        <f t="shared" si="32"/>
        <v>11</v>
      </c>
      <c r="CM50" s="32"/>
      <c r="CN50" s="3">
        <f t="shared" si="33"/>
        <v>1</v>
      </c>
      <c r="CO50" s="3">
        <f t="shared" si="34"/>
        <v>2</v>
      </c>
      <c r="CP50" s="3">
        <f t="shared" si="35"/>
        <v>2</v>
      </c>
      <c r="CQ50" s="3">
        <f t="shared" si="36"/>
        <v>1</v>
      </c>
      <c r="CR50" s="3">
        <f t="shared" si="37"/>
        <v>1</v>
      </c>
      <c r="CS50" s="31"/>
      <c r="CT50" s="3" cm="1">
        <f t="array" ref="CT50">SUMPRODUCT(--(MOD(CH50:CL50,2)=1))</f>
        <v>3</v>
      </c>
      <c r="CU50" s="3">
        <f t="shared" si="38"/>
        <v>2</v>
      </c>
      <c r="CV50" s="30"/>
      <c r="CW50" s="3" cm="1">
        <f t="array" ref="CW50">SUMPRODUCT(--(MOD(CH50:CL50,10)&gt;=1), --(MOD(CH50:CL50,10)&lt;=5))</f>
        <v>4</v>
      </c>
      <c r="CX50" s="3">
        <f t="shared" si="39"/>
        <v>1</v>
      </c>
      <c r="CY50" s="30"/>
      <c r="CZ50" s="3" cm="1">
        <f t="array" ref="CZ50">IFERROR(COUNT(_xlfn._xlws.FILTER(CH50:CL50, ISNUMBER(MATCH(CH50:CL50, {2,3,5,7,11,13,17,19,23,29,31,37,41,43}, 0)))), 0)</f>
        <v>2</v>
      </c>
      <c r="DA50" s="3" cm="1">
        <f t="array" ref="DA50">IFERROR(COUNT(_xlfn._xlws.FILTER(CH50:CL50, ISNUMBER(MATCH(CH50:CL50, {1,4,8,10,14,16,20,22,25,26,28,32,34,35,38,40,44}, 0)))), 0)</f>
        <v>3</v>
      </c>
      <c r="DB50" s="3" cm="1">
        <f t="array" ref="DB50">IFERROR(COUNT(_xlfn._xlws.FILTER(CH50:CL50, ISNUMBER(MATCH(CH50:CL50, {6,9,12,15,18,21,24,27,30,33,36,39,42,45}, 0)))), 0)</f>
        <v>0</v>
      </c>
      <c r="DC50" s="29"/>
      <c r="DD50" s="28" t="e">
        <f>#REF!</f>
        <v>#REF!</v>
      </c>
      <c r="DE50" s="28" t="e">
        <f>#REF!*2</f>
        <v>#REF!</v>
      </c>
      <c r="DF50" s="28" t="e">
        <f>#REF!</f>
        <v>#REF!</v>
      </c>
      <c r="DG50" s="28" t="e">
        <f>#REF!*2</f>
        <v>#REF!</v>
      </c>
      <c r="DH50" s="28" t="e">
        <f>#REF!</f>
        <v>#REF!</v>
      </c>
      <c r="DI50" s="28" t="e">
        <f>#REF!*2</f>
        <v>#REF!</v>
      </c>
      <c r="DJ50" s="28" t="e">
        <f>#REF!</f>
        <v>#REF!</v>
      </c>
      <c r="DK50" s="28" t="e">
        <f>#REF!*2</f>
        <v>#REF!</v>
      </c>
      <c r="DL50" s="28" t="e">
        <f>#REF!</f>
        <v>#REF!</v>
      </c>
      <c r="DM50" s="28" t="e">
        <f>#REF!*2</f>
        <v>#REF!</v>
      </c>
      <c r="DN50" s="27"/>
      <c r="DO50" s="26" t="str" cm="1">
        <f t="array" ref="DO50">_xlfn.IFS(
   OR(CH50="",ISBLANK(CH50),CH50=0),0,
   ISNUMBER(MATCH(CH50,{2,3,5,7,11,13,17,19,23,29,31,37,41,43},0)),"소",
   AND(ISNUMBER(CH50),MOD(CH50,3)=0),"배",
   AND(ISNUMBER(CH50),CH50&gt;0),"자"
)</f>
        <v>자</v>
      </c>
      <c r="DP50" s="26" t="str" cm="1">
        <f t="array" ref="DP50">_xlfn.IFS(
   OR(CI50="",ISBLANK(CI50),CI50=0),0,
   ISNUMBER(MATCH(CI50,{2,3,5,7,11,13,17,19,23,29,31,37,41,43},0)),"소",
   AND(ISNUMBER(CI50),MOD(CI50,3)=0),"배",
   AND(ISNUMBER(CI50),CI50&gt;0),"자"
)</f>
        <v>자</v>
      </c>
      <c r="DQ50" s="26" t="str" cm="1">
        <f t="array" ref="DQ50">_xlfn.IFS(
   OR(CJ50="",ISBLANK(CJ50),CJ50=0),0,
   ISNUMBER(MATCH(CJ50,{2,3,5,7,11,13,17,19,23,29,31,37,41,43},0)),"소",
   AND(ISNUMBER(CJ50),MOD(CJ50,3)=0),"배",
   AND(ISNUMBER(CJ50),CJ50&gt;0),"자"
)</f>
        <v>자</v>
      </c>
      <c r="DR50" s="26" t="str" cm="1">
        <f t="array" ref="DR50">_xlfn.IFS(
   OR(CK50="",ISBLANK(CK50),CK50=0),0,
   ISNUMBER(MATCH(CK50,{2,3,5,7,11,13,17,19,23,29,31,37,41,43},0)),"소",
   AND(ISNUMBER(CK50),MOD(CK50,3)=0),"배",
   AND(ISNUMBER(CK50),CK50&gt;0),"자"
)</f>
        <v>소</v>
      </c>
      <c r="DS50" s="26" t="str" cm="1">
        <f t="array" ref="DS50">_xlfn.IFS(
   OR(CL50="",ISBLANK(CL50),CL50=0),0,
   ISNUMBER(MATCH(CL50,{2,3,5,7,11,13,17,19,23,29,31,37,41,43},0)),"소",
   AND(ISNUMBER(CL50),MOD(CL50,3)=0),"배",
   AND(ISNUMBER(CL50),CL50&gt;0),"자"
)</f>
        <v>소</v>
      </c>
      <c r="DT50" s="25"/>
    </row>
    <row r="51" spans="2:124" x14ac:dyDescent="0.3">
      <c r="B51" s="3">
        <v>6</v>
      </c>
      <c r="C51" s="3">
        <v>7</v>
      </c>
      <c r="D51" s="3">
        <v>19</v>
      </c>
      <c r="E51" s="3">
        <v>28</v>
      </c>
      <c r="F51" s="3">
        <v>34</v>
      </c>
      <c r="G51" s="3">
        <v>41</v>
      </c>
      <c r="H51" s="32"/>
      <c r="I51" s="3">
        <f t="shared" si="0"/>
        <v>2</v>
      </c>
      <c r="J51" s="3">
        <f t="shared" si="1"/>
        <v>1</v>
      </c>
      <c r="K51" s="3">
        <f t="shared" si="2"/>
        <v>1</v>
      </c>
      <c r="L51" s="3">
        <f t="shared" si="3"/>
        <v>2</v>
      </c>
      <c r="M51" s="3">
        <f t="shared" si="4"/>
        <v>2</v>
      </c>
      <c r="N51" s="3">
        <f t="shared" si="5"/>
        <v>1</v>
      </c>
      <c r="O51" s="32"/>
      <c r="P51" s="3" cm="1">
        <f t="array" ref="P51">SUMPRODUCT(--(MOD(B51:G51,2)=1))</f>
        <v>3</v>
      </c>
      <c r="Q51" s="3">
        <f t="shared" si="6"/>
        <v>3</v>
      </c>
      <c r="R51" s="34"/>
      <c r="S51" s="3">
        <f t="shared" si="7"/>
        <v>3</v>
      </c>
      <c r="T51" s="3">
        <f t="shared" si="8"/>
        <v>3</v>
      </c>
      <c r="U51" s="34"/>
      <c r="V51" s="3" cm="1">
        <f t="array" ref="V51">SUMPRODUCT(--(MOD(B51:G51,10)&gt;=1), --(MOD(B51:G51,10)&lt;=5))</f>
        <v>2</v>
      </c>
      <c r="W51" s="3">
        <f t="shared" si="9"/>
        <v>4</v>
      </c>
      <c r="X51" s="34"/>
      <c r="Y51" s="3" cm="1">
        <f t="array" ref="Y51">IFERROR(COUNT(_xlfn._xlws.FILTER(B51:G51, ISNUMBER(MATCH(B51:G51, {2,3,5,7,11,13,17,19,23,29,31,37,41,43}, 0)))), 0)</f>
        <v>3</v>
      </c>
      <c r="Z51" s="3" cm="1">
        <f t="array" ref="Z51">IFERROR(COUNT(_xlfn._xlws.FILTER(B51:G51, ISNUMBER(MATCH(B51:G51, {1,4,8,10,14,16,20,22,25,26,28,32,34,35,38,40,44}, 0)))), 0)</f>
        <v>2</v>
      </c>
      <c r="AA51" s="3" cm="1">
        <f t="array" ref="AA51">IFERROR(COUNT(_xlfn._xlws.FILTER(B51:G51, ISNUMBER(MATCH(B51:G51, {6,9,12,15,18,21,24,27,30,33,36,39,42,45}, 0)))), 0)</f>
        <v>1</v>
      </c>
      <c r="AB51" s="30"/>
      <c r="AC51" s="26" t="str" cm="1">
        <f t="array" ref="AC51">_xlfn.IFS(
   OR(B51="",ISBLANK(B51),B51=0),0,
   ISNUMBER(MATCH(B51,{2,3,5,7,11,13,17,19,23,29,31,37,41,43},0)),"소",
   AND(ISNUMBER(B51),MOD(B51,3)=0),"배",
   AND(ISNUMBER(B51),B51&gt;0),"자"
)</f>
        <v>배</v>
      </c>
      <c r="AD51" s="26" t="str" cm="1">
        <f t="array" ref="AD51">_xlfn.IFS(
   OR(C51="",ISBLANK(C51),C51=0),0,
   ISNUMBER(MATCH(C51,{2,3,5,7,11,13,17,19,23,29,31,37,41,43},0)),"소",
   AND(ISNUMBER(C51),MOD(C51,3)=0),"배",
   AND(ISNUMBER(C51),C51&gt;0),"자"
)</f>
        <v>소</v>
      </c>
      <c r="AE51" s="26" t="str" cm="1">
        <f t="array" ref="AE51">_xlfn.IFS(
   OR(D51="",ISBLANK(D51),D51=0),0,
   ISNUMBER(MATCH(D51,{2,3,5,7,11,13,17,19,23,29,31,37,41,43},0)),"소",
   AND(ISNUMBER(D51),MOD(D51,3)=0),"배",
   AND(ISNUMBER(D51),D51&gt;0),"자"
)</f>
        <v>소</v>
      </c>
      <c r="AF51" s="26" t="str" cm="1">
        <f t="array" ref="AF51">_xlfn.IFS(
   OR(E51="",ISBLANK(E51),E51=0),0,
   ISNUMBER(MATCH(E51,{2,3,5,7,11,13,17,19,23,29,31,37,41,43},0)),"소",
   AND(ISNUMBER(E51),MOD(E51,3)=0),"배",
   AND(ISNUMBER(E51),E51&gt;0),"자"
)</f>
        <v>자</v>
      </c>
      <c r="AG51" s="26" t="str" cm="1">
        <f t="array" ref="AG51">_xlfn.IFS(
   OR(F51="",ISBLANK(F51),F51=0),0,
   ISNUMBER(MATCH(F51,{2,3,5,7,11,13,17,19,23,29,31,37,41,43},0)),"소",
   AND(ISNUMBER(F51),MOD(F51,3)=0),"배",
   AND(ISNUMBER(F51),F51&gt;0),"자"
)</f>
        <v>자</v>
      </c>
      <c r="AH51" s="26" t="str" cm="1">
        <f t="array" ref="AH51">_xlfn.IFS(
   OR(G51="",ISBLANK(G51),G51=0),0,
   ISNUMBER(MATCH(G51,{2,3,5,7,11,13,17,19,23,29,31,37,41,43},0)),"소",
   AND(ISNUMBER(G51),MOD(G51,3)=0),"배",
   AND(ISNUMBER(G51),G51&gt;0),"자"
)</f>
        <v>소</v>
      </c>
      <c r="AI51" s="30"/>
      <c r="AJ51" s="3">
        <f t="shared" si="10"/>
        <v>2</v>
      </c>
      <c r="AK51" s="3">
        <f t="shared" si="11"/>
        <v>2</v>
      </c>
      <c r="AL51" s="3">
        <f t="shared" si="12"/>
        <v>2</v>
      </c>
      <c r="AM51" s="33"/>
      <c r="AN51" s="3">
        <f t="shared" si="13"/>
        <v>2</v>
      </c>
      <c r="AO51" s="3">
        <f t="shared" si="14"/>
        <v>0</v>
      </c>
      <c r="AP51" s="3">
        <f t="shared" si="15"/>
        <v>1</v>
      </c>
      <c r="AQ51" s="3">
        <f t="shared" si="16"/>
        <v>2</v>
      </c>
      <c r="AR51" s="3">
        <f t="shared" si="17"/>
        <v>1</v>
      </c>
      <c r="AS51" s="28" t="e">
        <f>#REF!</f>
        <v>#REF!</v>
      </c>
      <c r="AT51" s="28" t="e">
        <f>#REF!*2</f>
        <v>#REF!</v>
      </c>
      <c r="AU51" s="28" t="e">
        <f>#REF!</f>
        <v>#REF!</v>
      </c>
      <c r="AV51" s="28" t="e">
        <f>#REF!*2</f>
        <v>#REF!</v>
      </c>
      <c r="AW51" s="28" t="e">
        <f>#REF!</f>
        <v>#REF!</v>
      </c>
      <c r="AX51" s="28" t="e">
        <f>#REF!*2</f>
        <v>#REF!</v>
      </c>
      <c r="AY51" s="28" t="e">
        <f>#REF!</f>
        <v>#REF!</v>
      </c>
      <c r="AZ51" s="28" t="e">
        <f>#REF!*2</f>
        <v>#REF!</v>
      </c>
      <c r="BA51" s="28" t="e">
        <f>#REF!</f>
        <v>#REF!</v>
      </c>
      <c r="BB51" s="28" t="e">
        <f>#REF!*2</f>
        <v>#REF!</v>
      </c>
      <c r="BC51" s="28" t="e">
        <f>#REF!</f>
        <v>#REF!</v>
      </c>
      <c r="BD51" s="28" t="e">
        <f>#REF!*2</f>
        <v>#REF!</v>
      </c>
      <c r="BE51" s="9" t="e">
        <f>#REF!-#REF!</f>
        <v>#REF!</v>
      </c>
      <c r="BF51" s="9" t="e">
        <f>#REF!-#REF!</f>
        <v>#REF!</v>
      </c>
      <c r="BG51" s="9" t="e">
        <f>#REF!-#REF!</f>
        <v>#REF!</v>
      </c>
      <c r="BH51" s="9" t="e">
        <f>#REF!-#REF!</f>
        <v>#REF!</v>
      </c>
      <c r="BI51" s="9" t="e">
        <f>#REF!-#REF!</f>
        <v>#REF!</v>
      </c>
      <c r="BJ51" s="33"/>
      <c r="BK51" s="3">
        <f t="shared" si="18"/>
        <v>2</v>
      </c>
      <c r="BL51" s="3">
        <f t="shared" si="19"/>
        <v>1</v>
      </c>
      <c r="BM51" s="3">
        <f t="shared" si="20"/>
        <v>1</v>
      </c>
      <c r="BN51" s="3">
        <f t="shared" si="21"/>
        <v>1</v>
      </c>
      <c r="BO51" s="3">
        <f t="shared" si="22"/>
        <v>1</v>
      </c>
      <c r="BP51" s="28" t="e">
        <f>#REF!</f>
        <v>#REF!</v>
      </c>
      <c r="BQ51" s="28" t="e">
        <f>#REF!*2</f>
        <v>#REF!</v>
      </c>
      <c r="BR51" s="28" t="e">
        <f>#REF!</f>
        <v>#REF!</v>
      </c>
      <c r="BS51" s="28" t="e">
        <f>#REF!*2</f>
        <v>#REF!</v>
      </c>
      <c r="BT51" s="28" t="e">
        <f>#REF!</f>
        <v>#REF!</v>
      </c>
      <c r="BU51" s="28" t="e">
        <f>#REF!*2</f>
        <v>#REF!</v>
      </c>
      <c r="BV51" s="28" t="e">
        <f>#REF!</f>
        <v>#REF!</v>
      </c>
      <c r="BW51" s="28" t="e">
        <f>#REF!*2</f>
        <v>#REF!</v>
      </c>
      <c r="BX51" s="28" t="e">
        <f>#REF!</f>
        <v>#REF!</v>
      </c>
      <c r="BY51" s="28" t="e">
        <f>#REF!*2</f>
        <v>#REF!</v>
      </c>
      <c r="BZ51" s="28" t="e">
        <f>#REF!</f>
        <v>#REF!</v>
      </c>
      <c r="CA51" s="28" t="e">
        <f>#REF!*2</f>
        <v>#REF!</v>
      </c>
      <c r="CB51" s="9">
        <f t="shared" si="23"/>
        <v>1</v>
      </c>
      <c r="CC51" s="9">
        <f t="shared" si="24"/>
        <v>12</v>
      </c>
      <c r="CD51" s="9">
        <f t="shared" si="25"/>
        <v>9</v>
      </c>
      <c r="CE51" s="9">
        <f t="shared" si="26"/>
        <v>6</v>
      </c>
      <c r="CF51" s="9">
        <f t="shared" si="27"/>
        <v>7</v>
      </c>
      <c r="CG51" s="33"/>
      <c r="CH51" s="9">
        <f t="shared" si="28"/>
        <v>1</v>
      </c>
      <c r="CI51" s="9">
        <f t="shared" si="29"/>
        <v>12</v>
      </c>
      <c r="CJ51" s="9">
        <f t="shared" si="30"/>
        <v>9</v>
      </c>
      <c r="CK51" s="9">
        <f t="shared" si="31"/>
        <v>6</v>
      </c>
      <c r="CL51" s="9">
        <f t="shared" si="32"/>
        <v>7</v>
      </c>
      <c r="CM51" s="32"/>
      <c r="CN51" s="3">
        <f t="shared" si="33"/>
        <v>1</v>
      </c>
      <c r="CO51" s="3">
        <f t="shared" si="34"/>
        <v>2</v>
      </c>
      <c r="CP51" s="3">
        <f t="shared" si="35"/>
        <v>1</v>
      </c>
      <c r="CQ51" s="3">
        <f t="shared" si="36"/>
        <v>2</v>
      </c>
      <c r="CR51" s="3">
        <f t="shared" si="37"/>
        <v>1</v>
      </c>
      <c r="CS51" s="31"/>
      <c r="CT51" s="3" cm="1">
        <f t="array" ref="CT51">SUMPRODUCT(--(MOD(CH51:CL51,2)=1))</f>
        <v>3</v>
      </c>
      <c r="CU51" s="3">
        <f t="shared" si="38"/>
        <v>2</v>
      </c>
      <c r="CV51" s="30"/>
      <c r="CW51" s="3" cm="1">
        <f t="array" ref="CW51">SUMPRODUCT(--(MOD(CH51:CL51,10)&gt;=1), --(MOD(CH51:CL51,10)&lt;=5))</f>
        <v>2</v>
      </c>
      <c r="CX51" s="3">
        <f t="shared" si="39"/>
        <v>3</v>
      </c>
      <c r="CY51" s="30"/>
      <c r="CZ51" s="3" cm="1">
        <f t="array" ref="CZ51">IFERROR(COUNT(_xlfn._xlws.FILTER(CH51:CL51, ISNUMBER(MATCH(CH51:CL51, {2,3,5,7,11,13,17,19,23,29,31,37,41,43}, 0)))), 0)</f>
        <v>1</v>
      </c>
      <c r="DA51" s="3" cm="1">
        <f t="array" ref="DA51">IFERROR(COUNT(_xlfn._xlws.FILTER(CH51:CL51, ISNUMBER(MATCH(CH51:CL51, {1,4,8,10,14,16,20,22,25,26,28,32,34,35,38,40,44}, 0)))), 0)</f>
        <v>1</v>
      </c>
      <c r="DB51" s="3" cm="1">
        <f t="array" ref="DB51">IFERROR(COUNT(_xlfn._xlws.FILTER(CH51:CL51, ISNUMBER(MATCH(CH51:CL51, {6,9,12,15,18,21,24,27,30,33,36,39,42,45}, 0)))), 0)</f>
        <v>3</v>
      </c>
      <c r="DC51" s="29"/>
      <c r="DD51" s="28" t="e">
        <f>#REF!</f>
        <v>#REF!</v>
      </c>
      <c r="DE51" s="28" t="e">
        <f>#REF!*2</f>
        <v>#REF!</v>
      </c>
      <c r="DF51" s="28" t="e">
        <f>#REF!</f>
        <v>#REF!</v>
      </c>
      <c r="DG51" s="28" t="e">
        <f>#REF!*2</f>
        <v>#REF!</v>
      </c>
      <c r="DH51" s="28" t="e">
        <f>#REF!</f>
        <v>#REF!</v>
      </c>
      <c r="DI51" s="28" t="e">
        <f>#REF!*2</f>
        <v>#REF!</v>
      </c>
      <c r="DJ51" s="28" t="e">
        <f>#REF!</f>
        <v>#REF!</v>
      </c>
      <c r="DK51" s="28" t="e">
        <f>#REF!*2</f>
        <v>#REF!</v>
      </c>
      <c r="DL51" s="28" t="e">
        <f>#REF!</f>
        <v>#REF!</v>
      </c>
      <c r="DM51" s="28" t="e">
        <f>#REF!*2</f>
        <v>#REF!</v>
      </c>
      <c r="DN51" s="27"/>
      <c r="DO51" s="26" t="str" cm="1">
        <f t="array" ref="DO51">_xlfn.IFS(
   OR(CH51="",ISBLANK(CH51),CH51=0),0,
   ISNUMBER(MATCH(CH51,{2,3,5,7,11,13,17,19,23,29,31,37,41,43},0)),"소",
   AND(ISNUMBER(CH51),MOD(CH51,3)=0),"배",
   AND(ISNUMBER(CH51),CH51&gt;0),"자"
)</f>
        <v>자</v>
      </c>
      <c r="DP51" s="26" t="str" cm="1">
        <f t="array" ref="DP51">_xlfn.IFS(
   OR(CI51="",ISBLANK(CI51),CI51=0),0,
   ISNUMBER(MATCH(CI51,{2,3,5,7,11,13,17,19,23,29,31,37,41,43},0)),"소",
   AND(ISNUMBER(CI51),MOD(CI51,3)=0),"배",
   AND(ISNUMBER(CI51),CI51&gt;0),"자"
)</f>
        <v>배</v>
      </c>
      <c r="DQ51" s="26" t="str" cm="1">
        <f t="array" ref="DQ51">_xlfn.IFS(
   OR(CJ51="",ISBLANK(CJ51),CJ51=0),0,
   ISNUMBER(MATCH(CJ51,{2,3,5,7,11,13,17,19,23,29,31,37,41,43},0)),"소",
   AND(ISNUMBER(CJ51),MOD(CJ51,3)=0),"배",
   AND(ISNUMBER(CJ51),CJ51&gt;0),"자"
)</f>
        <v>배</v>
      </c>
      <c r="DR51" s="26" t="str" cm="1">
        <f t="array" ref="DR51">_xlfn.IFS(
   OR(CK51="",ISBLANK(CK51),CK51=0),0,
   ISNUMBER(MATCH(CK51,{2,3,5,7,11,13,17,19,23,29,31,37,41,43},0)),"소",
   AND(ISNUMBER(CK51),MOD(CK51,3)=0),"배",
   AND(ISNUMBER(CK51),CK51&gt;0),"자"
)</f>
        <v>배</v>
      </c>
      <c r="DS51" s="26" t="str" cm="1">
        <f t="array" ref="DS51">_xlfn.IFS(
   OR(CL51="",ISBLANK(CL51),CL51=0),0,
   ISNUMBER(MATCH(CL51,{2,3,5,7,11,13,17,19,23,29,31,37,41,43},0)),"소",
   AND(ISNUMBER(CL51),MOD(CL51,3)=0),"배",
   AND(ISNUMBER(CL51),CL51&gt;0),"자"
)</f>
        <v>소</v>
      </c>
      <c r="DT51" s="25"/>
    </row>
    <row r="52" spans="2:124" x14ac:dyDescent="0.3">
      <c r="B52" s="3">
        <v>13</v>
      </c>
      <c r="C52" s="3">
        <v>14</v>
      </c>
      <c r="D52" s="3">
        <v>20</v>
      </c>
      <c r="E52" s="3">
        <v>28</v>
      </c>
      <c r="F52" s="3">
        <v>29</v>
      </c>
      <c r="G52" s="3">
        <v>34</v>
      </c>
      <c r="H52" s="32"/>
      <c r="I52" s="3">
        <f t="shared" si="0"/>
        <v>1</v>
      </c>
      <c r="J52" s="3">
        <f t="shared" si="1"/>
        <v>2</v>
      </c>
      <c r="K52" s="3">
        <f t="shared" si="2"/>
        <v>2</v>
      </c>
      <c r="L52" s="3">
        <f t="shared" si="3"/>
        <v>2</v>
      </c>
      <c r="M52" s="3">
        <f t="shared" si="4"/>
        <v>1</v>
      </c>
      <c r="N52" s="3">
        <f t="shared" si="5"/>
        <v>2</v>
      </c>
      <c r="O52" s="32"/>
      <c r="P52" s="3" cm="1">
        <f t="array" ref="P52">SUMPRODUCT(--(MOD(B52:G52,2)=1))</f>
        <v>2</v>
      </c>
      <c r="Q52" s="3">
        <f t="shared" si="6"/>
        <v>4</v>
      </c>
      <c r="R52" s="34"/>
      <c r="S52" s="3">
        <f t="shared" si="7"/>
        <v>3</v>
      </c>
      <c r="T52" s="3">
        <f t="shared" si="8"/>
        <v>3</v>
      </c>
      <c r="U52" s="34"/>
      <c r="V52" s="3" cm="1">
        <f t="array" ref="V52">SUMPRODUCT(--(MOD(B52:G52,10)&gt;=1), --(MOD(B52:G52,10)&lt;=5))</f>
        <v>3</v>
      </c>
      <c r="W52" s="3">
        <f t="shared" si="9"/>
        <v>3</v>
      </c>
      <c r="X52" s="34"/>
      <c r="Y52" s="3" cm="1">
        <f t="array" ref="Y52">IFERROR(COUNT(_xlfn._xlws.FILTER(B52:G52, ISNUMBER(MATCH(B52:G52, {2,3,5,7,11,13,17,19,23,29,31,37,41,43}, 0)))), 0)</f>
        <v>2</v>
      </c>
      <c r="Z52" s="3" cm="1">
        <f t="array" ref="Z52">IFERROR(COUNT(_xlfn._xlws.FILTER(B52:G52, ISNUMBER(MATCH(B52:G52, {1,4,8,10,14,16,20,22,25,26,28,32,34,35,38,40,44}, 0)))), 0)</f>
        <v>4</v>
      </c>
      <c r="AA52" s="3" cm="1">
        <f t="array" ref="AA52">IFERROR(COUNT(_xlfn._xlws.FILTER(B52:G52, ISNUMBER(MATCH(B52:G52, {6,9,12,15,18,21,24,27,30,33,36,39,42,45}, 0)))), 0)</f>
        <v>0</v>
      </c>
      <c r="AB52" s="30"/>
      <c r="AC52" s="26" t="str" cm="1">
        <f t="array" ref="AC52">_xlfn.IFS(
   OR(B52="",ISBLANK(B52),B52=0),0,
   ISNUMBER(MATCH(B52,{2,3,5,7,11,13,17,19,23,29,31,37,41,43},0)),"소",
   AND(ISNUMBER(B52),MOD(B52,3)=0),"배",
   AND(ISNUMBER(B52),B52&gt;0),"자"
)</f>
        <v>소</v>
      </c>
      <c r="AD52" s="26" t="str" cm="1">
        <f t="array" ref="AD52">_xlfn.IFS(
   OR(C52="",ISBLANK(C52),C52=0),0,
   ISNUMBER(MATCH(C52,{2,3,5,7,11,13,17,19,23,29,31,37,41,43},0)),"소",
   AND(ISNUMBER(C52),MOD(C52,3)=0),"배",
   AND(ISNUMBER(C52),C52&gt;0),"자"
)</f>
        <v>자</v>
      </c>
      <c r="AE52" s="26" t="str" cm="1">
        <f t="array" ref="AE52">_xlfn.IFS(
   OR(D52="",ISBLANK(D52),D52=0),0,
   ISNUMBER(MATCH(D52,{2,3,5,7,11,13,17,19,23,29,31,37,41,43},0)),"소",
   AND(ISNUMBER(D52),MOD(D52,3)=0),"배",
   AND(ISNUMBER(D52),D52&gt;0),"자"
)</f>
        <v>자</v>
      </c>
      <c r="AF52" s="26" t="str" cm="1">
        <f t="array" ref="AF52">_xlfn.IFS(
   OR(E52="",ISBLANK(E52),E52=0),0,
   ISNUMBER(MATCH(E52,{2,3,5,7,11,13,17,19,23,29,31,37,41,43},0)),"소",
   AND(ISNUMBER(E52),MOD(E52,3)=0),"배",
   AND(ISNUMBER(E52),E52&gt;0),"자"
)</f>
        <v>자</v>
      </c>
      <c r="AG52" s="26" t="str" cm="1">
        <f t="array" ref="AG52">_xlfn.IFS(
   OR(F52="",ISBLANK(F52),F52=0),0,
   ISNUMBER(MATCH(F52,{2,3,5,7,11,13,17,19,23,29,31,37,41,43},0)),"소",
   AND(ISNUMBER(F52),MOD(F52,3)=0),"배",
   AND(ISNUMBER(F52),F52&gt;0),"자"
)</f>
        <v>소</v>
      </c>
      <c r="AH52" s="26" t="str" cm="1">
        <f t="array" ref="AH52">_xlfn.IFS(
   OR(G52="",ISBLANK(G52),G52=0),0,
   ISNUMBER(MATCH(G52,{2,3,5,7,11,13,17,19,23,29,31,37,41,43},0)),"소",
   AND(ISNUMBER(G52),MOD(G52,3)=0),"배",
   AND(ISNUMBER(G52),G52&gt;0),"자"
)</f>
        <v>자</v>
      </c>
      <c r="AI52" s="30"/>
      <c r="AJ52" s="3">
        <f t="shared" si="10"/>
        <v>2</v>
      </c>
      <c r="AK52" s="3">
        <f t="shared" si="11"/>
        <v>3</v>
      </c>
      <c r="AL52" s="3">
        <f t="shared" si="12"/>
        <v>1</v>
      </c>
      <c r="AM52" s="33"/>
      <c r="AN52" s="3">
        <f t="shared" si="13"/>
        <v>0</v>
      </c>
      <c r="AO52" s="3">
        <f t="shared" si="14"/>
        <v>2</v>
      </c>
      <c r="AP52" s="3">
        <f t="shared" si="15"/>
        <v>1</v>
      </c>
      <c r="AQ52" s="3">
        <f t="shared" si="16"/>
        <v>3</v>
      </c>
      <c r="AR52" s="3">
        <f t="shared" si="17"/>
        <v>0</v>
      </c>
      <c r="AS52" s="28" t="e">
        <f>#REF!</f>
        <v>#REF!</v>
      </c>
      <c r="AT52" s="28" t="e">
        <f>#REF!*2</f>
        <v>#REF!</v>
      </c>
      <c r="AU52" s="28" t="e">
        <f>#REF!</f>
        <v>#REF!</v>
      </c>
      <c r="AV52" s="28" t="e">
        <f>#REF!*2</f>
        <v>#REF!</v>
      </c>
      <c r="AW52" s="28" t="e">
        <f>#REF!</f>
        <v>#REF!</v>
      </c>
      <c r="AX52" s="28" t="e">
        <f>#REF!*2</f>
        <v>#REF!</v>
      </c>
      <c r="AY52" s="28" t="e">
        <f>#REF!</f>
        <v>#REF!</v>
      </c>
      <c r="AZ52" s="28" t="e">
        <f>#REF!*2</f>
        <v>#REF!</v>
      </c>
      <c r="BA52" s="28" t="e">
        <f>#REF!</f>
        <v>#REF!</v>
      </c>
      <c r="BB52" s="28" t="e">
        <f>#REF!*2</f>
        <v>#REF!</v>
      </c>
      <c r="BC52" s="28" t="e">
        <f>#REF!</f>
        <v>#REF!</v>
      </c>
      <c r="BD52" s="28" t="e">
        <f>#REF!*2</f>
        <v>#REF!</v>
      </c>
      <c r="BE52" s="9" t="e">
        <f>#REF!-#REF!</f>
        <v>#REF!</v>
      </c>
      <c r="BF52" s="9" t="e">
        <f>#REF!-#REF!</f>
        <v>#REF!</v>
      </c>
      <c r="BG52" s="9" t="e">
        <f>#REF!-#REF!</f>
        <v>#REF!</v>
      </c>
      <c r="BH52" s="9" t="e">
        <f>#REF!-#REF!</f>
        <v>#REF!</v>
      </c>
      <c r="BI52" s="9" t="e">
        <f>#REF!-#REF!</f>
        <v>#REF!</v>
      </c>
      <c r="BJ52" s="33"/>
      <c r="BK52" s="3">
        <f t="shared" si="18"/>
        <v>0</v>
      </c>
      <c r="BL52" s="3">
        <f t="shared" si="19"/>
        <v>2</v>
      </c>
      <c r="BM52" s="3">
        <f t="shared" si="20"/>
        <v>3</v>
      </c>
      <c r="BN52" s="3">
        <f t="shared" si="21"/>
        <v>1</v>
      </c>
      <c r="BO52" s="3">
        <f t="shared" si="22"/>
        <v>0</v>
      </c>
      <c r="BP52" s="28" t="e">
        <f>#REF!</f>
        <v>#REF!</v>
      </c>
      <c r="BQ52" s="28" t="e">
        <f>#REF!*2</f>
        <v>#REF!</v>
      </c>
      <c r="BR52" s="28" t="e">
        <f>#REF!</f>
        <v>#REF!</v>
      </c>
      <c r="BS52" s="28" t="e">
        <f>#REF!*2</f>
        <v>#REF!</v>
      </c>
      <c r="BT52" s="28" t="e">
        <f>#REF!</f>
        <v>#REF!</v>
      </c>
      <c r="BU52" s="28" t="e">
        <f>#REF!*2</f>
        <v>#REF!</v>
      </c>
      <c r="BV52" s="28" t="e">
        <f>#REF!</f>
        <v>#REF!</v>
      </c>
      <c r="BW52" s="28" t="e">
        <f>#REF!*2</f>
        <v>#REF!</v>
      </c>
      <c r="BX52" s="28" t="e">
        <f>#REF!</f>
        <v>#REF!</v>
      </c>
      <c r="BY52" s="28" t="e">
        <f>#REF!*2</f>
        <v>#REF!</v>
      </c>
      <c r="BZ52" s="28" t="e">
        <f>#REF!</f>
        <v>#REF!</v>
      </c>
      <c r="CA52" s="28" t="e">
        <f>#REF!*2</f>
        <v>#REF!</v>
      </c>
      <c r="CB52" s="9">
        <f t="shared" si="23"/>
        <v>1</v>
      </c>
      <c r="CC52" s="9">
        <f t="shared" si="24"/>
        <v>6</v>
      </c>
      <c r="CD52" s="9">
        <f t="shared" si="25"/>
        <v>8</v>
      </c>
      <c r="CE52" s="9">
        <f t="shared" si="26"/>
        <v>1</v>
      </c>
      <c r="CF52" s="9">
        <f t="shared" si="27"/>
        <v>5</v>
      </c>
      <c r="CG52" s="33"/>
      <c r="CH52" s="9">
        <f t="shared" si="28"/>
        <v>1</v>
      </c>
      <c r="CI52" s="9">
        <f t="shared" si="29"/>
        <v>6</v>
      </c>
      <c r="CJ52" s="9">
        <f t="shared" si="30"/>
        <v>8</v>
      </c>
      <c r="CK52" s="9">
        <f t="shared" si="31"/>
        <v>1</v>
      </c>
      <c r="CL52" s="9">
        <f t="shared" si="32"/>
        <v>5</v>
      </c>
      <c r="CM52" s="32"/>
      <c r="CN52" s="3">
        <f t="shared" si="33"/>
        <v>1</v>
      </c>
      <c r="CO52" s="3">
        <f t="shared" si="34"/>
        <v>2</v>
      </c>
      <c r="CP52" s="3">
        <f t="shared" si="35"/>
        <v>2</v>
      </c>
      <c r="CQ52" s="3">
        <f t="shared" si="36"/>
        <v>1</v>
      </c>
      <c r="CR52" s="3">
        <f t="shared" si="37"/>
        <v>1</v>
      </c>
      <c r="CS52" s="31"/>
      <c r="CT52" s="3" cm="1">
        <f t="array" ref="CT52">SUMPRODUCT(--(MOD(CH52:CL52,2)=1))</f>
        <v>3</v>
      </c>
      <c r="CU52" s="3">
        <f t="shared" si="38"/>
        <v>2</v>
      </c>
      <c r="CV52" s="30"/>
      <c r="CW52" s="3" cm="1">
        <f t="array" ref="CW52">SUMPRODUCT(--(MOD(CH52:CL52,10)&gt;=1), --(MOD(CH52:CL52,10)&lt;=5))</f>
        <v>3</v>
      </c>
      <c r="CX52" s="3">
        <f t="shared" si="39"/>
        <v>2</v>
      </c>
      <c r="CY52" s="30"/>
      <c r="CZ52" s="3" cm="1">
        <f t="array" ref="CZ52">IFERROR(COUNT(_xlfn._xlws.FILTER(CH52:CL52, ISNUMBER(MATCH(CH52:CL52, {2,3,5,7,11,13,17,19,23,29,31,37,41,43}, 0)))), 0)</f>
        <v>1</v>
      </c>
      <c r="DA52" s="3" cm="1">
        <f t="array" ref="DA52">IFERROR(COUNT(_xlfn._xlws.FILTER(CH52:CL52, ISNUMBER(MATCH(CH52:CL52, {1,4,8,10,14,16,20,22,25,26,28,32,34,35,38,40,44}, 0)))), 0)</f>
        <v>3</v>
      </c>
      <c r="DB52" s="3" cm="1">
        <f t="array" ref="DB52">IFERROR(COUNT(_xlfn._xlws.FILTER(CH52:CL52, ISNUMBER(MATCH(CH52:CL52, {6,9,12,15,18,21,24,27,30,33,36,39,42,45}, 0)))), 0)</f>
        <v>1</v>
      </c>
      <c r="DC52" s="29"/>
      <c r="DD52" s="28" t="e">
        <f>#REF!</f>
        <v>#REF!</v>
      </c>
      <c r="DE52" s="28" t="e">
        <f>#REF!*2</f>
        <v>#REF!</v>
      </c>
      <c r="DF52" s="28" t="e">
        <f>#REF!</f>
        <v>#REF!</v>
      </c>
      <c r="DG52" s="28" t="e">
        <f>#REF!*2</f>
        <v>#REF!</v>
      </c>
      <c r="DH52" s="28" t="e">
        <f>#REF!</f>
        <v>#REF!</v>
      </c>
      <c r="DI52" s="28" t="e">
        <f>#REF!*2</f>
        <v>#REF!</v>
      </c>
      <c r="DJ52" s="28" t="e">
        <f>#REF!</f>
        <v>#REF!</v>
      </c>
      <c r="DK52" s="28" t="e">
        <f>#REF!*2</f>
        <v>#REF!</v>
      </c>
      <c r="DL52" s="28" t="e">
        <f>#REF!</f>
        <v>#REF!</v>
      </c>
      <c r="DM52" s="28" t="e">
        <f>#REF!*2</f>
        <v>#REF!</v>
      </c>
      <c r="DN52" s="27"/>
      <c r="DO52" s="26" t="str" cm="1">
        <f t="array" ref="DO52">_xlfn.IFS(
   OR(CH52="",ISBLANK(CH52),CH52=0),0,
   ISNUMBER(MATCH(CH52,{2,3,5,7,11,13,17,19,23,29,31,37,41,43},0)),"소",
   AND(ISNUMBER(CH52),MOD(CH52,3)=0),"배",
   AND(ISNUMBER(CH52),CH52&gt;0),"자"
)</f>
        <v>자</v>
      </c>
      <c r="DP52" s="26" t="str" cm="1">
        <f t="array" ref="DP52">_xlfn.IFS(
   OR(CI52="",ISBLANK(CI52),CI52=0),0,
   ISNUMBER(MATCH(CI52,{2,3,5,7,11,13,17,19,23,29,31,37,41,43},0)),"소",
   AND(ISNUMBER(CI52),MOD(CI52,3)=0),"배",
   AND(ISNUMBER(CI52),CI52&gt;0),"자"
)</f>
        <v>배</v>
      </c>
      <c r="DQ52" s="26" t="str" cm="1">
        <f t="array" ref="DQ52">_xlfn.IFS(
   OR(CJ52="",ISBLANK(CJ52),CJ52=0),0,
   ISNUMBER(MATCH(CJ52,{2,3,5,7,11,13,17,19,23,29,31,37,41,43},0)),"소",
   AND(ISNUMBER(CJ52),MOD(CJ52,3)=0),"배",
   AND(ISNUMBER(CJ52),CJ52&gt;0),"자"
)</f>
        <v>자</v>
      </c>
      <c r="DR52" s="26" t="str" cm="1">
        <f t="array" ref="DR52">_xlfn.IFS(
   OR(CK52="",ISBLANK(CK52),CK52=0),0,
   ISNUMBER(MATCH(CK52,{2,3,5,7,11,13,17,19,23,29,31,37,41,43},0)),"소",
   AND(ISNUMBER(CK52),MOD(CK52,3)=0),"배",
   AND(ISNUMBER(CK52),CK52&gt;0),"자"
)</f>
        <v>자</v>
      </c>
      <c r="DS52" s="26" t="str" cm="1">
        <f t="array" ref="DS52">_xlfn.IFS(
   OR(CL52="",ISBLANK(CL52),CL52=0),0,
   ISNUMBER(MATCH(CL52,{2,3,5,7,11,13,17,19,23,29,31,37,41,43},0)),"소",
   AND(ISNUMBER(CL52),MOD(CL52,3)=0),"배",
   AND(ISNUMBER(CL52),CL52&gt;0),"자"
)</f>
        <v>소</v>
      </c>
      <c r="DT52" s="25"/>
    </row>
    <row r="53" spans="2:124" x14ac:dyDescent="0.3">
      <c r="B53" s="3">
        <v>3</v>
      </c>
      <c r="C53" s="3">
        <v>7</v>
      </c>
      <c r="D53" s="3">
        <v>9</v>
      </c>
      <c r="E53" s="3">
        <v>13</v>
      </c>
      <c r="F53" s="3">
        <v>19</v>
      </c>
      <c r="G53" s="3">
        <v>24</v>
      </c>
      <c r="H53" s="32"/>
      <c r="I53" s="3">
        <f t="shared" si="0"/>
        <v>1</v>
      </c>
      <c r="J53" s="3">
        <f t="shared" si="1"/>
        <v>1</v>
      </c>
      <c r="K53" s="3">
        <f t="shared" si="2"/>
        <v>1</v>
      </c>
      <c r="L53" s="3">
        <f t="shared" si="3"/>
        <v>1</v>
      </c>
      <c r="M53" s="3">
        <f t="shared" si="4"/>
        <v>1</v>
      </c>
      <c r="N53" s="3">
        <f t="shared" si="5"/>
        <v>2</v>
      </c>
      <c r="O53" s="32"/>
      <c r="P53" s="3" cm="1">
        <f t="array" ref="P53">SUMPRODUCT(--(MOD(B53:G53,2)=1))</f>
        <v>5</v>
      </c>
      <c r="Q53" s="3">
        <f t="shared" si="6"/>
        <v>1</v>
      </c>
      <c r="R53" s="34"/>
      <c r="S53" s="3">
        <f t="shared" si="7"/>
        <v>5</v>
      </c>
      <c r="T53" s="3">
        <f t="shared" si="8"/>
        <v>1</v>
      </c>
      <c r="U53" s="34"/>
      <c r="V53" s="3" cm="1">
        <f t="array" ref="V53">SUMPRODUCT(--(MOD(B53:G53,10)&gt;=1), --(MOD(B53:G53,10)&lt;=5))</f>
        <v>3</v>
      </c>
      <c r="W53" s="3">
        <f t="shared" si="9"/>
        <v>3</v>
      </c>
      <c r="X53" s="34"/>
      <c r="Y53" s="3" cm="1">
        <f t="array" ref="Y53">IFERROR(COUNT(_xlfn._xlws.FILTER(B53:G53, ISNUMBER(MATCH(B53:G53, {2,3,5,7,11,13,17,19,23,29,31,37,41,43}, 0)))), 0)</f>
        <v>4</v>
      </c>
      <c r="Z53" s="3" cm="1">
        <f t="array" ref="Z53">IFERROR(COUNT(_xlfn._xlws.FILTER(B53:G53, ISNUMBER(MATCH(B53:G53, {1,4,8,10,14,16,20,22,25,26,28,32,34,35,38,40,44}, 0)))), 0)</f>
        <v>0</v>
      </c>
      <c r="AA53" s="3" cm="1">
        <f t="array" ref="AA53">IFERROR(COUNT(_xlfn._xlws.FILTER(B53:G53, ISNUMBER(MATCH(B53:G53, {6,9,12,15,18,21,24,27,30,33,36,39,42,45}, 0)))), 0)</f>
        <v>2</v>
      </c>
      <c r="AB53" s="30"/>
      <c r="AC53" s="26" t="str" cm="1">
        <f t="array" ref="AC53">_xlfn.IFS(
   OR(B53="",ISBLANK(B53),B53=0),0,
   ISNUMBER(MATCH(B53,{2,3,5,7,11,13,17,19,23,29,31,37,41,43},0)),"소",
   AND(ISNUMBER(B53),MOD(B53,3)=0),"배",
   AND(ISNUMBER(B53),B53&gt;0),"자"
)</f>
        <v>소</v>
      </c>
      <c r="AD53" s="26" t="str" cm="1">
        <f t="array" ref="AD53">_xlfn.IFS(
   OR(C53="",ISBLANK(C53),C53=0),0,
   ISNUMBER(MATCH(C53,{2,3,5,7,11,13,17,19,23,29,31,37,41,43},0)),"소",
   AND(ISNUMBER(C53),MOD(C53,3)=0),"배",
   AND(ISNUMBER(C53),C53&gt;0),"자"
)</f>
        <v>소</v>
      </c>
      <c r="AE53" s="26" t="str" cm="1">
        <f t="array" ref="AE53">_xlfn.IFS(
   OR(D53="",ISBLANK(D53),D53=0),0,
   ISNUMBER(MATCH(D53,{2,3,5,7,11,13,17,19,23,29,31,37,41,43},0)),"소",
   AND(ISNUMBER(D53),MOD(D53,3)=0),"배",
   AND(ISNUMBER(D53),D53&gt;0),"자"
)</f>
        <v>배</v>
      </c>
      <c r="AF53" s="26" t="str" cm="1">
        <f t="array" ref="AF53">_xlfn.IFS(
   OR(E53="",ISBLANK(E53),E53=0),0,
   ISNUMBER(MATCH(E53,{2,3,5,7,11,13,17,19,23,29,31,37,41,43},0)),"소",
   AND(ISNUMBER(E53),MOD(E53,3)=0),"배",
   AND(ISNUMBER(E53),E53&gt;0),"자"
)</f>
        <v>소</v>
      </c>
      <c r="AG53" s="26" t="str" cm="1">
        <f t="array" ref="AG53">_xlfn.IFS(
   OR(F53="",ISBLANK(F53),F53=0),0,
   ISNUMBER(MATCH(F53,{2,3,5,7,11,13,17,19,23,29,31,37,41,43},0)),"소",
   AND(ISNUMBER(F53),MOD(F53,3)=0),"배",
   AND(ISNUMBER(F53),F53&gt;0),"자"
)</f>
        <v>소</v>
      </c>
      <c r="AH53" s="26" t="str" cm="1">
        <f t="array" ref="AH53">_xlfn.IFS(
   OR(G53="",ISBLANK(G53),G53=0),0,
   ISNUMBER(MATCH(G53,{2,3,5,7,11,13,17,19,23,29,31,37,41,43},0)),"소",
   AND(ISNUMBER(G53),MOD(G53,3)=0),"배",
   AND(ISNUMBER(G53),G53&gt;0),"자"
)</f>
        <v>배</v>
      </c>
      <c r="AI53" s="30"/>
      <c r="AJ53" s="3">
        <f t="shared" si="10"/>
        <v>4</v>
      </c>
      <c r="AK53" s="3">
        <f t="shared" si="11"/>
        <v>2</v>
      </c>
      <c r="AL53" s="3">
        <f t="shared" si="12"/>
        <v>0</v>
      </c>
      <c r="AM53" s="33"/>
      <c r="AN53" s="3">
        <f t="shared" si="13"/>
        <v>3</v>
      </c>
      <c r="AO53" s="3">
        <f t="shared" si="14"/>
        <v>1</v>
      </c>
      <c r="AP53" s="3">
        <f t="shared" si="15"/>
        <v>2</v>
      </c>
      <c r="AQ53" s="3">
        <f t="shared" si="16"/>
        <v>0</v>
      </c>
      <c r="AR53" s="3">
        <f t="shared" si="17"/>
        <v>0</v>
      </c>
      <c r="AS53" s="28" t="e">
        <f>#REF!</f>
        <v>#REF!</v>
      </c>
      <c r="AT53" s="28" t="e">
        <f>#REF!*2</f>
        <v>#REF!</v>
      </c>
      <c r="AU53" s="28" t="e">
        <f>#REF!</f>
        <v>#REF!</v>
      </c>
      <c r="AV53" s="28" t="e">
        <f>#REF!*2</f>
        <v>#REF!</v>
      </c>
      <c r="AW53" s="28" t="e">
        <f>#REF!</f>
        <v>#REF!</v>
      </c>
      <c r="AX53" s="28" t="e">
        <f>#REF!*2</f>
        <v>#REF!</v>
      </c>
      <c r="AY53" s="28" t="e">
        <f>#REF!</f>
        <v>#REF!</v>
      </c>
      <c r="AZ53" s="28" t="e">
        <f>#REF!*2</f>
        <v>#REF!</v>
      </c>
      <c r="BA53" s="28" t="e">
        <f>#REF!</f>
        <v>#REF!</v>
      </c>
      <c r="BB53" s="28" t="e">
        <f>#REF!*2</f>
        <v>#REF!</v>
      </c>
      <c r="BC53" s="28" t="e">
        <f>#REF!</f>
        <v>#REF!</v>
      </c>
      <c r="BD53" s="28" t="e">
        <f>#REF!*2</f>
        <v>#REF!</v>
      </c>
      <c r="BE53" s="9" t="e">
        <f>#REF!-#REF!</f>
        <v>#REF!</v>
      </c>
      <c r="BF53" s="9" t="e">
        <f>#REF!-#REF!</f>
        <v>#REF!</v>
      </c>
      <c r="BG53" s="9" t="e">
        <f>#REF!-#REF!</f>
        <v>#REF!</v>
      </c>
      <c r="BH53" s="9" t="e">
        <f>#REF!-#REF!</f>
        <v>#REF!</v>
      </c>
      <c r="BI53" s="9" t="e">
        <f>#REF!-#REF!</f>
        <v>#REF!</v>
      </c>
      <c r="BJ53" s="33"/>
      <c r="BK53" s="3">
        <f t="shared" si="18"/>
        <v>3</v>
      </c>
      <c r="BL53" s="3">
        <f t="shared" si="19"/>
        <v>2</v>
      </c>
      <c r="BM53" s="3">
        <f t="shared" si="20"/>
        <v>1</v>
      </c>
      <c r="BN53" s="3">
        <f t="shared" si="21"/>
        <v>0</v>
      </c>
      <c r="BO53" s="3">
        <f t="shared" si="22"/>
        <v>0</v>
      </c>
      <c r="BP53" s="28" t="e">
        <f>#REF!</f>
        <v>#REF!</v>
      </c>
      <c r="BQ53" s="28" t="e">
        <f>#REF!*2</f>
        <v>#REF!</v>
      </c>
      <c r="BR53" s="28" t="e">
        <f>#REF!</f>
        <v>#REF!</v>
      </c>
      <c r="BS53" s="28" t="e">
        <f>#REF!*2</f>
        <v>#REF!</v>
      </c>
      <c r="BT53" s="28" t="e">
        <f>#REF!</f>
        <v>#REF!</v>
      </c>
      <c r="BU53" s="28" t="e">
        <f>#REF!*2</f>
        <v>#REF!</v>
      </c>
      <c r="BV53" s="28" t="e">
        <f>#REF!</f>
        <v>#REF!</v>
      </c>
      <c r="BW53" s="28" t="e">
        <f>#REF!*2</f>
        <v>#REF!</v>
      </c>
      <c r="BX53" s="28" t="e">
        <f>#REF!</f>
        <v>#REF!</v>
      </c>
      <c r="BY53" s="28" t="e">
        <f>#REF!*2</f>
        <v>#REF!</v>
      </c>
      <c r="BZ53" s="28" t="e">
        <f>#REF!</f>
        <v>#REF!</v>
      </c>
      <c r="CA53" s="28" t="e">
        <f>#REF!*2</f>
        <v>#REF!</v>
      </c>
      <c r="CB53" s="9">
        <f t="shared" si="23"/>
        <v>4</v>
      </c>
      <c r="CC53" s="9">
        <f t="shared" si="24"/>
        <v>2</v>
      </c>
      <c r="CD53" s="9">
        <f t="shared" si="25"/>
        <v>4</v>
      </c>
      <c r="CE53" s="9">
        <f t="shared" si="26"/>
        <v>6</v>
      </c>
      <c r="CF53" s="9">
        <f t="shared" si="27"/>
        <v>5</v>
      </c>
      <c r="CG53" s="33"/>
      <c r="CH53" s="9">
        <f t="shared" si="28"/>
        <v>4</v>
      </c>
      <c r="CI53" s="9">
        <f t="shared" si="29"/>
        <v>2</v>
      </c>
      <c r="CJ53" s="9">
        <f t="shared" si="30"/>
        <v>4</v>
      </c>
      <c r="CK53" s="9">
        <f t="shared" si="31"/>
        <v>6</v>
      </c>
      <c r="CL53" s="9">
        <f t="shared" si="32"/>
        <v>5</v>
      </c>
      <c r="CM53" s="32"/>
      <c r="CN53" s="3">
        <f t="shared" si="33"/>
        <v>2</v>
      </c>
      <c r="CO53" s="3">
        <f t="shared" si="34"/>
        <v>2</v>
      </c>
      <c r="CP53" s="3">
        <f t="shared" si="35"/>
        <v>2</v>
      </c>
      <c r="CQ53" s="3">
        <f t="shared" si="36"/>
        <v>2</v>
      </c>
      <c r="CR53" s="3">
        <f t="shared" si="37"/>
        <v>1</v>
      </c>
      <c r="CS53" s="31"/>
      <c r="CT53" s="3" cm="1">
        <f t="array" ref="CT53">SUMPRODUCT(--(MOD(CH53:CL53,2)=1))</f>
        <v>1</v>
      </c>
      <c r="CU53" s="3">
        <f t="shared" si="38"/>
        <v>4</v>
      </c>
      <c r="CV53" s="30"/>
      <c r="CW53" s="3" cm="1">
        <f t="array" ref="CW53">SUMPRODUCT(--(MOD(CH53:CL53,10)&gt;=1), --(MOD(CH53:CL53,10)&lt;=5))</f>
        <v>4</v>
      </c>
      <c r="CX53" s="3">
        <f t="shared" si="39"/>
        <v>1</v>
      </c>
      <c r="CY53" s="30"/>
      <c r="CZ53" s="3" cm="1">
        <f t="array" ref="CZ53">IFERROR(COUNT(_xlfn._xlws.FILTER(CH53:CL53, ISNUMBER(MATCH(CH53:CL53, {2,3,5,7,11,13,17,19,23,29,31,37,41,43}, 0)))), 0)</f>
        <v>2</v>
      </c>
      <c r="DA53" s="3" cm="1">
        <f t="array" ref="DA53">IFERROR(COUNT(_xlfn._xlws.FILTER(CH53:CL53, ISNUMBER(MATCH(CH53:CL53, {1,4,8,10,14,16,20,22,25,26,28,32,34,35,38,40,44}, 0)))), 0)</f>
        <v>2</v>
      </c>
      <c r="DB53" s="3" cm="1">
        <f t="array" ref="DB53">IFERROR(COUNT(_xlfn._xlws.FILTER(CH53:CL53, ISNUMBER(MATCH(CH53:CL53, {6,9,12,15,18,21,24,27,30,33,36,39,42,45}, 0)))), 0)</f>
        <v>1</v>
      </c>
      <c r="DC53" s="29"/>
      <c r="DD53" s="28" t="e">
        <f>#REF!</f>
        <v>#REF!</v>
      </c>
      <c r="DE53" s="28" t="e">
        <f>#REF!*2</f>
        <v>#REF!</v>
      </c>
      <c r="DF53" s="28" t="e">
        <f>#REF!</f>
        <v>#REF!</v>
      </c>
      <c r="DG53" s="28" t="e">
        <f>#REF!*2</f>
        <v>#REF!</v>
      </c>
      <c r="DH53" s="28" t="e">
        <f>#REF!</f>
        <v>#REF!</v>
      </c>
      <c r="DI53" s="28" t="e">
        <f>#REF!*2</f>
        <v>#REF!</v>
      </c>
      <c r="DJ53" s="28" t="e">
        <f>#REF!</f>
        <v>#REF!</v>
      </c>
      <c r="DK53" s="28" t="e">
        <f>#REF!*2</f>
        <v>#REF!</v>
      </c>
      <c r="DL53" s="28" t="e">
        <f>#REF!</f>
        <v>#REF!</v>
      </c>
      <c r="DM53" s="28" t="e">
        <f>#REF!*2</f>
        <v>#REF!</v>
      </c>
      <c r="DN53" s="27"/>
      <c r="DO53" s="26" t="str" cm="1">
        <f t="array" ref="DO53">_xlfn.IFS(
   OR(CH53="",ISBLANK(CH53),CH53=0),0,
   ISNUMBER(MATCH(CH53,{2,3,5,7,11,13,17,19,23,29,31,37,41,43},0)),"소",
   AND(ISNUMBER(CH53),MOD(CH53,3)=0),"배",
   AND(ISNUMBER(CH53),CH53&gt;0),"자"
)</f>
        <v>자</v>
      </c>
      <c r="DP53" s="26" t="str" cm="1">
        <f t="array" ref="DP53">_xlfn.IFS(
   OR(CI53="",ISBLANK(CI53),CI53=0),0,
   ISNUMBER(MATCH(CI53,{2,3,5,7,11,13,17,19,23,29,31,37,41,43},0)),"소",
   AND(ISNUMBER(CI53),MOD(CI53,3)=0),"배",
   AND(ISNUMBER(CI53),CI53&gt;0),"자"
)</f>
        <v>소</v>
      </c>
      <c r="DQ53" s="26" t="str" cm="1">
        <f t="array" ref="DQ53">_xlfn.IFS(
   OR(CJ53="",ISBLANK(CJ53),CJ53=0),0,
   ISNUMBER(MATCH(CJ53,{2,3,5,7,11,13,17,19,23,29,31,37,41,43},0)),"소",
   AND(ISNUMBER(CJ53),MOD(CJ53,3)=0),"배",
   AND(ISNUMBER(CJ53),CJ53&gt;0),"자"
)</f>
        <v>자</v>
      </c>
      <c r="DR53" s="26" t="str" cm="1">
        <f t="array" ref="DR53">_xlfn.IFS(
   OR(CK53="",ISBLANK(CK53),CK53=0),0,
   ISNUMBER(MATCH(CK53,{2,3,5,7,11,13,17,19,23,29,31,37,41,43},0)),"소",
   AND(ISNUMBER(CK53),MOD(CK53,3)=0),"배",
   AND(ISNUMBER(CK53),CK53&gt;0),"자"
)</f>
        <v>배</v>
      </c>
      <c r="DS53" s="26" t="str" cm="1">
        <f t="array" ref="DS53">_xlfn.IFS(
   OR(CL53="",ISBLANK(CL53),CL53=0),0,
   ISNUMBER(MATCH(CL53,{2,3,5,7,11,13,17,19,23,29,31,37,41,43},0)),"소",
   AND(ISNUMBER(CL53),MOD(CL53,3)=0),"배",
   AND(ISNUMBER(CL53),CL53&gt;0),"자"
)</f>
        <v>소</v>
      </c>
      <c r="DT53" s="25"/>
    </row>
    <row r="54" spans="2:124" x14ac:dyDescent="0.3">
      <c r="B54" s="3">
        <v>1</v>
      </c>
      <c r="C54" s="3">
        <v>6</v>
      </c>
      <c r="D54" s="3">
        <v>13</v>
      </c>
      <c r="E54" s="3">
        <v>19</v>
      </c>
      <c r="F54" s="3">
        <v>21</v>
      </c>
      <c r="G54" s="3">
        <v>33</v>
      </c>
      <c r="H54" s="32"/>
      <c r="I54" s="3">
        <f t="shared" si="0"/>
        <v>1</v>
      </c>
      <c r="J54" s="3">
        <f t="shared" si="1"/>
        <v>2</v>
      </c>
      <c r="K54" s="3">
        <f t="shared" si="2"/>
        <v>1</v>
      </c>
      <c r="L54" s="3">
        <f t="shared" si="3"/>
        <v>1</v>
      </c>
      <c r="M54" s="3">
        <f t="shared" si="4"/>
        <v>1</v>
      </c>
      <c r="N54" s="3">
        <f t="shared" si="5"/>
        <v>1</v>
      </c>
      <c r="O54" s="32"/>
      <c r="P54" s="3" cm="1">
        <f t="array" ref="P54">SUMPRODUCT(--(MOD(B54:G54,2)=1))</f>
        <v>5</v>
      </c>
      <c r="Q54" s="3">
        <f t="shared" si="6"/>
        <v>1</v>
      </c>
      <c r="R54" s="34"/>
      <c r="S54" s="3">
        <f t="shared" si="7"/>
        <v>5</v>
      </c>
      <c r="T54" s="3">
        <f t="shared" si="8"/>
        <v>1</v>
      </c>
      <c r="U54" s="34"/>
      <c r="V54" s="3" cm="1">
        <f t="array" ref="V54">SUMPRODUCT(--(MOD(B54:G54,10)&gt;=1), --(MOD(B54:G54,10)&lt;=5))</f>
        <v>4</v>
      </c>
      <c r="W54" s="3">
        <f t="shared" si="9"/>
        <v>2</v>
      </c>
      <c r="X54" s="34"/>
      <c r="Y54" s="3" cm="1">
        <f t="array" ref="Y54">IFERROR(COUNT(_xlfn._xlws.FILTER(B54:G54, ISNUMBER(MATCH(B54:G54, {2,3,5,7,11,13,17,19,23,29,31,37,41,43}, 0)))), 0)</f>
        <v>2</v>
      </c>
      <c r="Z54" s="3" cm="1">
        <f t="array" ref="Z54">IFERROR(COUNT(_xlfn._xlws.FILTER(B54:G54, ISNUMBER(MATCH(B54:G54, {1,4,8,10,14,16,20,22,25,26,28,32,34,35,38,40,44}, 0)))), 0)</f>
        <v>1</v>
      </c>
      <c r="AA54" s="3" cm="1">
        <f t="array" ref="AA54">IFERROR(COUNT(_xlfn._xlws.FILTER(B54:G54, ISNUMBER(MATCH(B54:G54, {6,9,12,15,18,21,24,27,30,33,36,39,42,45}, 0)))), 0)</f>
        <v>3</v>
      </c>
      <c r="AB54" s="30"/>
      <c r="AC54" s="26" t="str" cm="1">
        <f t="array" ref="AC54">_xlfn.IFS(
   OR(B54="",ISBLANK(B54),B54=0),0,
   ISNUMBER(MATCH(B54,{2,3,5,7,11,13,17,19,23,29,31,37,41,43},0)),"소",
   AND(ISNUMBER(B54),MOD(B54,3)=0),"배",
   AND(ISNUMBER(B54),B54&gt;0),"자"
)</f>
        <v>자</v>
      </c>
      <c r="AD54" s="26" t="str" cm="1">
        <f t="array" ref="AD54">_xlfn.IFS(
   OR(C54="",ISBLANK(C54),C54=0),0,
   ISNUMBER(MATCH(C54,{2,3,5,7,11,13,17,19,23,29,31,37,41,43},0)),"소",
   AND(ISNUMBER(C54),MOD(C54,3)=0),"배",
   AND(ISNUMBER(C54),C54&gt;0),"자"
)</f>
        <v>배</v>
      </c>
      <c r="AE54" s="26" t="str" cm="1">
        <f t="array" ref="AE54">_xlfn.IFS(
   OR(D54="",ISBLANK(D54),D54=0),0,
   ISNUMBER(MATCH(D54,{2,3,5,7,11,13,17,19,23,29,31,37,41,43},0)),"소",
   AND(ISNUMBER(D54),MOD(D54,3)=0),"배",
   AND(ISNUMBER(D54),D54&gt;0),"자"
)</f>
        <v>소</v>
      </c>
      <c r="AF54" s="26" t="str" cm="1">
        <f t="array" ref="AF54">_xlfn.IFS(
   OR(E54="",ISBLANK(E54),E54=0),0,
   ISNUMBER(MATCH(E54,{2,3,5,7,11,13,17,19,23,29,31,37,41,43},0)),"소",
   AND(ISNUMBER(E54),MOD(E54,3)=0),"배",
   AND(ISNUMBER(E54),E54&gt;0),"자"
)</f>
        <v>소</v>
      </c>
      <c r="AG54" s="26" t="str" cm="1">
        <f t="array" ref="AG54">_xlfn.IFS(
   OR(F54="",ISBLANK(F54),F54=0),0,
   ISNUMBER(MATCH(F54,{2,3,5,7,11,13,17,19,23,29,31,37,41,43},0)),"소",
   AND(ISNUMBER(F54),MOD(F54,3)=0),"배",
   AND(ISNUMBER(F54),F54&gt;0),"자"
)</f>
        <v>배</v>
      </c>
      <c r="AH54" s="26" t="str" cm="1">
        <f t="array" ref="AH54">_xlfn.IFS(
   OR(G54="",ISBLANK(G54),G54=0),0,
   ISNUMBER(MATCH(G54,{2,3,5,7,11,13,17,19,23,29,31,37,41,43},0)),"소",
   AND(ISNUMBER(G54),MOD(G54,3)=0),"배",
   AND(ISNUMBER(G54),G54&gt;0),"자"
)</f>
        <v>배</v>
      </c>
      <c r="AI54" s="30"/>
      <c r="AJ54" s="3">
        <f t="shared" si="10"/>
        <v>3</v>
      </c>
      <c r="AK54" s="3">
        <f t="shared" si="11"/>
        <v>2</v>
      </c>
      <c r="AL54" s="3">
        <f t="shared" si="12"/>
        <v>1</v>
      </c>
      <c r="AM54" s="33"/>
      <c r="AN54" s="3">
        <f t="shared" si="13"/>
        <v>2</v>
      </c>
      <c r="AO54" s="3">
        <f t="shared" si="14"/>
        <v>1</v>
      </c>
      <c r="AP54" s="3">
        <f t="shared" si="15"/>
        <v>2</v>
      </c>
      <c r="AQ54" s="3">
        <f t="shared" si="16"/>
        <v>1</v>
      </c>
      <c r="AR54" s="3">
        <f t="shared" si="17"/>
        <v>0</v>
      </c>
      <c r="AS54" s="28" t="e">
        <f>#REF!</f>
        <v>#REF!</v>
      </c>
      <c r="AT54" s="28" t="e">
        <f>#REF!*2</f>
        <v>#REF!</v>
      </c>
      <c r="AU54" s="28" t="e">
        <f>#REF!</f>
        <v>#REF!</v>
      </c>
      <c r="AV54" s="28" t="e">
        <f>#REF!*2</f>
        <v>#REF!</v>
      </c>
      <c r="AW54" s="28" t="e">
        <f>#REF!</f>
        <v>#REF!</v>
      </c>
      <c r="AX54" s="28" t="e">
        <f>#REF!*2</f>
        <v>#REF!</v>
      </c>
      <c r="AY54" s="28" t="e">
        <f>#REF!</f>
        <v>#REF!</v>
      </c>
      <c r="AZ54" s="28" t="e">
        <f>#REF!*2</f>
        <v>#REF!</v>
      </c>
      <c r="BA54" s="28" t="e">
        <f>#REF!</f>
        <v>#REF!</v>
      </c>
      <c r="BB54" s="28" t="e">
        <f>#REF!*2</f>
        <v>#REF!</v>
      </c>
      <c r="BC54" s="28" t="e">
        <f>#REF!</f>
        <v>#REF!</v>
      </c>
      <c r="BD54" s="28" t="e">
        <f>#REF!*2</f>
        <v>#REF!</v>
      </c>
      <c r="BE54" s="9" t="e">
        <f>#REF!-#REF!</f>
        <v>#REF!</v>
      </c>
      <c r="BF54" s="9" t="e">
        <f>#REF!-#REF!</f>
        <v>#REF!</v>
      </c>
      <c r="BG54" s="9" t="e">
        <f>#REF!-#REF!</f>
        <v>#REF!</v>
      </c>
      <c r="BH54" s="9" t="e">
        <f>#REF!-#REF!</f>
        <v>#REF!</v>
      </c>
      <c r="BI54" s="9" t="e">
        <f>#REF!-#REF!</f>
        <v>#REF!</v>
      </c>
      <c r="BJ54" s="33"/>
      <c r="BK54" s="3">
        <f t="shared" si="18"/>
        <v>2</v>
      </c>
      <c r="BL54" s="3">
        <f t="shared" si="19"/>
        <v>2</v>
      </c>
      <c r="BM54" s="3">
        <f t="shared" si="20"/>
        <v>1</v>
      </c>
      <c r="BN54" s="3">
        <f t="shared" si="21"/>
        <v>1</v>
      </c>
      <c r="BO54" s="3">
        <f t="shared" si="22"/>
        <v>0</v>
      </c>
      <c r="BP54" s="28" t="e">
        <f>#REF!</f>
        <v>#REF!</v>
      </c>
      <c r="BQ54" s="28" t="e">
        <f>#REF!*2</f>
        <v>#REF!</v>
      </c>
      <c r="BR54" s="28" t="e">
        <f>#REF!</f>
        <v>#REF!</v>
      </c>
      <c r="BS54" s="28" t="e">
        <f>#REF!*2</f>
        <v>#REF!</v>
      </c>
      <c r="BT54" s="28" t="e">
        <f>#REF!</f>
        <v>#REF!</v>
      </c>
      <c r="BU54" s="28" t="e">
        <f>#REF!*2</f>
        <v>#REF!</v>
      </c>
      <c r="BV54" s="28" t="e">
        <f>#REF!</f>
        <v>#REF!</v>
      </c>
      <c r="BW54" s="28" t="e">
        <f>#REF!*2</f>
        <v>#REF!</v>
      </c>
      <c r="BX54" s="28" t="e">
        <f>#REF!</f>
        <v>#REF!</v>
      </c>
      <c r="BY54" s="28" t="e">
        <f>#REF!*2</f>
        <v>#REF!</v>
      </c>
      <c r="BZ54" s="28" t="e">
        <f>#REF!</f>
        <v>#REF!</v>
      </c>
      <c r="CA54" s="28" t="e">
        <f>#REF!*2</f>
        <v>#REF!</v>
      </c>
      <c r="CB54" s="9">
        <f t="shared" si="23"/>
        <v>5</v>
      </c>
      <c r="CC54" s="9">
        <f t="shared" si="24"/>
        <v>7</v>
      </c>
      <c r="CD54" s="9">
        <f t="shared" si="25"/>
        <v>6</v>
      </c>
      <c r="CE54" s="9">
        <f t="shared" si="26"/>
        <v>2</v>
      </c>
      <c r="CF54" s="9">
        <f t="shared" si="27"/>
        <v>12</v>
      </c>
      <c r="CG54" s="33"/>
      <c r="CH54" s="9">
        <f t="shared" si="28"/>
        <v>5</v>
      </c>
      <c r="CI54" s="9">
        <f t="shared" si="29"/>
        <v>7</v>
      </c>
      <c r="CJ54" s="9">
        <f t="shared" si="30"/>
        <v>6</v>
      </c>
      <c r="CK54" s="9">
        <f t="shared" si="31"/>
        <v>2</v>
      </c>
      <c r="CL54" s="9">
        <f t="shared" si="32"/>
        <v>12</v>
      </c>
      <c r="CM54" s="32"/>
      <c r="CN54" s="3">
        <f t="shared" si="33"/>
        <v>1</v>
      </c>
      <c r="CO54" s="3">
        <f t="shared" si="34"/>
        <v>1</v>
      </c>
      <c r="CP54" s="3">
        <f t="shared" si="35"/>
        <v>2</v>
      </c>
      <c r="CQ54" s="3">
        <f t="shared" si="36"/>
        <v>2</v>
      </c>
      <c r="CR54" s="3">
        <f t="shared" si="37"/>
        <v>2</v>
      </c>
      <c r="CS54" s="31"/>
      <c r="CT54" s="3" cm="1">
        <f t="array" ref="CT54">SUMPRODUCT(--(MOD(CH54:CL54,2)=1))</f>
        <v>2</v>
      </c>
      <c r="CU54" s="3">
        <f t="shared" si="38"/>
        <v>3</v>
      </c>
      <c r="CV54" s="30"/>
      <c r="CW54" s="3" cm="1">
        <f t="array" ref="CW54">SUMPRODUCT(--(MOD(CH54:CL54,10)&gt;=1), --(MOD(CH54:CL54,10)&lt;=5))</f>
        <v>3</v>
      </c>
      <c r="CX54" s="3">
        <f t="shared" si="39"/>
        <v>2</v>
      </c>
      <c r="CY54" s="30"/>
      <c r="CZ54" s="3" cm="1">
        <f t="array" ref="CZ54">IFERROR(COUNT(_xlfn._xlws.FILTER(CH54:CL54, ISNUMBER(MATCH(CH54:CL54, {2,3,5,7,11,13,17,19,23,29,31,37,41,43}, 0)))), 0)</f>
        <v>3</v>
      </c>
      <c r="DA54" s="3" cm="1">
        <f t="array" ref="DA54">IFERROR(COUNT(_xlfn._xlws.FILTER(CH54:CL54, ISNUMBER(MATCH(CH54:CL54, {1,4,8,10,14,16,20,22,25,26,28,32,34,35,38,40,44}, 0)))), 0)</f>
        <v>0</v>
      </c>
      <c r="DB54" s="3" cm="1">
        <f t="array" ref="DB54">IFERROR(COUNT(_xlfn._xlws.FILTER(CH54:CL54, ISNUMBER(MATCH(CH54:CL54, {6,9,12,15,18,21,24,27,30,33,36,39,42,45}, 0)))), 0)</f>
        <v>2</v>
      </c>
      <c r="DC54" s="29"/>
      <c r="DD54" s="28" t="e">
        <f>#REF!</f>
        <v>#REF!</v>
      </c>
      <c r="DE54" s="28" t="e">
        <f>#REF!*2</f>
        <v>#REF!</v>
      </c>
      <c r="DF54" s="28" t="e">
        <f>#REF!</f>
        <v>#REF!</v>
      </c>
      <c r="DG54" s="28" t="e">
        <f>#REF!*2</f>
        <v>#REF!</v>
      </c>
      <c r="DH54" s="28" t="e">
        <f>#REF!</f>
        <v>#REF!</v>
      </c>
      <c r="DI54" s="28" t="e">
        <f>#REF!*2</f>
        <v>#REF!</v>
      </c>
      <c r="DJ54" s="28" t="e">
        <f>#REF!</f>
        <v>#REF!</v>
      </c>
      <c r="DK54" s="28" t="e">
        <f>#REF!*2</f>
        <v>#REF!</v>
      </c>
      <c r="DL54" s="28" t="e">
        <f>#REF!</f>
        <v>#REF!</v>
      </c>
      <c r="DM54" s="28" t="e">
        <f>#REF!*2</f>
        <v>#REF!</v>
      </c>
      <c r="DN54" s="27"/>
      <c r="DO54" s="26" t="str" cm="1">
        <f t="array" ref="DO54">_xlfn.IFS(
   OR(CH54="",ISBLANK(CH54),CH54=0),0,
   ISNUMBER(MATCH(CH54,{2,3,5,7,11,13,17,19,23,29,31,37,41,43},0)),"소",
   AND(ISNUMBER(CH54),MOD(CH54,3)=0),"배",
   AND(ISNUMBER(CH54),CH54&gt;0),"자"
)</f>
        <v>소</v>
      </c>
      <c r="DP54" s="26" t="str" cm="1">
        <f t="array" ref="DP54">_xlfn.IFS(
   OR(CI54="",ISBLANK(CI54),CI54=0),0,
   ISNUMBER(MATCH(CI54,{2,3,5,7,11,13,17,19,23,29,31,37,41,43},0)),"소",
   AND(ISNUMBER(CI54),MOD(CI54,3)=0),"배",
   AND(ISNUMBER(CI54),CI54&gt;0),"자"
)</f>
        <v>소</v>
      </c>
      <c r="DQ54" s="26" t="str" cm="1">
        <f t="array" ref="DQ54">_xlfn.IFS(
   OR(CJ54="",ISBLANK(CJ54),CJ54=0),0,
   ISNUMBER(MATCH(CJ54,{2,3,5,7,11,13,17,19,23,29,31,37,41,43},0)),"소",
   AND(ISNUMBER(CJ54),MOD(CJ54,3)=0),"배",
   AND(ISNUMBER(CJ54),CJ54&gt;0),"자"
)</f>
        <v>배</v>
      </c>
      <c r="DR54" s="26" t="str" cm="1">
        <f t="array" ref="DR54">_xlfn.IFS(
   OR(CK54="",ISBLANK(CK54),CK54=0),0,
   ISNUMBER(MATCH(CK54,{2,3,5,7,11,13,17,19,23,29,31,37,41,43},0)),"소",
   AND(ISNUMBER(CK54),MOD(CK54,3)=0),"배",
   AND(ISNUMBER(CK54),CK54&gt;0),"자"
)</f>
        <v>소</v>
      </c>
      <c r="DS54" s="26" t="str" cm="1">
        <f t="array" ref="DS54">_xlfn.IFS(
   OR(CL54="",ISBLANK(CL54),CL54=0),0,
   ISNUMBER(MATCH(CL54,{2,3,5,7,11,13,17,19,23,29,31,37,41,43},0)),"소",
   AND(ISNUMBER(CL54),MOD(CL54,3)=0),"배",
   AND(ISNUMBER(CL54),CL54&gt;0),"자"
)</f>
        <v>배</v>
      </c>
      <c r="DT54" s="25"/>
    </row>
    <row r="55" spans="2:124" x14ac:dyDescent="0.3">
      <c r="B55" s="3">
        <v>21</v>
      </c>
      <c r="C55" s="3">
        <v>33</v>
      </c>
      <c r="D55" s="3">
        <v>35</v>
      </c>
      <c r="E55" s="3">
        <v>38</v>
      </c>
      <c r="F55" s="3">
        <v>42</v>
      </c>
      <c r="G55" s="3">
        <v>44</v>
      </c>
      <c r="H55" s="32"/>
      <c r="I55" s="3">
        <f t="shared" si="0"/>
        <v>1</v>
      </c>
      <c r="J55" s="3">
        <f t="shared" si="1"/>
        <v>1</v>
      </c>
      <c r="K55" s="3">
        <f t="shared" si="2"/>
        <v>1</v>
      </c>
      <c r="L55" s="3">
        <f t="shared" si="3"/>
        <v>2</v>
      </c>
      <c r="M55" s="3">
        <f t="shared" si="4"/>
        <v>2</v>
      </c>
      <c r="N55" s="3">
        <f t="shared" si="5"/>
        <v>2</v>
      </c>
      <c r="O55" s="32"/>
      <c r="P55" s="3" cm="1">
        <f t="array" ref="P55">SUMPRODUCT(--(MOD(B55:G55,2)=1))</f>
        <v>3</v>
      </c>
      <c r="Q55" s="3">
        <f t="shared" si="6"/>
        <v>3</v>
      </c>
      <c r="R55" s="34"/>
      <c r="S55" s="3">
        <f t="shared" si="7"/>
        <v>1</v>
      </c>
      <c r="T55" s="3">
        <f t="shared" si="8"/>
        <v>5</v>
      </c>
      <c r="U55" s="34"/>
      <c r="V55" s="3" cm="1">
        <f t="array" ref="V55">SUMPRODUCT(--(MOD(B55:G55,10)&gt;=1), --(MOD(B55:G55,10)&lt;=5))</f>
        <v>5</v>
      </c>
      <c r="W55" s="3">
        <f t="shared" si="9"/>
        <v>1</v>
      </c>
      <c r="X55" s="34"/>
      <c r="Y55" s="3" cm="1">
        <f t="array" ref="Y55">IFERROR(COUNT(_xlfn._xlws.FILTER(B55:G55, ISNUMBER(MATCH(B55:G55, {2,3,5,7,11,13,17,19,23,29,31,37,41,43}, 0)))), 0)</f>
        <v>0</v>
      </c>
      <c r="Z55" s="3" cm="1">
        <f t="array" ref="Z55">IFERROR(COUNT(_xlfn._xlws.FILTER(B55:G55, ISNUMBER(MATCH(B55:G55, {1,4,8,10,14,16,20,22,25,26,28,32,34,35,38,40,44}, 0)))), 0)</f>
        <v>3</v>
      </c>
      <c r="AA55" s="3" cm="1">
        <f t="array" ref="AA55">IFERROR(COUNT(_xlfn._xlws.FILTER(B55:G55, ISNUMBER(MATCH(B55:G55, {6,9,12,15,18,21,24,27,30,33,36,39,42,45}, 0)))), 0)</f>
        <v>3</v>
      </c>
      <c r="AB55" s="30"/>
      <c r="AC55" s="26" t="str" cm="1">
        <f t="array" ref="AC55">_xlfn.IFS(
   OR(B55="",ISBLANK(B55),B55=0),0,
   ISNUMBER(MATCH(B55,{2,3,5,7,11,13,17,19,23,29,31,37,41,43},0)),"소",
   AND(ISNUMBER(B55),MOD(B55,3)=0),"배",
   AND(ISNUMBER(B55),B55&gt;0),"자"
)</f>
        <v>배</v>
      </c>
      <c r="AD55" s="26" t="str" cm="1">
        <f t="array" ref="AD55">_xlfn.IFS(
   OR(C55="",ISBLANK(C55),C55=0),0,
   ISNUMBER(MATCH(C55,{2,3,5,7,11,13,17,19,23,29,31,37,41,43},0)),"소",
   AND(ISNUMBER(C55),MOD(C55,3)=0),"배",
   AND(ISNUMBER(C55),C55&gt;0),"자"
)</f>
        <v>배</v>
      </c>
      <c r="AE55" s="26" t="str" cm="1">
        <f t="array" ref="AE55">_xlfn.IFS(
   OR(D55="",ISBLANK(D55),D55=0),0,
   ISNUMBER(MATCH(D55,{2,3,5,7,11,13,17,19,23,29,31,37,41,43},0)),"소",
   AND(ISNUMBER(D55),MOD(D55,3)=0),"배",
   AND(ISNUMBER(D55),D55&gt;0),"자"
)</f>
        <v>자</v>
      </c>
      <c r="AF55" s="26" t="str" cm="1">
        <f t="array" ref="AF55">_xlfn.IFS(
   OR(E55="",ISBLANK(E55),E55=0),0,
   ISNUMBER(MATCH(E55,{2,3,5,7,11,13,17,19,23,29,31,37,41,43},0)),"소",
   AND(ISNUMBER(E55),MOD(E55,3)=0),"배",
   AND(ISNUMBER(E55),E55&gt;0),"자"
)</f>
        <v>자</v>
      </c>
      <c r="AG55" s="26" t="str" cm="1">
        <f t="array" ref="AG55">_xlfn.IFS(
   OR(F55="",ISBLANK(F55),F55=0),0,
   ISNUMBER(MATCH(F55,{2,3,5,7,11,13,17,19,23,29,31,37,41,43},0)),"소",
   AND(ISNUMBER(F55),MOD(F55,3)=0),"배",
   AND(ISNUMBER(F55),F55&gt;0),"자"
)</f>
        <v>배</v>
      </c>
      <c r="AH55" s="26" t="str" cm="1">
        <f t="array" ref="AH55">_xlfn.IFS(
   OR(G55="",ISBLANK(G55),G55=0),0,
   ISNUMBER(MATCH(G55,{2,3,5,7,11,13,17,19,23,29,31,37,41,43},0)),"소",
   AND(ISNUMBER(G55),MOD(G55,3)=0),"배",
   AND(ISNUMBER(G55),G55&gt;0),"자"
)</f>
        <v>자</v>
      </c>
      <c r="AI55" s="30"/>
      <c r="AJ55" s="3">
        <f t="shared" si="10"/>
        <v>0</v>
      </c>
      <c r="AK55" s="3">
        <f t="shared" si="11"/>
        <v>1</v>
      </c>
      <c r="AL55" s="3">
        <f t="shared" si="12"/>
        <v>5</v>
      </c>
      <c r="AM55" s="33"/>
      <c r="AN55" s="3">
        <f t="shared" si="13"/>
        <v>0</v>
      </c>
      <c r="AO55" s="3">
        <f t="shared" si="14"/>
        <v>0</v>
      </c>
      <c r="AP55" s="3">
        <f t="shared" si="15"/>
        <v>1</v>
      </c>
      <c r="AQ55" s="3">
        <f t="shared" si="16"/>
        <v>2</v>
      </c>
      <c r="AR55" s="3">
        <f t="shared" si="17"/>
        <v>3</v>
      </c>
      <c r="AS55" s="28" t="e">
        <f>#REF!</f>
        <v>#REF!</v>
      </c>
      <c r="AT55" s="28" t="e">
        <f>#REF!*2</f>
        <v>#REF!</v>
      </c>
      <c r="AU55" s="28" t="e">
        <f>#REF!</f>
        <v>#REF!</v>
      </c>
      <c r="AV55" s="28" t="e">
        <f>#REF!*2</f>
        <v>#REF!</v>
      </c>
      <c r="AW55" s="28" t="e">
        <f>#REF!</f>
        <v>#REF!</v>
      </c>
      <c r="AX55" s="28" t="e">
        <f>#REF!*2</f>
        <v>#REF!</v>
      </c>
      <c r="AY55" s="28" t="e">
        <f>#REF!</f>
        <v>#REF!</v>
      </c>
      <c r="AZ55" s="28" t="e">
        <f>#REF!*2</f>
        <v>#REF!</v>
      </c>
      <c r="BA55" s="28" t="e">
        <f>#REF!</f>
        <v>#REF!</v>
      </c>
      <c r="BB55" s="28" t="e">
        <f>#REF!*2</f>
        <v>#REF!</v>
      </c>
      <c r="BC55" s="28" t="e">
        <f>#REF!</f>
        <v>#REF!</v>
      </c>
      <c r="BD55" s="28" t="e">
        <f>#REF!*2</f>
        <v>#REF!</v>
      </c>
      <c r="BE55" s="9" t="e">
        <f>#REF!-#REF!</f>
        <v>#REF!</v>
      </c>
      <c r="BF55" s="9" t="e">
        <f>#REF!-#REF!</f>
        <v>#REF!</v>
      </c>
      <c r="BG55" s="9" t="e">
        <f>#REF!-#REF!</f>
        <v>#REF!</v>
      </c>
      <c r="BH55" s="9" t="e">
        <f>#REF!-#REF!</f>
        <v>#REF!</v>
      </c>
      <c r="BI55" s="9" t="e">
        <f>#REF!-#REF!</f>
        <v>#REF!</v>
      </c>
      <c r="BJ55" s="33"/>
      <c r="BK55" s="3">
        <f t="shared" si="18"/>
        <v>0</v>
      </c>
      <c r="BL55" s="3">
        <f t="shared" si="19"/>
        <v>0</v>
      </c>
      <c r="BM55" s="3">
        <f t="shared" si="20"/>
        <v>1</v>
      </c>
      <c r="BN55" s="3">
        <f t="shared" si="21"/>
        <v>3</v>
      </c>
      <c r="BO55" s="3">
        <f t="shared" si="22"/>
        <v>2</v>
      </c>
      <c r="BP55" s="28" t="e">
        <f>#REF!</f>
        <v>#REF!</v>
      </c>
      <c r="BQ55" s="28" t="e">
        <f>#REF!*2</f>
        <v>#REF!</v>
      </c>
      <c r="BR55" s="28" t="e">
        <f>#REF!</f>
        <v>#REF!</v>
      </c>
      <c r="BS55" s="28" t="e">
        <f>#REF!*2</f>
        <v>#REF!</v>
      </c>
      <c r="BT55" s="28" t="e">
        <f>#REF!</f>
        <v>#REF!</v>
      </c>
      <c r="BU55" s="28" t="e">
        <f>#REF!*2</f>
        <v>#REF!</v>
      </c>
      <c r="BV55" s="28" t="e">
        <f>#REF!</f>
        <v>#REF!</v>
      </c>
      <c r="BW55" s="28" t="e">
        <f>#REF!*2</f>
        <v>#REF!</v>
      </c>
      <c r="BX55" s="28" t="e">
        <f>#REF!</f>
        <v>#REF!</v>
      </c>
      <c r="BY55" s="28" t="e">
        <f>#REF!*2</f>
        <v>#REF!</v>
      </c>
      <c r="BZ55" s="28" t="e">
        <f>#REF!</f>
        <v>#REF!</v>
      </c>
      <c r="CA55" s="28" t="e">
        <f>#REF!*2</f>
        <v>#REF!</v>
      </c>
      <c r="CB55" s="9">
        <f t="shared" si="23"/>
        <v>12</v>
      </c>
      <c r="CC55" s="9">
        <f t="shared" si="24"/>
        <v>2</v>
      </c>
      <c r="CD55" s="9">
        <f t="shared" si="25"/>
        <v>3</v>
      </c>
      <c r="CE55" s="9">
        <f t="shared" si="26"/>
        <v>4</v>
      </c>
      <c r="CF55" s="9">
        <f t="shared" si="27"/>
        <v>2</v>
      </c>
      <c r="CG55" s="33"/>
      <c r="CH55" s="9">
        <f t="shared" si="28"/>
        <v>12</v>
      </c>
      <c r="CI55" s="9">
        <f t="shared" si="29"/>
        <v>2</v>
      </c>
      <c r="CJ55" s="9">
        <f t="shared" si="30"/>
        <v>3</v>
      </c>
      <c r="CK55" s="9">
        <f t="shared" si="31"/>
        <v>4</v>
      </c>
      <c r="CL55" s="9">
        <f t="shared" si="32"/>
        <v>2</v>
      </c>
      <c r="CM55" s="32"/>
      <c r="CN55" s="3">
        <f t="shared" si="33"/>
        <v>2</v>
      </c>
      <c r="CO55" s="3">
        <f t="shared" si="34"/>
        <v>2</v>
      </c>
      <c r="CP55" s="3">
        <f t="shared" si="35"/>
        <v>1</v>
      </c>
      <c r="CQ55" s="3">
        <f t="shared" si="36"/>
        <v>2</v>
      </c>
      <c r="CR55" s="3">
        <f t="shared" si="37"/>
        <v>2</v>
      </c>
      <c r="CS55" s="31"/>
      <c r="CT55" s="3" cm="1">
        <f t="array" ref="CT55">SUMPRODUCT(--(MOD(CH55:CL55,2)=1))</f>
        <v>1</v>
      </c>
      <c r="CU55" s="3">
        <f t="shared" si="38"/>
        <v>4</v>
      </c>
      <c r="CV55" s="30"/>
      <c r="CW55" s="3" cm="1">
        <f t="array" ref="CW55">SUMPRODUCT(--(MOD(CH55:CL55,10)&gt;=1), --(MOD(CH55:CL55,10)&lt;=5))</f>
        <v>5</v>
      </c>
      <c r="CX55" s="3">
        <f t="shared" si="39"/>
        <v>0</v>
      </c>
      <c r="CY55" s="30"/>
      <c r="CZ55" s="3" cm="1">
        <f t="array" ref="CZ55">IFERROR(COUNT(_xlfn._xlws.FILTER(CH55:CL55, ISNUMBER(MATCH(CH55:CL55, {2,3,5,7,11,13,17,19,23,29,31,37,41,43}, 0)))), 0)</f>
        <v>3</v>
      </c>
      <c r="DA55" s="3" cm="1">
        <f t="array" ref="DA55">IFERROR(COUNT(_xlfn._xlws.FILTER(CH55:CL55, ISNUMBER(MATCH(CH55:CL55, {1,4,8,10,14,16,20,22,25,26,28,32,34,35,38,40,44}, 0)))), 0)</f>
        <v>1</v>
      </c>
      <c r="DB55" s="3" cm="1">
        <f t="array" ref="DB55">IFERROR(COUNT(_xlfn._xlws.FILTER(CH55:CL55, ISNUMBER(MATCH(CH55:CL55, {6,9,12,15,18,21,24,27,30,33,36,39,42,45}, 0)))), 0)</f>
        <v>1</v>
      </c>
      <c r="DC55" s="29"/>
      <c r="DD55" s="28" t="e">
        <f>#REF!</f>
        <v>#REF!</v>
      </c>
      <c r="DE55" s="28" t="e">
        <f>#REF!*2</f>
        <v>#REF!</v>
      </c>
      <c r="DF55" s="28" t="e">
        <f>#REF!</f>
        <v>#REF!</v>
      </c>
      <c r="DG55" s="28" t="e">
        <f>#REF!*2</f>
        <v>#REF!</v>
      </c>
      <c r="DH55" s="28" t="e">
        <f>#REF!</f>
        <v>#REF!</v>
      </c>
      <c r="DI55" s="28" t="e">
        <f>#REF!*2</f>
        <v>#REF!</v>
      </c>
      <c r="DJ55" s="28" t="e">
        <f>#REF!</f>
        <v>#REF!</v>
      </c>
      <c r="DK55" s="28" t="e">
        <f>#REF!*2</f>
        <v>#REF!</v>
      </c>
      <c r="DL55" s="28" t="e">
        <f>#REF!</f>
        <v>#REF!</v>
      </c>
      <c r="DM55" s="28" t="e">
        <f>#REF!*2</f>
        <v>#REF!</v>
      </c>
      <c r="DN55" s="27"/>
      <c r="DO55" s="26" t="str" cm="1">
        <f t="array" ref="DO55">_xlfn.IFS(
   OR(CH55="",ISBLANK(CH55),CH55=0),0,
   ISNUMBER(MATCH(CH55,{2,3,5,7,11,13,17,19,23,29,31,37,41,43},0)),"소",
   AND(ISNUMBER(CH55),MOD(CH55,3)=0),"배",
   AND(ISNUMBER(CH55),CH55&gt;0),"자"
)</f>
        <v>배</v>
      </c>
      <c r="DP55" s="26" t="str" cm="1">
        <f t="array" ref="DP55">_xlfn.IFS(
   OR(CI55="",ISBLANK(CI55),CI55=0),0,
   ISNUMBER(MATCH(CI55,{2,3,5,7,11,13,17,19,23,29,31,37,41,43},0)),"소",
   AND(ISNUMBER(CI55),MOD(CI55,3)=0),"배",
   AND(ISNUMBER(CI55),CI55&gt;0),"자"
)</f>
        <v>소</v>
      </c>
      <c r="DQ55" s="26" t="str" cm="1">
        <f t="array" ref="DQ55">_xlfn.IFS(
   OR(CJ55="",ISBLANK(CJ55),CJ55=0),0,
   ISNUMBER(MATCH(CJ55,{2,3,5,7,11,13,17,19,23,29,31,37,41,43},0)),"소",
   AND(ISNUMBER(CJ55),MOD(CJ55,3)=0),"배",
   AND(ISNUMBER(CJ55),CJ55&gt;0),"자"
)</f>
        <v>소</v>
      </c>
      <c r="DR55" s="26" t="str" cm="1">
        <f t="array" ref="DR55">_xlfn.IFS(
   OR(CK55="",ISBLANK(CK55),CK55=0),0,
   ISNUMBER(MATCH(CK55,{2,3,5,7,11,13,17,19,23,29,31,37,41,43},0)),"소",
   AND(ISNUMBER(CK55),MOD(CK55,3)=0),"배",
   AND(ISNUMBER(CK55),CK55&gt;0),"자"
)</f>
        <v>자</v>
      </c>
      <c r="DS55" s="26" t="str" cm="1">
        <f t="array" ref="DS55">_xlfn.IFS(
   OR(CL55="",ISBLANK(CL55),CL55=0),0,
   ISNUMBER(MATCH(CL55,{2,3,5,7,11,13,17,19,23,29,31,37,41,43},0)),"소",
   AND(ISNUMBER(CL55),MOD(CL55,3)=0),"배",
   AND(ISNUMBER(CL55),CL55&gt;0),"자"
)</f>
        <v>소</v>
      </c>
      <c r="DT55" s="25"/>
    </row>
    <row r="56" spans="2:124" x14ac:dyDescent="0.3">
      <c r="B56" s="3">
        <v>4</v>
      </c>
      <c r="C56" s="3">
        <v>9</v>
      </c>
      <c r="D56" s="3">
        <v>12</v>
      </c>
      <c r="E56" s="3">
        <v>15</v>
      </c>
      <c r="F56" s="3">
        <v>33</v>
      </c>
      <c r="G56" s="3">
        <v>45</v>
      </c>
      <c r="H56" s="32"/>
      <c r="I56" s="3">
        <f t="shared" si="0"/>
        <v>2</v>
      </c>
      <c r="J56" s="3">
        <f t="shared" si="1"/>
        <v>1</v>
      </c>
      <c r="K56" s="3">
        <f t="shared" si="2"/>
        <v>2</v>
      </c>
      <c r="L56" s="3">
        <f t="shared" si="3"/>
        <v>1</v>
      </c>
      <c r="M56" s="3">
        <f t="shared" si="4"/>
        <v>1</v>
      </c>
      <c r="N56" s="3">
        <f t="shared" si="5"/>
        <v>1</v>
      </c>
      <c r="O56" s="32"/>
      <c r="P56" s="3" cm="1">
        <f t="array" ref="P56">SUMPRODUCT(--(MOD(B56:G56,2)=1))</f>
        <v>4</v>
      </c>
      <c r="Q56" s="3">
        <f t="shared" si="6"/>
        <v>2</v>
      </c>
      <c r="R56" s="34"/>
      <c r="S56" s="3">
        <f t="shared" si="7"/>
        <v>4</v>
      </c>
      <c r="T56" s="3">
        <f t="shared" si="8"/>
        <v>2</v>
      </c>
      <c r="U56" s="34"/>
      <c r="V56" s="3" cm="1">
        <f t="array" ref="V56">SUMPRODUCT(--(MOD(B56:G56,10)&gt;=1), --(MOD(B56:G56,10)&lt;=5))</f>
        <v>5</v>
      </c>
      <c r="W56" s="3">
        <f t="shared" si="9"/>
        <v>1</v>
      </c>
      <c r="X56" s="34"/>
      <c r="Y56" s="3" cm="1">
        <f t="array" ref="Y56">IFERROR(COUNT(_xlfn._xlws.FILTER(B56:G56, ISNUMBER(MATCH(B56:G56, {2,3,5,7,11,13,17,19,23,29,31,37,41,43}, 0)))), 0)</f>
        <v>0</v>
      </c>
      <c r="Z56" s="3" cm="1">
        <f t="array" ref="Z56">IFERROR(COUNT(_xlfn._xlws.FILTER(B56:G56, ISNUMBER(MATCH(B56:G56, {1,4,8,10,14,16,20,22,25,26,28,32,34,35,38,40,44}, 0)))), 0)</f>
        <v>1</v>
      </c>
      <c r="AA56" s="3" cm="1">
        <f t="array" ref="AA56">IFERROR(COUNT(_xlfn._xlws.FILTER(B56:G56, ISNUMBER(MATCH(B56:G56, {6,9,12,15,18,21,24,27,30,33,36,39,42,45}, 0)))), 0)</f>
        <v>5</v>
      </c>
      <c r="AB56" s="30"/>
      <c r="AC56" s="26" t="str" cm="1">
        <f t="array" ref="AC56">_xlfn.IFS(
   OR(B56="",ISBLANK(B56),B56=0),0,
   ISNUMBER(MATCH(B56,{2,3,5,7,11,13,17,19,23,29,31,37,41,43},0)),"소",
   AND(ISNUMBER(B56),MOD(B56,3)=0),"배",
   AND(ISNUMBER(B56),B56&gt;0),"자"
)</f>
        <v>자</v>
      </c>
      <c r="AD56" s="26" t="str" cm="1">
        <f t="array" ref="AD56">_xlfn.IFS(
   OR(C56="",ISBLANK(C56),C56=0),0,
   ISNUMBER(MATCH(C56,{2,3,5,7,11,13,17,19,23,29,31,37,41,43},0)),"소",
   AND(ISNUMBER(C56),MOD(C56,3)=0),"배",
   AND(ISNUMBER(C56),C56&gt;0),"자"
)</f>
        <v>배</v>
      </c>
      <c r="AE56" s="26" t="str" cm="1">
        <f t="array" ref="AE56">_xlfn.IFS(
   OR(D56="",ISBLANK(D56),D56=0),0,
   ISNUMBER(MATCH(D56,{2,3,5,7,11,13,17,19,23,29,31,37,41,43},0)),"소",
   AND(ISNUMBER(D56),MOD(D56,3)=0),"배",
   AND(ISNUMBER(D56),D56&gt;0),"자"
)</f>
        <v>배</v>
      </c>
      <c r="AF56" s="26" t="str" cm="1">
        <f t="array" ref="AF56">_xlfn.IFS(
   OR(E56="",ISBLANK(E56),E56=0),0,
   ISNUMBER(MATCH(E56,{2,3,5,7,11,13,17,19,23,29,31,37,41,43},0)),"소",
   AND(ISNUMBER(E56),MOD(E56,3)=0),"배",
   AND(ISNUMBER(E56),E56&gt;0),"자"
)</f>
        <v>배</v>
      </c>
      <c r="AG56" s="26" t="str" cm="1">
        <f t="array" ref="AG56">_xlfn.IFS(
   OR(F56="",ISBLANK(F56),F56=0),0,
   ISNUMBER(MATCH(F56,{2,3,5,7,11,13,17,19,23,29,31,37,41,43},0)),"소",
   AND(ISNUMBER(F56),MOD(F56,3)=0),"배",
   AND(ISNUMBER(F56),F56&gt;0),"자"
)</f>
        <v>배</v>
      </c>
      <c r="AH56" s="26" t="str" cm="1">
        <f t="array" ref="AH56">_xlfn.IFS(
   OR(G56="",ISBLANK(G56),G56=0),0,
   ISNUMBER(MATCH(G56,{2,3,5,7,11,13,17,19,23,29,31,37,41,43},0)),"소",
   AND(ISNUMBER(G56),MOD(G56,3)=0),"배",
   AND(ISNUMBER(G56),G56&gt;0),"자"
)</f>
        <v>배</v>
      </c>
      <c r="AI56" s="30"/>
      <c r="AJ56" s="3">
        <f t="shared" si="10"/>
        <v>3</v>
      </c>
      <c r="AK56" s="3">
        <f t="shared" si="11"/>
        <v>1</v>
      </c>
      <c r="AL56" s="3">
        <f t="shared" si="12"/>
        <v>2</v>
      </c>
      <c r="AM56" s="33"/>
      <c r="AN56" s="3">
        <f t="shared" si="13"/>
        <v>2</v>
      </c>
      <c r="AO56" s="3">
        <f t="shared" si="14"/>
        <v>2</v>
      </c>
      <c r="AP56" s="3">
        <f t="shared" si="15"/>
        <v>0</v>
      </c>
      <c r="AQ56" s="3">
        <f t="shared" si="16"/>
        <v>1</v>
      </c>
      <c r="AR56" s="3">
        <f t="shared" si="17"/>
        <v>1</v>
      </c>
      <c r="AS56" s="28" t="e">
        <f>#REF!</f>
        <v>#REF!</v>
      </c>
      <c r="AT56" s="28" t="e">
        <f>#REF!*2</f>
        <v>#REF!</v>
      </c>
      <c r="AU56" s="28" t="e">
        <f>#REF!</f>
        <v>#REF!</v>
      </c>
      <c r="AV56" s="28" t="e">
        <f>#REF!*2</f>
        <v>#REF!</v>
      </c>
      <c r="AW56" s="28" t="e">
        <f>#REF!</f>
        <v>#REF!</v>
      </c>
      <c r="AX56" s="28" t="e">
        <f>#REF!*2</f>
        <v>#REF!</v>
      </c>
      <c r="AY56" s="28" t="e">
        <f>#REF!</f>
        <v>#REF!</v>
      </c>
      <c r="AZ56" s="28" t="e">
        <f>#REF!*2</f>
        <v>#REF!</v>
      </c>
      <c r="BA56" s="28" t="e">
        <f>#REF!</f>
        <v>#REF!</v>
      </c>
      <c r="BB56" s="28" t="e">
        <f>#REF!*2</f>
        <v>#REF!</v>
      </c>
      <c r="BC56" s="28" t="e">
        <f>#REF!</f>
        <v>#REF!</v>
      </c>
      <c r="BD56" s="28" t="e">
        <f>#REF!*2</f>
        <v>#REF!</v>
      </c>
      <c r="BE56" s="9" t="e">
        <f>#REF!-#REF!</f>
        <v>#REF!</v>
      </c>
      <c r="BF56" s="9" t="e">
        <f>#REF!-#REF!</f>
        <v>#REF!</v>
      </c>
      <c r="BG56" s="9" t="e">
        <f>#REF!-#REF!</f>
        <v>#REF!</v>
      </c>
      <c r="BH56" s="9" t="e">
        <f>#REF!-#REF!</f>
        <v>#REF!</v>
      </c>
      <c r="BI56" s="9" t="e">
        <f>#REF!-#REF!</f>
        <v>#REF!</v>
      </c>
      <c r="BJ56" s="33"/>
      <c r="BK56" s="3">
        <f t="shared" si="18"/>
        <v>2</v>
      </c>
      <c r="BL56" s="3">
        <f t="shared" si="19"/>
        <v>2</v>
      </c>
      <c r="BM56" s="3">
        <f t="shared" si="20"/>
        <v>0</v>
      </c>
      <c r="BN56" s="3">
        <f t="shared" si="21"/>
        <v>1</v>
      </c>
      <c r="BO56" s="3">
        <f t="shared" si="22"/>
        <v>1</v>
      </c>
      <c r="BP56" s="28" t="e">
        <f>#REF!</f>
        <v>#REF!</v>
      </c>
      <c r="BQ56" s="28" t="e">
        <f>#REF!*2</f>
        <v>#REF!</v>
      </c>
      <c r="BR56" s="28" t="e">
        <f>#REF!</f>
        <v>#REF!</v>
      </c>
      <c r="BS56" s="28" t="e">
        <f>#REF!*2</f>
        <v>#REF!</v>
      </c>
      <c r="BT56" s="28" t="e">
        <f>#REF!</f>
        <v>#REF!</v>
      </c>
      <c r="BU56" s="28" t="e">
        <f>#REF!*2</f>
        <v>#REF!</v>
      </c>
      <c r="BV56" s="28" t="e">
        <f>#REF!</f>
        <v>#REF!</v>
      </c>
      <c r="BW56" s="28" t="e">
        <f>#REF!*2</f>
        <v>#REF!</v>
      </c>
      <c r="BX56" s="28" t="e">
        <f>#REF!</f>
        <v>#REF!</v>
      </c>
      <c r="BY56" s="28" t="e">
        <f>#REF!*2</f>
        <v>#REF!</v>
      </c>
      <c r="BZ56" s="28" t="e">
        <f>#REF!</f>
        <v>#REF!</v>
      </c>
      <c r="CA56" s="28" t="e">
        <f>#REF!*2</f>
        <v>#REF!</v>
      </c>
      <c r="CB56" s="9">
        <f t="shared" si="23"/>
        <v>5</v>
      </c>
      <c r="CC56" s="9">
        <f t="shared" si="24"/>
        <v>3</v>
      </c>
      <c r="CD56" s="9">
        <f t="shared" si="25"/>
        <v>3</v>
      </c>
      <c r="CE56" s="9">
        <f t="shared" si="26"/>
        <v>18</v>
      </c>
      <c r="CF56" s="9">
        <f t="shared" si="27"/>
        <v>12</v>
      </c>
      <c r="CG56" s="33"/>
      <c r="CH56" s="9">
        <f t="shared" si="28"/>
        <v>5</v>
      </c>
      <c r="CI56" s="9">
        <f t="shared" si="29"/>
        <v>3</v>
      </c>
      <c r="CJ56" s="9">
        <f t="shared" si="30"/>
        <v>3</v>
      </c>
      <c r="CK56" s="9">
        <f t="shared" si="31"/>
        <v>18</v>
      </c>
      <c r="CL56" s="9">
        <f t="shared" si="32"/>
        <v>12</v>
      </c>
      <c r="CM56" s="32"/>
      <c r="CN56" s="3">
        <f t="shared" si="33"/>
        <v>1</v>
      </c>
      <c r="CO56" s="3">
        <f t="shared" si="34"/>
        <v>1</v>
      </c>
      <c r="CP56" s="3">
        <f t="shared" si="35"/>
        <v>1</v>
      </c>
      <c r="CQ56" s="3">
        <f t="shared" si="36"/>
        <v>2</v>
      </c>
      <c r="CR56" s="3">
        <f t="shared" si="37"/>
        <v>2</v>
      </c>
      <c r="CS56" s="31"/>
      <c r="CT56" s="3" cm="1">
        <f t="array" ref="CT56">SUMPRODUCT(--(MOD(CH56:CL56,2)=1))</f>
        <v>3</v>
      </c>
      <c r="CU56" s="3">
        <f t="shared" si="38"/>
        <v>2</v>
      </c>
      <c r="CV56" s="30"/>
      <c r="CW56" s="3" cm="1">
        <f t="array" ref="CW56">SUMPRODUCT(--(MOD(CH56:CL56,10)&gt;=1), --(MOD(CH56:CL56,10)&lt;=5))</f>
        <v>4</v>
      </c>
      <c r="CX56" s="3">
        <f t="shared" si="39"/>
        <v>1</v>
      </c>
      <c r="CY56" s="30"/>
      <c r="CZ56" s="3" cm="1">
        <f t="array" ref="CZ56">IFERROR(COUNT(_xlfn._xlws.FILTER(CH56:CL56, ISNUMBER(MATCH(CH56:CL56, {2,3,5,7,11,13,17,19,23,29,31,37,41,43}, 0)))), 0)</f>
        <v>3</v>
      </c>
      <c r="DA56" s="3" cm="1">
        <f t="array" ref="DA56">IFERROR(COUNT(_xlfn._xlws.FILTER(CH56:CL56, ISNUMBER(MATCH(CH56:CL56, {1,4,8,10,14,16,20,22,25,26,28,32,34,35,38,40,44}, 0)))), 0)</f>
        <v>0</v>
      </c>
      <c r="DB56" s="3" cm="1">
        <f t="array" ref="DB56">IFERROR(COUNT(_xlfn._xlws.FILTER(CH56:CL56, ISNUMBER(MATCH(CH56:CL56, {6,9,12,15,18,21,24,27,30,33,36,39,42,45}, 0)))), 0)</f>
        <v>2</v>
      </c>
      <c r="DC56" s="29"/>
      <c r="DD56" s="28" t="e">
        <f>#REF!</f>
        <v>#REF!</v>
      </c>
      <c r="DE56" s="28" t="e">
        <f>#REF!*2</f>
        <v>#REF!</v>
      </c>
      <c r="DF56" s="28" t="e">
        <f>#REF!</f>
        <v>#REF!</v>
      </c>
      <c r="DG56" s="28" t="e">
        <f>#REF!*2</f>
        <v>#REF!</v>
      </c>
      <c r="DH56" s="28" t="e">
        <f>#REF!</f>
        <v>#REF!</v>
      </c>
      <c r="DI56" s="28" t="e">
        <f>#REF!*2</f>
        <v>#REF!</v>
      </c>
      <c r="DJ56" s="28" t="e">
        <f>#REF!</f>
        <v>#REF!</v>
      </c>
      <c r="DK56" s="28" t="e">
        <f>#REF!*2</f>
        <v>#REF!</v>
      </c>
      <c r="DL56" s="28" t="e">
        <f>#REF!</f>
        <v>#REF!</v>
      </c>
      <c r="DM56" s="28" t="e">
        <f>#REF!*2</f>
        <v>#REF!</v>
      </c>
      <c r="DN56" s="27"/>
      <c r="DO56" s="26" t="str" cm="1">
        <f t="array" ref="DO56">_xlfn.IFS(
   OR(CH56="",ISBLANK(CH56),CH56=0),0,
   ISNUMBER(MATCH(CH56,{2,3,5,7,11,13,17,19,23,29,31,37,41,43},0)),"소",
   AND(ISNUMBER(CH56),MOD(CH56,3)=0),"배",
   AND(ISNUMBER(CH56),CH56&gt;0),"자"
)</f>
        <v>소</v>
      </c>
      <c r="DP56" s="26" t="str" cm="1">
        <f t="array" ref="DP56">_xlfn.IFS(
   OR(CI56="",ISBLANK(CI56),CI56=0),0,
   ISNUMBER(MATCH(CI56,{2,3,5,7,11,13,17,19,23,29,31,37,41,43},0)),"소",
   AND(ISNUMBER(CI56),MOD(CI56,3)=0),"배",
   AND(ISNUMBER(CI56),CI56&gt;0),"자"
)</f>
        <v>소</v>
      </c>
      <c r="DQ56" s="26" t="str" cm="1">
        <f t="array" ref="DQ56">_xlfn.IFS(
   OR(CJ56="",ISBLANK(CJ56),CJ56=0),0,
   ISNUMBER(MATCH(CJ56,{2,3,5,7,11,13,17,19,23,29,31,37,41,43},0)),"소",
   AND(ISNUMBER(CJ56),MOD(CJ56,3)=0),"배",
   AND(ISNUMBER(CJ56),CJ56&gt;0),"자"
)</f>
        <v>소</v>
      </c>
      <c r="DR56" s="26" t="str" cm="1">
        <f t="array" ref="DR56">_xlfn.IFS(
   OR(CK56="",ISBLANK(CK56),CK56=0),0,
   ISNUMBER(MATCH(CK56,{2,3,5,7,11,13,17,19,23,29,31,37,41,43},0)),"소",
   AND(ISNUMBER(CK56),MOD(CK56,3)=0),"배",
   AND(ISNUMBER(CK56),CK56&gt;0),"자"
)</f>
        <v>배</v>
      </c>
      <c r="DS56" s="26" t="str" cm="1">
        <f t="array" ref="DS56">_xlfn.IFS(
   OR(CL56="",ISBLANK(CL56),CL56=0),0,
   ISNUMBER(MATCH(CL56,{2,3,5,7,11,13,17,19,23,29,31,37,41,43},0)),"소",
   AND(ISNUMBER(CL56),MOD(CL56,3)=0),"배",
   AND(ISNUMBER(CL56),CL56&gt;0),"자"
)</f>
        <v>배</v>
      </c>
      <c r="DT56" s="25"/>
    </row>
    <row r="57" spans="2:124" x14ac:dyDescent="0.3">
      <c r="B57" s="3">
        <v>14</v>
      </c>
      <c r="C57" s="3">
        <v>16</v>
      </c>
      <c r="D57" s="3">
        <v>19</v>
      </c>
      <c r="E57" s="3">
        <v>20</v>
      </c>
      <c r="F57" s="3">
        <v>29</v>
      </c>
      <c r="G57" s="3">
        <v>34</v>
      </c>
      <c r="H57" s="32"/>
      <c r="I57" s="3">
        <f t="shared" si="0"/>
        <v>2</v>
      </c>
      <c r="J57" s="3">
        <f t="shared" si="1"/>
        <v>2</v>
      </c>
      <c r="K57" s="3">
        <f t="shared" si="2"/>
        <v>1</v>
      </c>
      <c r="L57" s="3">
        <f t="shared" si="3"/>
        <v>2</v>
      </c>
      <c r="M57" s="3">
        <f t="shared" si="4"/>
        <v>1</v>
      </c>
      <c r="N57" s="3">
        <f t="shared" si="5"/>
        <v>2</v>
      </c>
      <c r="O57" s="32"/>
      <c r="P57" s="3" cm="1">
        <f t="array" ref="P57">SUMPRODUCT(--(MOD(B57:G57,2)=1))</f>
        <v>2</v>
      </c>
      <c r="Q57" s="3">
        <f t="shared" si="6"/>
        <v>4</v>
      </c>
      <c r="R57" s="34"/>
      <c r="S57" s="3">
        <f t="shared" si="7"/>
        <v>4</v>
      </c>
      <c r="T57" s="3">
        <f t="shared" si="8"/>
        <v>2</v>
      </c>
      <c r="U57" s="34"/>
      <c r="V57" s="3" cm="1">
        <f t="array" ref="V57">SUMPRODUCT(--(MOD(B57:G57,10)&gt;=1), --(MOD(B57:G57,10)&lt;=5))</f>
        <v>2</v>
      </c>
      <c r="W57" s="3">
        <f t="shared" si="9"/>
        <v>4</v>
      </c>
      <c r="X57" s="34"/>
      <c r="Y57" s="3" cm="1">
        <f t="array" ref="Y57">IFERROR(COUNT(_xlfn._xlws.FILTER(B57:G57, ISNUMBER(MATCH(B57:G57, {2,3,5,7,11,13,17,19,23,29,31,37,41,43}, 0)))), 0)</f>
        <v>2</v>
      </c>
      <c r="Z57" s="3" cm="1">
        <f t="array" ref="Z57">IFERROR(COUNT(_xlfn._xlws.FILTER(B57:G57, ISNUMBER(MATCH(B57:G57, {1,4,8,10,14,16,20,22,25,26,28,32,34,35,38,40,44}, 0)))), 0)</f>
        <v>4</v>
      </c>
      <c r="AA57" s="3" cm="1">
        <f t="array" ref="AA57">IFERROR(COUNT(_xlfn._xlws.FILTER(B57:G57, ISNUMBER(MATCH(B57:G57, {6,9,12,15,18,21,24,27,30,33,36,39,42,45}, 0)))), 0)</f>
        <v>0</v>
      </c>
      <c r="AB57" s="30"/>
      <c r="AC57" s="26" t="str" cm="1">
        <f t="array" ref="AC57">_xlfn.IFS(
   OR(B57="",ISBLANK(B57),B57=0),0,
   ISNUMBER(MATCH(B57,{2,3,5,7,11,13,17,19,23,29,31,37,41,43},0)),"소",
   AND(ISNUMBER(B57),MOD(B57,3)=0),"배",
   AND(ISNUMBER(B57),B57&gt;0),"자"
)</f>
        <v>자</v>
      </c>
      <c r="AD57" s="26" t="str" cm="1">
        <f t="array" ref="AD57">_xlfn.IFS(
   OR(C57="",ISBLANK(C57),C57=0),0,
   ISNUMBER(MATCH(C57,{2,3,5,7,11,13,17,19,23,29,31,37,41,43},0)),"소",
   AND(ISNUMBER(C57),MOD(C57,3)=0),"배",
   AND(ISNUMBER(C57),C57&gt;0),"자"
)</f>
        <v>자</v>
      </c>
      <c r="AE57" s="26" t="str" cm="1">
        <f t="array" ref="AE57">_xlfn.IFS(
   OR(D57="",ISBLANK(D57),D57=0),0,
   ISNUMBER(MATCH(D57,{2,3,5,7,11,13,17,19,23,29,31,37,41,43},0)),"소",
   AND(ISNUMBER(D57),MOD(D57,3)=0),"배",
   AND(ISNUMBER(D57),D57&gt;0),"자"
)</f>
        <v>소</v>
      </c>
      <c r="AF57" s="26" t="str" cm="1">
        <f t="array" ref="AF57">_xlfn.IFS(
   OR(E57="",ISBLANK(E57),E57=0),0,
   ISNUMBER(MATCH(E57,{2,3,5,7,11,13,17,19,23,29,31,37,41,43},0)),"소",
   AND(ISNUMBER(E57),MOD(E57,3)=0),"배",
   AND(ISNUMBER(E57),E57&gt;0),"자"
)</f>
        <v>자</v>
      </c>
      <c r="AG57" s="26" t="str" cm="1">
        <f t="array" ref="AG57">_xlfn.IFS(
   OR(F57="",ISBLANK(F57),F57=0),0,
   ISNUMBER(MATCH(F57,{2,3,5,7,11,13,17,19,23,29,31,37,41,43},0)),"소",
   AND(ISNUMBER(F57),MOD(F57,3)=0),"배",
   AND(ISNUMBER(F57),F57&gt;0),"자"
)</f>
        <v>소</v>
      </c>
      <c r="AH57" s="26" t="str" cm="1">
        <f t="array" ref="AH57">_xlfn.IFS(
   OR(G57="",ISBLANK(G57),G57=0),0,
   ISNUMBER(MATCH(G57,{2,3,5,7,11,13,17,19,23,29,31,37,41,43},0)),"소",
   AND(ISNUMBER(G57),MOD(G57,3)=0),"배",
   AND(ISNUMBER(G57),G57&gt;0),"자"
)</f>
        <v>자</v>
      </c>
      <c r="AI57" s="30"/>
      <c r="AJ57" s="3">
        <f t="shared" si="10"/>
        <v>1</v>
      </c>
      <c r="AK57" s="3">
        <f t="shared" si="11"/>
        <v>4</v>
      </c>
      <c r="AL57" s="3">
        <f t="shared" si="12"/>
        <v>1</v>
      </c>
      <c r="AM57" s="33"/>
      <c r="AN57" s="3">
        <f t="shared" si="13"/>
        <v>0</v>
      </c>
      <c r="AO57" s="3">
        <f t="shared" si="14"/>
        <v>2</v>
      </c>
      <c r="AP57" s="3">
        <f t="shared" si="15"/>
        <v>2</v>
      </c>
      <c r="AQ57" s="3">
        <f t="shared" si="16"/>
        <v>2</v>
      </c>
      <c r="AR57" s="3">
        <f t="shared" si="17"/>
        <v>0</v>
      </c>
      <c r="AS57" s="28" t="e">
        <f>#REF!</f>
        <v>#REF!</v>
      </c>
      <c r="AT57" s="28" t="e">
        <f>#REF!*2</f>
        <v>#REF!</v>
      </c>
      <c r="AU57" s="28" t="e">
        <f>#REF!</f>
        <v>#REF!</v>
      </c>
      <c r="AV57" s="28" t="e">
        <f>#REF!*2</f>
        <v>#REF!</v>
      </c>
      <c r="AW57" s="28" t="e">
        <f>#REF!</f>
        <v>#REF!</v>
      </c>
      <c r="AX57" s="28" t="e">
        <f>#REF!*2</f>
        <v>#REF!</v>
      </c>
      <c r="AY57" s="28" t="e">
        <f>#REF!</f>
        <v>#REF!</v>
      </c>
      <c r="AZ57" s="28" t="e">
        <f>#REF!*2</f>
        <v>#REF!</v>
      </c>
      <c r="BA57" s="28" t="e">
        <f>#REF!</f>
        <v>#REF!</v>
      </c>
      <c r="BB57" s="28" t="e">
        <f>#REF!*2</f>
        <v>#REF!</v>
      </c>
      <c r="BC57" s="28" t="e">
        <f>#REF!</f>
        <v>#REF!</v>
      </c>
      <c r="BD57" s="28" t="e">
        <f>#REF!*2</f>
        <v>#REF!</v>
      </c>
      <c r="BE57" s="9" t="e">
        <f>#REF!-#REF!</f>
        <v>#REF!</v>
      </c>
      <c r="BF57" s="9" t="e">
        <f>#REF!-#REF!</f>
        <v>#REF!</v>
      </c>
      <c r="BG57" s="9" t="e">
        <f>#REF!-#REF!</f>
        <v>#REF!</v>
      </c>
      <c r="BH57" s="9" t="e">
        <f>#REF!-#REF!</f>
        <v>#REF!</v>
      </c>
      <c r="BI57" s="9" t="e">
        <f>#REF!-#REF!</f>
        <v>#REF!</v>
      </c>
      <c r="BJ57" s="33"/>
      <c r="BK57" s="3">
        <f t="shared" si="18"/>
        <v>0</v>
      </c>
      <c r="BL57" s="3">
        <f t="shared" si="19"/>
        <v>3</v>
      </c>
      <c r="BM57" s="3">
        <f t="shared" si="20"/>
        <v>2</v>
      </c>
      <c r="BN57" s="3">
        <f t="shared" si="21"/>
        <v>1</v>
      </c>
      <c r="BO57" s="3">
        <f t="shared" si="22"/>
        <v>0</v>
      </c>
      <c r="BP57" s="28" t="e">
        <f>#REF!</f>
        <v>#REF!</v>
      </c>
      <c r="BQ57" s="28" t="e">
        <f>#REF!*2</f>
        <v>#REF!</v>
      </c>
      <c r="BR57" s="28" t="e">
        <f>#REF!</f>
        <v>#REF!</v>
      </c>
      <c r="BS57" s="28" t="e">
        <f>#REF!*2</f>
        <v>#REF!</v>
      </c>
      <c r="BT57" s="28" t="e">
        <f>#REF!</f>
        <v>#REF!</v>
      </c>
      <c r="BU57" s="28" t="e">
        <f>#REF!*2</f>
        <v>#REF!</v>
      </c>
      <c r="BV57" s="28" t="e">
        <f>#REF!</f>
        <v>#REF!</v>
      </c>
      <c r="BW57" s="28" t="e">
        <f>#REF!*2</f>
        <v>#REF!</v>
      </c>
      <c r="BX57" s="28" t="e">
        <f>#REF!</f>
        <v>#REF!</v>
      </c>
      <c r="BY57" s="28" t="e">
        <f>#REF!*2</f>
        <v>#REF!</v>
      </c>
      <c r="BZ57" s="28" t="e">
        <f>#REF!</f>
        <v>#REF!</v>
      </c>
      <c r="CA57" s="28" t="e">
        <f>#REF!*2</f>
        <v>#REF!</v>
      </c>
      <c r="CB57" s="9">
        <f t="shared" si="23"/>
        <v>2</v>
      </c>
      <c r="CC57" s="9">
        <f t="shared" si="24"/>
        <v>3</v>
      </c>
      <c r="CD57" s="9">
        <f t="shared" si="25"/>
        <v>1</v>
      </c>
      <c r="CE57" s="9">
        <f t="shared" si="26"/>
        <v>9</v>
      </c>
      <c r="CF57" s="9">
        <f t="shared" si="27"/>
        <v>5</v>
      </c>
      <c r="CG57" s="33"/>
      <c r="CH57" s="9">
        <f t="shared" si="28"/>
        <v>2</v>
      </c>
      <c r="CI57" s="9">
        <f t="shared" si="29"/>
        <v>3</v>
      </c>
      <c r="CJ57" s="9">
        <f t="shared" si="30"/>
        <v>1</v>
      </c>
      <c r="CK57" s="9">
        <f t="shared" si="31"/>
        <v>9</v>
      </c>
      <c r="CL57" s="9">
        <f t="shared" si="32"/>
        <v>5</v>
      </c>
      <c r="CM57" s="32"/>
      <c r="CN57" s="3">
        <f t="shared" si="33"/>
        <v>2</v>
      </c>
      <c r="CO57" s="3">
        <f t="shared" si="34"/>
        <v>1</v>
      </c>
      <c r="CP57" s="3">
        <f t="shared" si="35"/>
        <v>1</v>
      </c>
      <c r="CQ57" s="3">
        <f t="shared" si="36"/>
        <v>1</v>
      </c>
      <c r="CR57" s="3">
        <f t="shared" si="37"/>
        <v>1</v>
      </c>
      <c r="CS57" s="31"/>
      <c r="CT57" s="3" cm="1">
        <f t="array" ref="CT57">SUMPRODUCT(--(MOD(CH57:CL57,2)=1))</f>
        <v>4</v>
      </c>
      <c r="CU57" s="3">
        <f t="shared" si="38"/>
        <v>1</v>
      </c>
      <c r="CV57" s="30"/>
      <c r="CW57" s="3" cm="1">
        <f t="array" ref="CW57">SUMPRODUCT(--(MOD(CH57:CL57,10)&gt;=1), --(MOD(CH57:CL57,10)&lt;=5))</f>
        <v>4</v>
      </c>
      <c r="CX57" s="3">
        <f t="shared" si="39"/>
        <v>1</v>
      </c>
      <c r="CY57" s="30"/>
      <c r="CZ57" s="3" cm="1">
        <f t="array" ref="CZ57">IFERROR(COUNT(_xlfn._xlws.FILTER(CH57:CL57, ISNUMBER(MATCH(CH57:CL57, {2,3,5,7,11,13,17,19,23,29,31,37,41,43}, 0)))), 0)</f>
        <v>3</v>
      </c>
      <c r="DA57" s="3" cm="1">
        <f t="array" ref="DA57">IFERROR(COUNT(_xlfn._xlws.FILTER(CH57:CL57, ISNUMBER(MATCH(CH57:CL57, {1,4,8,10,14,16,20,22,25,26,28,32,34,35,38,40,44}, 0)))), 0)</f>
        <v>1</v>
      </c>
      <c r="DB57" s="3" cm="1">
        <f t="array" ref="DB57">IFERROR(COUNT(_xlfn._xlws.FILTER(CH57:CL57, ISNUMBER(MATCH(CH57:CL57, {6,9,12,15,18,21,24,27,30,33,36,39,42,45}, 0)))), 0)</f>
        <v>1</v>
      </c>
      <c r="DC57" s="29"/>
      <c r="DD57" s="28" t="e">
        <f>#REF!</f>
        <v>#REF!</v>
      </c>
      <c r="DE57" s="28" t="e">
        <f>#REF!*2</f>
        <v>#REF!</v>
      </c>
      <c r="DF57" s="28" t="e">
        <f>#REF!</f>
        <v>#REF!</v>
      </c>
      <c r="DG57" s="28" t="e">
        <f>#REF!*2</f>
        <v>#REF!</v>
      </c>
      <c r="DH57" s="28" t="e">
        <f>#REF!</f>
        <v>#REF!</v>
      </c>
      <c r="DI57" s="28" t="e">
        <f>#REF!*2</f>
        <v>#REF!</v>
      </c>
      <c r="DJ57" s="28" t="e">
        <f>#REF!</f>
        <v>#REF!</v>
      </c>
      <c r="DK57" s="28" t="e">
        <f>#REF!*2</f>
        <v>#REF!</v>
      </c>
      <c r="DL57" s="28" t="e">
        <f>#REF!</f>
        <v>#REF!</v>
      </c>
      <c r="DM57" s="28" t="e">
        <f>#REF!*2</f>
        <v>#REF!</v>
      </c>
      <c r="DN57" s="27"/>
      <c r="DO57" s="26" t="str" cm="1">
        <f t="array" ref="DO57">_xlfn.IFS(
   OR(CH57="",ISBLANK(CH57),CH57=0),0,
   ISNUMBER(MATCH(CH57,{2,3,5,7,11,13,17,19,23,29,31,37,41,43},0)),"소",
   AND(ISNUMBER(CH57),MOD(CH57,3)=0),"배",
   AND(ISNUMBER(CH57),CH57&gt;0),"자"
)</f>
        <v>소</v>
      </c>
      <c r="DP57" s="26" t="str" cm="1">
        <f t="array" ref="DP57">_xlfn.IFS(
   OR(CI57="",ISBLANK(CI57),CI57=0),0,
   ISNUMBER(MATCH(CI57,{2,3,5,7,11,13,17,19,23,29,31,37,41,43},0)),"소",
   AND(ISNUMBER(CI57),MOD(CI57,3)=0),"배",
   AND(ISNUMBER(CI57),CI57&gt;0),"자"
)</f>
        <v>소</v>
      </c>
      <c r="DQ57" s="26" t="str" cm="1">
        <f t="array" ref="DQ57">_xlfn.IFS(
   OR(CJ57="",ISBLANK(CJ57),CJ57=0),0,
   ISNUMBER(MATCH(CJ57,{2,3,5,7,11,13,17,19,23,29,31,37,41,43},0)),"소",
   AND(ISNUMBER(CJ57),MOD(CJ57,3)=0),"배",
   AND(ISNUMBER(CJ57),CJ57&gt;0),"자"
)</f>
        <v>자</v>
      </c>
      <c r="DR57" s="26" t="str" cm="1">
        <f t="array" ref="DR57">_xlfn.IFS(
   OR(CK57="",ISBLANK(CK57),CK57=0),0,
   ISNUMBER(MATCH(CK57,{2,3,5,7,11,13,17,19,23,29,31,37,41,43},0)),"소",
   AND(ISNUMBER(CK57),MOD(CK57,3)=0),"배",
   AND(ISNUMBER(CK57),CK57&gt;0),"자"
)</f>
        <v>배</v>
      </c>
      <c r="DS57" s="26" t="str" cm="1">
        <f t="array" ref="DS57">_xlfn.IFS(
   OR(CL57="",ISBLANK(CL57),CL57=0),0,
   ISNUMBER(MATCH(CL57,{2,3,5,7,11,13,17,19,23,29,31,37,41,43},0)),"소",
   AND(ISNUMBER(CL57),MOD(CL57,3)=0),"배",
   AND(ISNUMBER(CL57),CL57&gt;0),"자"
)</f>
        <v>소</v>
      </c>
      <c r="DT57" s="25"/>
    </row>
    <row r="58" spans="2:124" x14ac:dyDescent="0.3">
      <c r="B58" s="3">
        <v>5</v>
      </c>
      <c r="C58" s="3">
        <v>12</v>
      </c>
      <c r="D58" s="3">
        <v>15</v>
      </c>
      <c r="E58" s="3">
        <v>30</v>
      </c>
      <c r="F58" s="3">
        <v>37</v>
      </c>
      <c r="G58" s="3">
        <v>40</v>
      </c>
      <c r="H58" s="32"/>
      <c r="I58" s="3">
        <f t="shared" si="0"/>
        <v>1</v>
      </c>
      <c r="J58" s="3">
        <f t="shared" si="1"/>
        <v>2</v>
      </c>
      <c r="K58" s="3">
        <f t="shared" si="2"/>
        <v>1</v>
      </c>
      <c r="L58" s="3">
        <f t="shared" si="3"/>
        <v>2</v>
      </c>
      <c r="M58" s="3">
        <f t="shared" si="4"/>
        <v>1</v>
      </c>
      <c r="N58" s="3">
        <f t="shared" si="5"/>
        <v>2</v>
      </c>
      <c r="O58" s="32"/>
      <c r="P58" s="3" cm="1">
        <f t="array" ref="P58">SUMPRODUCT(--(MOD(B58:G58,2)=1))</f>
        <v>3</v>
      </c>
      <c r="Q58" s="3">
        <f t="shared" si="6"/>
        <v>3</v>
      </c>
      <c r="R58" s="34"/>
      <c r="S58" s="3">
        <f t="shared" si="7"/>
        <v>3</v>
      </c>
      <c r="T58" s="3">
        <f t="shared" si="8"/>
        <v>3</v>
      </c>
      <c r="U58" s="34"/>
      <c r="V58" s="3" cm="1">
        <f t="array" ref="V58">SUMPRODUCT(--(MOD(B58:G58,10)&gt;=1), --(MOD(B58:G58,10)&lt;=5))</f>
        <v>3</v>
      </c>
      <c r="W58" s="3">
        <f t="shared" si="9"/>
        <v>3</v>
      </c>
      <c r="X58" s="34"/>
      <c r="Y58" s="3" cm="1">
        <f t="array" ref="Y58">IFERROR(COUNT(_xlfn._xlws.FILTER(B58:G58, ISNUMBER(MATCH(B58:G58, {2,3,5,7,11,13,17,19,23,29,31,37,41,43}, 0)))), 0)</f>
        <v>2</v>
      </c>
      <c r="Z58" s="3" cm="1">
        <f t="array" ref="Z58">IFERROR(COUNT(_xlfn._xlws.FILTER(B58:G58, ISNUMBER(MATCH(B58:G58, {1,4,8,10,14,16,20,22,25,26,28,32,34,35,38,40,44}, 0)))), 0)</f>
        <v>1</v>
      </c>
      <c r="AA58" s="3" cm="1">
        <f t="array" ref="AA58">IFERROR(COUNT(_xlfn._xlws.FILTER(B58:G58, ISNUMBER(MATCH(B58:G58, {6,9,12,15,18,21,24,27,30,33,36,39,42,45}, 0)))), 0)</f>
        <v>3</v>
      </c>
      <c r="AB58" s="30"/>
      <c r="AC58" s="26" t="str" cm="1">
        <f t="array" ref="AC58">_xlfn.IFS(
   OR(B58="",ISBLANK(B58),B58=0),0,
   ISNUMBER(MATCH(B58,{2,3,5,7,11,13,17,19,23,29,31,37,41,43},0)),"소",
   AND(ISNUMBER(B58),MOD(B58,3)=0),"배",
   AND(ISNUMBER(B58),B58&gt;0),"자"
)</f>
        <v>소</v>
      </c>
      <c r="AD58" s="26" t="str" cm="1">
        <f t="array" ref="AD58">_xlfn.IFS(
   OR(C58="",ISBLANK(C58),C58=0),0,
   ISNUMBER(MATCH(C58,{2,3,5,7,11,13,17,19,23,29,31,37,41,43},0)),"소",
   AND(ISNUMBER(C58),MOD(C58,3)=0),"배",
   AND(ISNUMBER(C58),C58&gt;0),"자"
)</f>
        <v>배</v>
      </c>
      <c r="AE58" s="26" t="str" cm="1">
        <f t="array" ref="AE58">_xlfn.IFS(
   OR(D58="",ISBLANK(D58),D58=0),0,
   ISNUMBER(MATCH(D58,{2,3,5,7,11,13,17,19,23,29,31,37,41,43},0)),"소",
   AND(ISNUMBER(D58),MOD(D58,3)=0),"배",
   AND(ISNUMBER(D58),D58&gt;0),"자"
)</f>
        <v>배</v>
      </c>
      <c r="AF58" s="26" t="str" cm="1">
        <f t="array" ref="AF58">_xlfn.IFS(
   OR(E58="",ISBLANK(E58),E58=0),0,
   ISNUMBER(MATCH(E58,{2,3,5,7,11,13,17,19,23,29,31,37,41,43},0)),"소",
   AND(ISNUMBER(E58),MOD(E58,3)=0),"배",
   AND(ISNUMBER(E58),E58&gt;0),"자"
)</f>
        <v>배</v>
      </c>
      <c r="AG58" s="26" t="str" cm="1">
        <f t="array" ref="AG58">_xlfn.IFS(
   OR(F58="",ISBLANK(F58),F58=0),0,
   ISNUMBER(MATCH(F58,{2,3,5,7,11,13,17,19,23,29,31,37,41,43},0)),"소",
   AND(ISNUMBER(F58),MOD(F58,3)=0),"배",
   AND(ISNUMBER(F58),F58&gt;0),"자"
)</f>
        <v>소</v>
      </c>
      <c r="AH58" s="26" t="str" cm="1">
        <f t="array" ref="AH58">_xlfn.IFS(
   OR(G58="",ISBLANK(G58),G58=0),0,
   ISNUMBER(MATCH(G58,{2,3,5,7,11,13,17,19,23,29,31,37,41,43},0)),"소",
   AND(ISNUMBER(G58),MOD(G58,3)=0),"배",
   AND(ISNUMBER(G58),G58&gt;0),"자"
)</f>
        <v>자</v>
      </c>
      <c r="AI58" s="30"/>
      <c r="AJ58" s="3">
        <f t="shared" si="10"/>
        <v>2</v>
      </c>
      <c r="AK58" s="3">
        <f t="shared" si="11"/>
        <v>2</v>
      </c>
      <c r="AL58" s="3">
        <f t="shared" si="12"/>
        <v>2</v>
      </c>
      <c r="AM58" s="33"/>
      <c r="AN58" s="3">
        <f t="shared" si="13"/>
        <v>1</v>
      </c>
      <c r="AO58" s="3">
        <f t="shared" si="14"/>
        <v>2</v>
      </c>
      <c r="AP58" s="3">
        <f t="shared" si="15"/>
        <v>0</v>
      </c>
      <c r="AQ58" s="3">
        <f t="shared" si="16"/>
        <v>1</v>
      </c>
      <c r="AR58" s="3">
        <f t="shared" si="17"/>
        <v>2</v>
      </c>
      <c r="AS58" s="28" t="e">
        <f>#REF!</f>
        <v>#REF!</v>
      </c>
      <c r="AT58" s="28" t="e">
        <f>#REF!*2</f>
        <v>#REF!</v>
      </c>
      <c r="AU58" s="28" t="e">
        <f>#REF!</f>
        <v>#REF!</v>
      </c>
      <c r="AV58" s="28" t="e">
        <f>#REF!*2</f>
        <v>#REF!</v>
      </c>
      <c r="AW58" s="28" t="e">
        <f>#REF!</f>
        <v>#REF!</v>
      </c>
      <c r="AX58" s="28" t="e">
        <f>#REF!*2</f>
        <v>#REF!</v>
      </c>
      <c r="AY58" s="28" t="e">
        <f>#REF!</f>
        <v>#REF!</v>
      </c>
      <c r="AZ58" s="28" t="e">
        <f>#REF!*2</f>
        <v>#REF!</v>
      </c>
      <c r="BA58" s="28" t="e">
        <f>#REF!</f>
        <v>#REF!</v>
      </c>
      <c r="BB58" s="28" t="e">
        <f>#REF!*2</f>
        <v>#REF!</v>
      </c>
      <c r="BC58" s="28" t="e">
        <f>#REF!</f>
        <v>#REF!</v>
      </c>
      <c r="BD58" s="28" t="e">
        <f>#REF!*2</f>
        <v>#REF!</v>
      </c>
      <c r="BE58" s="9" t="e">
        <f>#REF!-#REF!</f>
        <v>#REF!</v>
      </c>
      <c r="BF58" s="9" t="e">
        <f>#REF!-#REF!</f>
        <v>#REF!</v>
      </c>
      <c r="BG58" s="9" t="e">
        <f>#REF!-#REF!</f>
        <v>#REF!</v>
      </c>
      <c r="BH58" s="9" t="e">
        <f>#REF!-#REF!</f>
        <v>#REF!</v>
      </c>
      <c r="BI58" s="9" t="e">
        <f>#REF!-#REF!</f>
        <v>#REF!</v>
      </c>
      <c r="BJ58" s="33"/>
      <c r="BK58" s="3">
        <f t="shared" si="18"/>
        <v>1</v>
      </c>
      <c r="BL58" s="3">
        <f t="shared" si="19"/>
        <v>2</v>
      </c>
      <c r="BM58" s="3">
        <f t="shared" si="20"/>
        <v>0</v>
      </c>
      <c r="BN58" s="3">
        <f t="shared" si="21"/>
        <v>2</v>
      </c>
      <c r="BO58" s="3">
        <f t="shared" si="22"/>
        <v>1</v>
      </c>
      <c r="BP58" s="28" t="e">
        <f>#REF!</f>
        <v>#REF!</v>
      </c>
      <c r="BQ58" s="28" t="e">
        <f>#REF!*2</f>
        <v>#REF!</v>
      </c>
      <c r="BR58" s="28" t="e">
        <f>#REF!</f>
        <v>#REF!</v>
      </c>
      <c r="BS58" s="28" t="e">
        <f>#REF!*2</f>
        <v>#REF!</v>
      </c>
      <c r="BT58" s="28" t="e">
        <f>#REF!</f>
        <v>#REF!</v>
      </c>
      <c r="BU58" s="28" t="e">
        <f>#REF!*2</f>
        <v>#REF!</v>
      </c>
      <c r="BV58" s="28" t="e">
        <f>#REF!</f>
        <v>#REF!</v>
      </c>
      <c r="BW58" s="28" t="e">
        <f>#REF!*2</f>
        <v>#REF!</v>
      </c>
      <c r="BX58" s="28" t="e">
        <f>#REF!</f>
        <v>#REF!</v>
      </c>
      <c r="BY58" s="28" t="e">
        <f>#REF!*2</f>
        <v>#REF!</v>
      </c>
      <c r="BZ58" s="28" t="e">
        <f>#REF!</f>
        <v>#REF!</v>
      </c>
      <c r="CA58" s="28" t="e">
        <f>#REF!*2</f>
        <v>#REF!</v>
      </c>
      <c r="CB58" s="9">
        <f t="shared" si="23"/>
        <v>7</v>
      </c>
      <c r="CC58" s="9">
        <f t="shared" si="24"/>
        <v>3</v>
      </c>
      <c r="CD58" s="9">
        <f t="shared" si="25"/>
        <v>15</v>
      </c>
      <c r="CE58" s="9">
        <f t="shared" si="26"/>
        <v>7</v>
      </c>
      <c r="CF58" s="9">
        <f t="shared" si="27"/>
        <v>3</v>
      </c>
      <c r="CG58" s="33"/>
      <c r="CH58" s="9">
        <f t="shared" si="28"/>
        <v>7</v>
      </c>
      <c r="CI58" s="9">
        <f t="shared" si="29"/>
        <v>3</v>
      </c>
      <c r="CJ58" s="9">
        <f t="shared" si="30"/>
        <v>15</v>
      </c>
      <c r="CK58" s="9">
        <f t="shared" si="31"/>
        <v>7</v>
      </c>
      <c r="CL58" s="9">
        <f t="shared" si="32"/>
        <v>3</v>
      </c>
      <c r="CM58" s="32"/>
      <c r="CN58" s="3">
        <f t="shared" si="33"/>
        <v>1</v>
      </c>
      <c r="CO58" s="3">
        <f t="shared" si="34"/>
        <v>1</v>
      </c>
      <c r="CP58" s="3">
        <f t="shared" si="35"/>
        <v>1</v>
      </c>
      <c r="CQ58" s="3">
        <f t="shared" si="36"/>
        <v>1</v>
      </c>
      <c r="CR58" s="3">
        <f t="shared" si="37"/>
        <v>1</v>
      </c>
      <c r="CS58" s="31"/>
      <c r="CT58" s="3" cm="1">
        <f t="array" ref="CT58">SUMPRODUCT(--(MOD(CH58:CL58,2)=1))</f>
        <v>5</v>
      </c>
      <c r="CU58" s="3">
        <f t="shared" si="38"/>
        <v>0</v>
      </c>
      <c r="CV58" s="30"/>
      <c r="CW58" s="3" cm="1">
        <f t="array" ref="CW58">SUMPRODUCT(--(MOD(CH58:CL58,10)&gt;=1), --(MOD(CH58:CL58,10)&lt;=5))</f>
        <v>3</v>
      </c>
      <c r="CX58" s="3">
        <f t="shared" si="39"/>
        <v>2</v>
      </c>
      <c r="CY58" s="30"/>
      <c r="CZ58" s="3" cm="1">
        <f t="array" ref="CZ58">IFERROR(COUNT(_xlfn._xlws.FILTER(CH58:CL58, ISNUMBER(MATCH(CH58:CL58, {2,3,5,7,11,13,17,19,23,29,31,37,41,43}, 0)))), 0)</f>
        <v>4</v>
      </c>
      <c r="DA58" s="3" cm="1">
        <f t="array" ref="DA58">IFERROR(COUNT(_xlfn._xlws.FILTER(CH58:CL58, ISNUMBER(MATCH(CH58:CL58, {1,4,8,10,14,16,20,22,25,26,28,32,34,35,38,40,44}, 0)))), 0)</f>
        <v>0</v>
      </c>
      <c r="DB58" s="3" cm="1">
        <f t="array" ref="DB58">IFERROR(COUNT(_xlfn._xlws.FILTER(CH58:CL58, ISNUMBER(MATCH(CH58:CL58, {6,9,12,15,18,21,24,27,30,33,36,39,42,45}, 0)))), 0)</f>
        <v>1</v>
      </c>
      <c r="DC58" s="29"/>
      <c r="DD58" s="28" t="e">
        <f>#REF!</f>
        <v>#REF!</v>
      </c>
      <c r="DE58" s="28" t="e">
        <f>#REF!*2</f>
        <v>#REF!</v>
      </c>
      <c r="DF58" s="28" t="e">
        <f>#REF!</f>
        <v>#REF!</v>
      </c>
      <c r="DG58" s="28" t="e">
        <f>#REF!*2</f>
        <v>#REF!</v>
      </c>
      <c r="DH58" s="28" t="e">
        <f>#REF!</f>
        <v>#REF!</v>
      </c>
      <c r="DI58" s="28" t="e">
        <f>#REF!*2</f>
        <v>#REF!</v>
      </c>
      <c r="DJ58" s="28" t="e">
        <f>#REF!</f>
        <v>#REF!</v>
      </c>
      <c r="DK58" s="28" t="e">
        <f>#REF!*2</f>
        <v>#REF!</v>
      </c>
      <c r="DL58" s="28" t="e">
        <f>#REF!</f>
        <v>#REF!</v>
      </c>
      <c r="DM58" s="28" t="e">
        <f>#REF!*2</f>
        <v>#REF!</v>
      </c>
      <c r="DN58" s="27"/>
      <c r="DO58" s="26" t="str" cm="1">
        <f t="array" ref="DO58">_xlfn.IFS(
   OR(CH58="",ISBLANK(CH58),CH58=0),0,
   ISNUMBER(MATCH(CH58,{2,3,5,7,11,13,17,19,23,29,31,37,41,43},0)),"소",
   AND(ISNUMBER(CH58),MOD(CH58,3)=0),"배",
   AND(ISNUMBER(CH58),CH58&gt;0),"자"
)</f>
        <v>소</v>
      </c>
      <c r="DP58" s="26" t="str" cm="1">
        <f t="array" ref="DP58">_xlfn.IFS(
   OR(CI58="",ISBLANK(CI58),CI58=0),0,
   ISNUMBER(MATCH(CI58,{2,3,5,7,11,13,17,19,23,29,31,37,41,43},0)),"소",
   AND(ISNUMBER(CI58),MOD(CI58,3)=0),"배",
   AND(ISNUMBER(CI58),CI58&gt;0),"자"
)</f>
        <v>소</v>
      </c>
      <c r="DQ58" s="26" t="str" cm="1">
        <f t="array" ref="DQ58">_xlfn.IFS(
   OR(CJ58="",ISBLANK(CJ58),CJ58=0),0,
   ISNUMBER(MATCH(CJ58,{2,3,5,7,11,13,17,19,23,29,31,37,41,43},0)),"소",
   AND(ISNUMBER(CJ58),MOD(CJ58,3)=0),"배",
   AND(ISNUMBER(CJ58),CJ58&gt;0),"자"
)</f>
        <v>배</v>
      </c>
      <c r="DR58" s="26" t="str" cm="1">
        <f t="array" ref="DR58">_xlfn.IFS(
   OR(CK58="",ISBLANK(CK58),CK58=0),0,
   ISNUMBER(MATCH(CK58,{2,3,5,7,11,13,17,19,23,29,31,37,41,43},0)),"소",
   AND(ISNUMBER(CK58),MOD(CK58,3)=0),"배",
   AND(ISNUMBER(CK58),CK58&gt;0),"자"
)</f>
        <v>소</v>
      </c>
      <c r="DS58" s="26" t="str" cm="1">
        <f t="array" ref="DS58">_xlfn.IFS(
   OR(CL58="",ISBLANK(CL58),CL58=0),0,
   ISNUMBER(MATCH(CL58,{2,3,5,7,11,13,17,19,23,29,31,37,41,43},0)),"소",
   AND(ISNUMBER(CL58),MOD(CL58,3)=0),"배",
   AND(ISNUMBER(CL58),CL58&gt;0),"자"
)</f>
        <v>소</v>
      </c>
      <c r="DT58" s="25"/>
    </row>
    <row r="59" spans="2:124" x14ac:dyDescent="0.3">
      <c r="B59" s="3">
        <v>7</v>
      </c>
      <c r="C59" s="3">
        <v>10</v>
      </c>
      <c r="D59" s="3">
        <v>22</v>
      </c>
      <c r="E59" s="3">
        <v>29</v>
      </c>
      <c r="F59" s="3">
        <v>31</v>
      </c>
      <c r="G59" s="3">
        <v>38</v>
      </c>
      <c r="H59" s="32"/>
      <c r="I59" s="3">
        <f t="shared" si="0"/>
        <v>1</v>
      </c>
      <c r="J59" s="3">
        <f t="shared" si="1"/>
        <v>2</v>
      </c>
      <c r="K59" s="3">
        <f t="shared" si="2"/>
        <v>2</v>
      </c>
      <c r="L59" s="3">
        <f t="shared" si="3"/>
        <v>1</v>
      </c>
      <c r="M59" s="3">
        <f t="shared" si="4"/>
        <v>1</v>
      </c>
      <c r="N59" s="3">
        <f t="shared" si="5"/>
        <v>2</v>
      </c>
      <c r="O59" s="32"/>
      <c r="P59" s="3" cm="1">
        <f t="array" ref="P59">SUMPRODUCT(--(MOD(B59:G59,2)=1))</f>
        <v>3</v>
      </c>
      <c r="Q59" s="3">
        <f t="shared" si="6"/>
        <v>3</v>
      </c>
      <c r="R59" s="34"/>
      <c r="S59" s="3">
        <f t="shared" si="7"/>
        <v>3</v>
      </c>
      <c r="T59" s="3">
        <f t="shared" si="8"/>
        <v>3</v>
      </c>
      <c r="U59" s="34"/>
      <c r="V59" s="3" cm="1">
        <f t="array" ref="V59">SUMPRODUCT(--(MOD(B59:G59,10)&gt;=1), --(MOD(B59:G59,10)&lt;=5))</f>
        <v>2</v>
      </c>
      <c r="W59" s="3">
        <f t="shared" si="9"/>
        <v>4</v>
      </c>
      <c r="X59" s="34"/>
      <c r="Y59" s="3" cm="1">
        <f t="array" ref="Y59">IFERROR(COUNT(_xlfn._xlws.FILTER(B59:G59, ISNUMBER(MATCH(B59:G59, {2,3,5,7,11,13,17,19,23,29,31,37,41,43}, 0)))), 0)</f>
        <v>3</v>
      </c>
      <c r="Z59" s="3" cm="1">
        <f t="array" ref="Z59">IFERROR(COUNT(_xlfn._xlws.FILTER(B59:G59, ISNUMBER(MATCH(B59:G59, {1,4,8,10,14,16,20,22,25,26,28,32,34,35,38,40,44}, 0)))), 0)</f>
        <v>3</v>
      </c>
      <c r="AA59" s="3" cm="1">
        <f t="array" ref="AA59">IFERROR(COUNT(_xlfn._xlws.FILTER(B59:G59, ISNUMBER(MATCH(B59:G59, {6,9,12,15,18,21,24,27,30,33,36,39,42,45}, 0)))), 0)</f>
        <v>0</v>
      </c>
      <c r="AB59" s="30"/>
      <c r="AC59" s="26" t="str" cm="1">
        <f t="array" ref="AC59">_xlfn.IFS(
   OR(B59="",ISBLANK(B59),B59=0),0,
   ISNUMBER(MATCH(B59,{2,3,5,7,11,13,17,19,23,29,31,37,41,43},0)),"소",
   AND(ISNUMBER(B59),MOD(B59,3)=0),"배",
   AND(ISNUMBER(B59),B59&gt;0),"자"
)</f>
        <v>소</v>
      </c>
      <c r="AD59" s="26" t="str" cm="1">
        <f t="array" ref="AD59">_xlfn.IFS(
   OR(C59="",ISBLANK(C59),C59=0),0,
   ISNUMBER(MATCH(C59,{2,3,5,7,11,13,17,19,23,29,31,37,41,43},0)),"소",
   AND(ISNUMBER(C59),MOD(C59,3)=0),"배",
   AND(ISNUMBER(C59),C59&gt;0),"자"
)</f>
        <v>자</v>
      </c>
      <c r="AE59" s="26" t="str" cm="1">
        <f t="array" ref="AE59">_xlfn.IFS(
   OR(D59="",ISBLANK(D59),D59=0),0,
   ISNUMBER(MATCH(D59,{2,3,5,7,11,13,17,19,23,29,31,37,41,43},0)),"소",
   AND(ISNUMBER(D59),MOD(D59,3)=0),"배",
   AND(ISNUMBER(D59),D59&gt;0),"자"
)</f>
        <v>자</v>
      </c>
      <c r="AF59" s="26" t="str" cm="1">
        <f t="array" ref="AF59">_xlfn.IFS(
   OR(E59="",ISBLANK(E59),E59=0),0,
   ISNUMBER(MATCH(E59,{2,3,5,7,11,13,17,19,23,29,31,37,41,43},0)),"소",
   AND(ISNUMBER(E59),MOD(E59,3)=0),"배",
   AND(ISNUMBER(E59),E59&gt;0),"자"
)</f>
        <v>소</v>
      </c>
      <c r="AG59" s="26" t="str" cm="1">
        <f t="array" ref="AG59">_xlfn.IFS(
   OR(F59="",ISBLANK(F59),F59=0),0,
   ISNUMBER(MATCH(F59,{2,3,5,7,11,13,17,19,23,29,31,37,41,43},0)),"소",
   AND(ISNUMBER(F59),MOD(F59,3)=0),"배",
   AND(ISNUMBER(F59),F59&gt;0),"자"
)</f>
        <v>소</v>
      </c>
      <c r="AH59" s="26" t="str" cm="1">
        <f t="array" ref="AH59">_xlfn.IFS(
   OR(G59="",ISBLANK(G59),G59=0),0,
   ISNUMBER(MATCH(G59,{2,3,5,7,11,13,17,19,23,29,31,37,41,43},0)),"소",
   AND(ISNUMBER(G59),MOD(G59,3)=0),"배",
   AND(ISNUMBER(G59),G59&gt;0),"자"
)</f>
        <v>자</v>
      </c>
      <c r="AI59" s="30"/>
      <c r="AJ59" s="3">
        <f t="shared" si="10"/>
        <v>2</v>
      </c>
      <c r="AK59" s="3">
        <f t="shared" si="11"/>
        <v>3</v>
      </c>
      <c r="AL59" s="3">
        <f t="shared" si="12"/>
        <v>1</v>
      </c>
      <c r="AM59" s="33"/>
      <c r="AN59" s="3">
        <f t="shared" si="13"/>
        <v>1</v>
      </c>
      <c r="AO59" s="3">
        <f t="shared" si="14"/>
        <v>1</v>
      </c>
      <c r="AP59" s="3">
        <f t="shared" si="15"/>
        <v>1</v>
      </c>
      <c r="AQ59" s="3">
        <f t="shared" si="16"/>
        <v>2</v>
      </c>
      <c r="AR59" s="3">
        <f t="shared" si="17"/>
        <v>1</v>
      </c>
      <c r="AS59" s="28" t="e">
        <f>#REF!</f>
        <v>#REF!</v>
      </c>
      <c r="AT59" s="28" t="e">
        <f>#REF!*2</f>
        <v>#REF!</v>
      </c>
      <c r="AU59" s="28" t="e">
        <f>#REF!</f>
        <v>#REF!</v>
      </c>
      <c r="AV59" s="28" t="e">
        <f>#REF!*2</f>
        <v>#REF!</v>
      </c>
      <c r="AW59" s="28" t="e">
        <f>#REF!</f>
        <v>#REF!</v>
      </c>
      <c r="AX59" s="28" t="e">
        <f>#REF!*2</f>
        <v>#REF!</v>
      </c>
      <c r="AY59" s="28" t="e">
        <f>#REF!</f>
        <v>#REF!</v>
      </c>
      <c r="AZ59" s="28" t="e">
        <f>#REF!*2</f>
        <v>#REF!</v>
      </c>
      <c r="BA59" s="28" t="e">
        <f>#REF!</f>
        <v>#REF!</v>
      </c>
      <c r="BB59" s="28" t="e">
        <f>#REF!*2</f>
        <v>#REF!</v>
      </c>
      <c r="BC59" s="28" t="e">
        <f>#REF!</f>
        <v>#REF!</v>
      </c>
      <c r="BD59" s="28" t="e">
        <f>#REF!*2</f>
        <v>#REF!</v>
      </c>
      <c r="BE59" s="9" t="e">
        <f>#REF!-#REF!</f>
        <v>#REF!</v>
      </c>
      <c r="BF59" s="9" t="e">
        <f>#REF!-#REF!</f>
        <v>#REF!</v>
      </c>
      <c r="BG59" s="9" t="e">
        <f>#REF!-#REF!</f>
        <v>#REF!</v>
      </c>
      <c r="BH59" s="9" t="e">
        <f>#REF!-#REF!</f>
        <v>#REF!</v>
      </c>
      <c r="BI59" s="9" t="e">
        <f>#REF!-#REF!</f>
        <v>#REF!</v>
      </c>
      <c r="BJ59" s="33"/>
      <c r="BK59" s="3">
        <f t="shared" si="18"/>
        <v>1</v>
      </c>
      <c r="BL59" s="3">
        <f t="shared" si="19"/>
        <v>1</v>
      </c>
      <c r="BM59" s="3">
        <f t="shared" si="20"/>
        <v>2</v>
      </c>
      <c r="BN59" s="3">
        <f t="shared" si="21"/>
        <v>2</v>
      </c>
      <c r="BO59" s="3">
        <f t="shared" si="22"/>
        <v>0</v>
      </c>
      <c r="BP59" s="28" t="e">
        <f>#REF!</f>
        <v>#REF!</v>
      </c>
      <c r="BQ59" s="28" t="e">
        <f>#REF!*2</f>
        <v>#REF!</v>
      </c>
      <c r="BR59" s="28" t="e">
        <f>#REF!</f>
        <v>#REF!</v>
      </c>
      <c r="BS59" s="28" t="e">
        <f>#REF!*2</f>
        <v>#REF!</v>
      </c>
      <c r="BT59" s="28" t="e">
        <f>#REF!</f>
        <v>#REF!</v>
      </c>
      <c r="BU59" s="28" t="e">
        <f>#REF!*2</f>
        <v>#REF!</v>
      </c>
      <c r="BV59" s="28" t="e">
        <f>#REF!</f>
        <v>#REF!</v>
      </c>
      <c r="BW59" s="28" t="e">
        <f>#REF!*2</f>
        <v>#REF!</v>
      </c>
      <c r="BX59" s="28" t="e">
        <f>#REF!</f>
        <v>#REF!</v>
      </c>
      <c r="BY59" s="28" t="e">
        <f>#REF!*2</f>
        <v>#REF!</v>
      </c>
      <c r="BZ59" s="28" t="e">
        <f>#REF!</f>
        <v>#REF!</v>
      </c>
      <c r="CA59" s="28" t="e">
        <f>#REF!*2</f>
        <v>#REF!</v>
      </c>
      <c r="CB59" s="9">
        <f t="shared" si="23"/>
        <v>3</v>
      </c>
      <c r="CC59" s="9">
        <f t="shared" si="24"/>
        <v>12</v>
      </c>
      <c r="CD59" s="9">
        <f t="shared" si="25"/>
        <v>7</v>
      </c>
      <c r="CE59" s="9">
        <f t="shared" si="26"/>
        <v>2</v>
      </c>
      <c r="CF59" s="9">
        <f t="shared" si="27"/>
        <v>7</v>
      </c>
      <c r="CG59" s="33"/>
      <c r="CH59" s="9">
        <f t="shared" si="28"/>
        <v>3</v>
      </c>
      <c r="CI59" s="9">
        <f t="shared" si="29"/>
        <v>12</v>
      </c>
      <c r="CJ59" s="9">
        <f t="shared" si="30"/>
        <v>7</v>
      </c>
      <c r="CK59" s="9">
        <f t="shared" si="31"/>
        <v>2</v>
      </c>
      <c r="CL59" s="9">
        <f t="shared" si="32"/>
        <v>7</v>
      </c>
      <c r="CM59" s="32"/>
      <c r="CN59" s="3">
        <f t="shared" si="33"/>
        <v>1</v>
      </c>
      <c r="CO59" s="3">
        <f t="shared" si="34"/>
        <v>2</v>
      </c>
      <c r="CP59" s="3">
        <f t="shared" si="35"/>
        <v>1</v>
      </c>
      <c r="CQ59" s="3">
        <f t="shared" si="36"/>
        <v>2</v>
      </c>
      <c r="CR59" s="3">
        <f t="shared" si="37"/>
        <v>1</v>
      </c>
      <c r="CS59" s="31"/>
      <c r="CT59" s="3" cm="1">
        <f t="array" ref="CT59">SUMPRODUCT(--(MOD(CH59:CL59,2)=1))</f>
        <v>3</v>
      </c>
      <c r="CU59" s="3">
        <f t="shared" si="38"/>
        <v>2</v>
      </c>
      <c r="CV59" s="30"/>
      <c r="CW59" s="3" cm="1">
        <f t="array" ref="CW59">SUMPRODUCT(--(MOD(CH59:CL59,10)&gt;=1), --(MOD(CH59:CL59,10)&lt;=5))</f>
        <v>3</v>
      </c>
      <c r="CX59" s="3">
        <f t="shared" si="39"/>
        <v>2</v>
      </c>
      <c r="CY59" s="30"/>
      <c r="CZ59" s="3" cm="1">
        <f t="array" ref="CZ59">IFERROR(COUNT(_xlfn._xlws.FILTER(CH59:CL59, ISNUMBER(MATCH(CH59:CL59, {2,3,5,7,11,13,17,19,23,29,31,37,41,43}, 0)))), 0)</f>
        <v>4</v>
      </c>
      <c r="DA59" s="3" cm="1">
        <f t="array" ref="DA59">IFERROR(COUNT(_xlfn._xlws.FILTER(CH59:CL59, ISNUMBER(MATCH(CH59:CL59, {1,4,8,10,14,16,20,22,25,26,28,32,34,35,38,40,44}, 0)))), 0)</f>
        <v>0</v>
      </c>
      <c r="DB59" s="3" cm="1">
        <f t="array" ref="DB59">IFERROR(COUNT(_xlfn._xlws.FILTER(CH59:CL59, ISNUMBER(MATCH(CH59:CL59, {6,9,12,15,18,21,24,27,30,33,36,39,42,45}, 0)))), 0)</f>
        <v>1</v>
      </c>
      <c r="DC59" s="29"/>
      <c r="DD59" s="28" t="e">
        <f>#REF!</f>
        <v>#REF!</v>
      </c>
      <c r="DE59" s="28" t="e">
        <f>#REF!*2</f>
        <v>#REF!</v>
      </c>
      <c r="DF59" s="28" t="e">
        <f>#REF!</f>
        <v>#REF!</v>
      </c>
      <c r="DG59" s="28" t="e">
        <f>#REF!*2</f>
        <v>#REF!</v>
      </c>
      <c r="DH59" s="28" t="e">
        <f>#REF!</f>
        <v>#REF!</v>
      </c>
      <c r="DI59" s="28" t="e">
        <f>#REF!*2</f>
        <v>#REF!</v>
      </c>
      <c r="DJ59" s="28" t="e">
        <f>#REF!</f>
        <v>#REF!</v>
      </c>
      <c r="DK59" s="28" t="e">
        <f>#REF!*2</f>
        <v>#REF!</v>
      </c>
      <c r="DL59" s="28" t="e">
        <f>#REF!</f>
        <v>#REF!</v>
      </c>
      <c r="DM59" s="28" t="e">
        <f>#REF!*2</f>
        <v>#REF!</v>
      </c>
      <c r="DN59" s="27"/>
      <c r="DO59" s="26" t="str" cm="1">
        <f t="array" ref="DO59">_xlfn.IFS(
   OR(CH59="",ISBLANK(CH59),CH59=0),0,
   ISNUMBER(MATCH(CH59,{2,3,5,7,11,13,17,19,23,29,31,37,41,43},0)),"소",
   AND(ISNUMBER(CH59),MOD(CH59,3)=0),"배",
   AND(ISNUMBER(CH59),CH59&gt;0),"자"
)</f>
        <v>소</v>
      </c>
      <c r="DP59" s="26" t="str" cm="1">
        <f t="array" ref="DP59">_xlfn.IFS(
   OR(CI59="",ISBLANK(CI59),CI59=0),0,
   ISNUMBER(MATCH(CI59,{2,3,5,7,11,13,17,19,23,29,31,37,41,43},0)),"소",
   AND(ISNUMBER(CI59),MOD(CI59,3)=0),"배",
   AND(ISNUMBER(CI59),CI59&gt;0),"자"
)</f>
        <v>배</v>
      </c>
      <c r="DQ59" s="26" t="str" cm="1">
        <f t="array" ref="DQ59">_xlfn.IFS(
   OR(CJ59="",ISBLANK(CJ59),CJ59=0),0,
   ISNUMBER(MATCH(CJ59,{2,3,5,7,11,13,17,19,23,29,31,37,41,43},0)),"소",
   AND(ISNUMBER(CJ59),MOD(CJ59,3)=0),"배",
   AND(ISNUMBER(CJ59),CJ59&gt;0),"자"
)</f>
        <v>소</v>
      </c>
      <c r="DR59" s="26" t="str" cm="1">
        <f t="array" ref="DR59">_xlfn.IFS(
   OR(CK59="",ISBLANK(CK59),CK59=0),0,
   ISNUMBER(MATCH(CK59,{2,3,5,7,11,13,17,19,23,29,31,37,41,43},0)),"소",
   AND(ISNUMBER(CK59),MOD(CK59,3)=0),"배",
   AND(ISNUMBER(CK59),CK59&gt;0),"자"
)</f>
        <v>소</v>
      </c>
      <c r="DS59" s="26" t="str" cm="1">
        <f t="array" ref="DS59">_xlfn.IFS(
   OR(CL59="",ISBLANK(CL59),CL59=0),0,
   ISNUMBER(MATCH(CL59,{2,3,5,7,11,13,17,19,23,29,31,37,41,43},0)),"소",
   AND(ISNUMBER(CL59),MOD(CL59,3)=0),"배",
   AND(ISNUMBER(CL59),CL59&gt;0),"자"
)</f>
        <v>소</v>
      </c>
      <c r="DT59" s="25"/>
    </row>
    <row r="60" spans="2:124" x14ac:dyDescent="0.3">
      <c r="B60" s="3">
        <v>7</v>
      </c>
      <c r="C60" s="3">
        <v>11</v>
      </c>
      <c r="D60" s="3">
        <v>12</v>
      </c>
      <c r="E60" s="3">
        <v>21</v>
      </c>
      <c r="F60" s="3">
        <v>26</v>
      </c>
      <c r="G60" s="3">
        <v>35</v>
      </c>
      <c r="H60" s="32"/>
      <c r="I60" s="3">
        <f t="shared" si="0"/>
        <v>1</v>
      </c>
      <c r="J60" s="3">
        <f t="shared" si="1"/>
        <v>1</v>
      </c>
      <c r="K60" s="3">
        <f t="shared" si="2"/>
        <v>2</v>
      </c>
      <c r="L60" s="3">
        <f t="shared" si="3"/>
        <v>1</v>
      </c>
      <c r="M60" s="3">
        <f t="shared" si="4"/>
        <v>2</v>
      </c>
      <c r="N60" s="3">
        <f t="shared" si="5"/>
        <v>1</v>
      </c>
      <c r="O60" s="32"/>
      <c r="P60" s="3" cm="1">
        <f t="array" ref="P60">SUMPRODUCT(--(MOD(B60:G60,2)=1))</f>
        <v>4</v>
      </c>
      <c r="Q60" s="3">
        <f t="shared" si="6"/>
        <v>2</v>
      </c>
      <c r="R60" s="34"/>
      <c r="S60" s="3">
        <f t="shared" si="7"/>
        <v>4</v>
      </c>
      <c r="T60" s="3">
        <f t="shared" si="8"/>
        <v>2</v>
      </c>
      <c r="U60" s="34"/>
      <c r="V60" s="3" cm="1">
        <f t="array" ref="V60">SUMPRODUCT(--(MOD(B60:G60,10)&gt;=1), --(MOD(B60:G60,10)&lt;=5))</f>
        <v>4</v>
      </c>
      <c r="W60" s="3">
        <f t="shared" si="9"/>
        <v>2</v>
      </c>
      <c r="X60" s="34"/>
      <c r="Y60" s="3" cm="1">
        <f t="array" ref="Y60">IFERROR(COUNT(_xlfn._xlws.FILTER(B60:G60, ISNUMBER(MATCH(B60:G60, {2,3,5,7,11,13,17,19,23,29,31,37,41,43}, 0)))), 0)</f>
        <v>2</v>
      </c>
      <c r="Z60" s="3" cm="1">
        <f t="array" ref="Z60">IFERROR(COUNT(_xlfn._xlws.FILTER(B60:G60, ISNUMBER(MATCH(B60:G60, {1,4,8,10,14,16,20,22,25,26,28,32,34,35,38,40,44}, 0)))), 0)</f>
        <v>2</v>
      </c>
      <c r="AA60" s="3" cm="1">
        <f t="array" ref="AA60">IFERROR(COUNT(_xlfn._xlws.FILTER(B60:G60, ISNUMBER(MATCH(B60:G60, {6,9,12,15,18,21,24,27,30,33,36,39,42,45}, 0)))), 0)</f>
        <v>2</v>
      </c>
      <c r="AB60" s="30"/>
      <c r="AC60" s="26" t="str" cm="1">
        <f t="array" ref="AC60">_xlfn.IFS(
   OR(B60="",ISBLANK(B60),B60=0),0,
   ISNUMBER(MATCH(B60,{2,3,5,7,11,13,17,19,23,29,31,37,41,43},0)),"소",
   AND(ISNUMBER(B60),MOD(B60,3)=0),"배",
   AND(ISNUMBER(B60),B60&gt;0),"자"
)</f>
        <v>소</v>
      </c>
      <c r="AD60" s="26" t="str" cm="1">
        <f t="array" ref="AD60">_xlfn.IFS(
   OR(C60="",ISBLANK(C60),C60=0),0,
   ISNUMBER(MATCH(C60,{2,3,5,7,11,13,17,19,23,29,31,37,41,43},0)),"소",
   AND(ISNUMBER(C60),MOD(C60,3)=0),"배",
   AND(ISNUMBER(C60),C60&gt;0),"자"
)</f>
        <v>소</v>
      </c>
      <c r="AE60" s="26" t="str" cm="1">
        <f t="array" ref="AE60">_xlfn.IFS(
   OR(D60="",ISBLANK(D60),D60=0),0,
   ISNUMBER(MATCH(D60,{2,3,5,7,11,13,17,19,23,29,31,37,41,43},0)),"소",
   AND(ISNUMBER(D60),MOD(D60,3)=0),"배",
   AND(ISNUMBER(D60),D60&gt;0),"자"
)</f>
        <v>배</v>
      </c>
      <c r="AF60" s="26" t="str" cm="1">
        <f t="array" ref="AF60">_xlfn.IFS(
   OR(E60="",ISBLANK(E60),E60=0),0,
   ISNUMBER(MATCH(E60,{2,3,5,7,11,13,17,19,23,29,31,37,41,43},0)),"소",
   AND(ISNUMBER(E60),MOD(E60,3)=0),"배",
   AND(ISNUMBER(E60),E60&gt;0),"자"
)</f>
        <v>배</v>
      </c>
      <c r="AG60" s="26" t="str" cm="1">
        <f t="array" ref="AG60">_xlfn.IFS(
   OR(F60="",ISBLANK(F60),F60=0),0,
   ISNUMBER(MATCH(F60,{2,3,5,7,11,13,17,19,23,29,31,37,41,43},0)),"소",
   AND(ISNUMBER(F60),MOD(F60,3)=0),"배",
   AND(ISNUMBER(F60),F60&gt;0),"자"
)</f>
        <v>자</v>
      </c>
      <c r="AH60" s="26" t="str" cm="1">
        <f t="array" ref="AH60">_xlfn.IFS(
   OR(G60="",ISBLANK(G60),G60=0),0,
   ISNUMBER(MATCH(G60,{2,3,5,7,11,13,17,19,23,29,31,37,41,43},0)),"소",
   AND(ISNUMBER(G60),MOD(G60,3)=0),"배",
   AND(ISNUMBER(G60),G60&gt;0),"자"
)</f>
        <v>자</v>
      </c>
      <c r="AI60" s="30"/>
      <c r="AJ60" s="3">
        <f t="shared" si="10"/>
        <v>3</v>
      </c>
      <c r="AK60" s="3">
        <f t="shared" si="11"/>
        <v>2</v>
      </c>
      <c r="AL60" s="3">
        <f t="shared" si="12"/>
        <v>1</v>
      </c>
      <c r="AM60" s="33"/>
      <c r="AN60" s="3">
        <f t="shared" si="13"/>
        <v>1</v>
      </c>
      <c r="AO60" s="3">
        <f t="shared" si="14"/>
        <v>2</v>
      </c>
      <c r="AP60" s="3">
        <f t="shared" si="15"/>
        <v>2</v>
      </c>
      <c r="AQ60" s="3">
        <f t="shared" si="16"/>
        <v>1</v>
      </c>
      <c r="AR60" s="3">
        <f t="shared" si="17"/>
        <v>0</v>
      </c>
      <c r="AS60" s="28" t="e">
        <f>#REF!</f>
        <v>#REF!</v>
      </c>
      <c r="AT60" s="28" t="e">
        <f>#REF!*2</f>
        <v>#REF!</v>
      </c>
      <c r="AU60" s="28" t="e">
        <f>#REF!</f>
        <v>#REF!</v>
      </c>
      <c r="AV60" s="28" t="e">
        <f>#REF!*2</f>
        <v>#REF!</v>
      </c>
      <c r="AW60" s="28" t="e">
        <f>#REF!</f>
        <v>#REF!</v>
      </c>
      <c r="AX60" s="28" t="e">
        <f>#REF!*2</f>
        <v>#REF!</v>
      </c>
      <c r="AY60" s="28" t="e">
        <f>#REF!</f>
        <v>#REF!</v>
      </c>
      <c r="AZ60" s="28" t="e">
        <f>#REF!*2</f>
        <v>#REF!</v>
      </c>
      <c r="BA60" s="28" t="e">
        <f>#REF!</f>
        <v>#REF!</v>
      </c>
      <c r="BB60" s="28" t="e">
        <f>#REF!*2</f>
        <v>#REF!</v>
      </c>
      <c r="BC60" s="28" t="e">
        <f>#REF!</f>
        <v>#REF!</v>
      </c>
      <c r="BD60" s="28" t="e">
        <f>#REF!*2</f>
        <v>#REF!</v>
      </c>
      <c r="BE60" s="9" t="e">
        <f>#REF!-#REF!</f>
        <v>#REF!</v>
      </c>
      <c r="BF60" s="9" t="e">
        <f>#REF!-#REF!</f>
        <v>#REF!</v>
      </c>
      <c r="BG60" s="9" t="e">
        <f>#REF!-#REF!</f>
        <v>#REF!</v>
      </c>
      <c r="BH60" s="9" t="e">
        <f>#REF!-#REF!</f>
        <v>#REF!</v>
      </c>
      <c r="BI60" s="9" t="e">
        <f>#REF!-#REF!</f>
        <v>#REF!</v>
      </c>
      <c r="BJ60" s="33"/>
      <c r="BK60" s="3">
        <f t="shared" si="18"/>
        <v>1</v>
      </c>
      <c r="BL60" s="3">
        <f t="shared" si="19"/>
        <v>2</v>
      </c>
      <c r="BM60" s="3">
        <f t="shared" si="20"/>
        <v>2</v>
      </c>
      <c r="BN60" s="3">
        <f t="shared" si="21"/>
        <v>1</v>
      </c>
      <c r="BO60" s="3">
        <f t="shared" si="22"/>
        <v>0</v>
      </c>
      <c r="BP60" s="28" t="e">
        <f>#REF!</f>
        <v>#REF!</v>
      </c>
      <c r="BQ60" s="28" t="e">
        <f>#REF!*2</f>
        <v>#REF!</v>
      </c>
      <c r="BR60" s="28" t="e">
        <f>#REF!</f>
        <v>#REF!</v>
      </c>
      <c r="BS60" s="28" t="e">
        <f>#REF!*2</f>
        <v>#REF!</v>
      </c>
      <c r="BT60" s="28" t="e">
        <f>#REF!</f>
        <v>#REF!</v>
      </c>
      <c r="BU60" s="28" t="e">
        <f>#REF!*2</f>
        <v>#REF!</v>
      </c>
      <c r="BV60" s="28" t="e">
        <f>#REF!</f>
        <v>#REF!</v>
      </c>
      <c r="BW60" s="28" t="e">
        <f>#REF!*2</f>
        <v>#REF!</v>
      </c>
      <c r="BX60" s="28" t="e">
        <f>#REF!</f>
        <v>#REF!</v>
      </c>
      <c r="BY60" s="28" t="e">
        <f>#REF!*2</f>
        <v>#REF!</v>
      </c>
      <c r="BZ60" s="28" t="e">
        <f>#REF!</f>
        <v>#REF!</v>
      </c>
      <c r="CA60" s="28" t="e">
        <f>#REF!*2</f>
        <v>#REF!</v>
      </c>
      <c r="CB60" s="9">
        <f t="shared" si="23"/>
        <v>4</v>
      </c>
      <c r="CC60" s="9">
        <f t="shared" si="24"/>
        <v>1</v>
      </c>
      <c r="CD60" s="9">
        <f t="shared" si="25"/>
        <v>9</v>
      </c>
      <c r="CE60" s="9">
        <f t="shared" si="26"/>
        <v>5</v>
      </c>
      <c r="CF60" s="9">
        <f t="shared" si="27"/>
        <v>9</v>
      </c>
      <c r="CG60" s="33"/>
      <c r="CH60" s="9">
        <f t="shared" si="28"/>
        <v>4</v>
      </c>
      <c r="CI60" s="9">
        <f t="shared" si="29"/>
        <v>1</v>
      </c>
      <c r="CJ60" s="9">
        <f t="shared" si="30"/>
        <v>9</v>
      </c>
      <c r="CK60" s="9">
        <f t="shared" si="31"/>
        <v>5</v>
      </c>
      <c r="CL60" s="9">
        <f t="shared" si="32"/>
        <v>9</v>
      </c>
      <c r="CM60" s="32"/>
      <c r="CN60" s="3">
        <f t="shared" si="33"/>
        <v>2</v>
      </c>
      <c r="CO60" s="3">
        <f t="shared" si="34"/>
        <v>1</v>
      </c>
      <c r="CP60" s="3">
        <f t="shared" si="35"/>
        <v>1</v>
      </c>
      <c r="CQ60" s="3">
        <f t="shared" si="36"/>
        <v>1</v>
      </c>
      <c r="CR60" s="3">
        <f t="shared" si="37"/>
        <v>1</v>
      </c>
      <c r="CS60" s="31"/>
      <c r="CT60" s="3" cm="1">
        <f t="array" ref="CT60">SUMPRODUCT(--(MOD(CH60:CL60,2)=1))</f>
        <v>4</v>
      </c>
      <c r="CU60" s="3">
        <f t="shared" si="38"/>
        <v>1</v>
      </c>
      <c r="CV60" s="30"/>
      <c r="CW60" s="3" cm="1">
        <f t="array" ref="CW60">SUMPRODUCT(--(MOD(CH60:CL60,10)&gt;=1), --(MOD(CH60:CL60,10)&lt;=5))</f>
        <v>3</v>
      </c>
      <c r="CX60" s="3">
        <f t="shared" si="39"/>
        <v>2</v>
      </c>
      <c r="CY60" s="30"/>
      <c r="CZ60" s="3" cm="1">
        <f t="array" ref="CZ60">IFERROR(COUNT(_xlfn._xlws.FILTER(CH60:CL60, ISNUMBER(MATCH(CH60:CL60, {2,3,5,7,11,13,17,19,23,29,31,37,41,43}, 0)))), 0)</f>
        <v>1</v>
      </c>
      <c r="DA60" s="3" cm="1">
        <f t="array" ref="DA60">IFERROR(COUNT(_xlfn._xlws.FILTER(CH60:CL60, ISNUMBER(MATCH(CH60:CL60, {1,4,8,10,14,16,20,22,25,26,28,32,34,35,38,40,44}, 0)))), 0)</f>
        <v>2</v>
      </c>
      <c r="DB60" s="3" cm="1">
        <f t="array" ref="DB60">IFERROR(COUNT(_xlfn._xlws.FILTER(CH60:CL60, ISNUMBER(MATCH(CH60:CL60, {6,9,12,15,18,21,24,27,30,33,36,39,42,45}, 0)))), 0)</f>
        <v>2</v>
      </c>
      <c r="DC60" s="29"/>
      <c r="DD60" s="28" t="e">
        <f>#REF!</f>
        <v>#REF!</v>
      </c>
      <c r="DE60" s="28" t="e">
        <f>#REF!*2</f>
        <v>#REF!</v>
      </c>
      <c r="DF60" s="28" t="e">
        <f>#REF!</f>
        <v>#REF!</v>
      </c>
      <c r="DG60" s="28" t="e">
        <f>#REF!*2</f>
        <v>#REF!</v>
      </c>
      <c r="DH60" s="28" t="e">
        <f>#REF!</f>
        <v>#REF!</v>
      </c>
      <c r="DI60" s="28" t="e">
        <f>#REF!*2</f>
        <v>#REF!</v>
      </c>
      <c r="DJ60" s="28" t="e">
        <f>#REF!</f>
        <v>#REF!</v>
      </c>
      <c r="DK60" s="28" t="e">
        <f>#REF!*2</f>
        <v>#REF!</v>
      </c>
      <c r="DL60" s="28" t="e">
        <f>#REF!</f>
        <v>#REF!</v>
      </c>
      <c r="DM60" s="28" t="e">
        <f>#REF!*2</f>
        <v>#REF!</v>
      </c>
      <c r="DN60" s="27"/>
      <c r="DO60" s="26" t="str" cm="1">
        <f t="array" ref="DO60">_xlfn.IFS(
   OR(CH60="",ISBLANK(CH60),CH60=0),0,
   ISNUMBER(MATCH(CH60,{2,3,5,7,11,13,17,19,23,29,31,37,41,43},0)),"소",
   AND(ISNUMBER(CH60),MOD(CH60,3)=0),"배",
   AND(ISNUMBER(CH60),CH60&gt;0),"자"
)</f>
        <v>자</v>
      </c>
      <c r="DP60" s="26" t="str" cm="1">
        <f t="array" ref="DP60">_xlfn.IFS(
   OR(CI60="",ISBLANK(CI60),CI60=0),0,
   ISNUMBER(MATCH(CI60,{2,3,5,7,11,13,17,19,23,29,31,37,41,43},0)),"소",
   AND(ISNUMBER(CI60),MOD(CI60,3)=0),"배",
   AND(ISNUMBER(CI60),CI60&gt;0),"자"
)</f>
        <v>자</v>
      </c>
      <c r="DQ60" s="26" t="str" cm="1">
        <f t="array" ref="DQ60">_xlfn.IFS(
   OR(CJ60="",ISBLANK(CJ60),CJ60=0),0,
   ISNUMBER(MATCH(CJ60,{2,3,5,7,11,13,17,19,23,29,31,37,41,43},0)),"소",
   AND(ISNUMBER(CJ60),MOD(CJ60,3)=0),"배",
   AND(ISNUMBER(CJ60),CJ60&gt;0),"자"
)</f>
        <v>배</v>
      </c>
      <c r="DR60" s="26" t="str" cm="1">
        <f t="array" ref="DR60">_xlfn.IFS(
   OR(CK60="",ISBLANK(CK60),CK60=0),0,
   ISNUMBER(MATCH(CK60,{2,3,5,7,11,13,17,19,23,29,31,37,41,43},0)),"소",
   AND(ISNUMBER(CK60),MOD(CK60,3)=0),"배",
   AND(ISNUMBER(CK60),CK60&gt;0),"자"
)</f>
        <v>소</v>
      </c>
      <c r="DS60" s="26" t="str" cm="1">
        <f t="array" ref="DS60">_xlfn.IFS(
   OR(CL60="",ISBLANK(CL60),CL60=0),0,
   ISNUMBER(MATCH(CL60,{2,3,5,7,11,13,17,19,23,29,31,37,41,43},0)),"소",
   AND(ISNUMBER(CL60),MOD(CL60,3)=0),"배",
   AND(ISNUMBER(CL60),CL60&gt;0),"자"
)</f>
        <v>배</v>
      </c>
      <c r="DT60" s="25"/>
    </row>
    <row r="61" spans="2:124" x14ac:dyDescent="0.3">
      <c r="B61" s="3">
        <v>2</v>
      </c>
      <c r="C61" s="3">
        <v>8</v>
      </c>
      <c r="D61" s="3">
        <v>28</v>
      </c>
      <c r="E61" s="3">
        <v>30</v>
      </c>
      <c r="F61" s="3">
        <v>37</v>
      </c>
      <c r="G61" s="3">
        <v>41</v>
      </c>
      <c r="H61" s="32"/>
      <c r="I61" s="3">
        <f t="shared" si="0"/>
        <v>2</v>
      </c>
      <c r="J61" s="3">
        <f t="shared" si="1"/>
        <v>2</v>
      </c>
      <c r="K61" s="3">
        <f t="shared" si="2"/>
        <v>2</v>
      </c>
      <c r="L61" s="3">
        <f t="shared" si="3"/>
        <v>2</v>
      </c>
      <c r="M61" s="3">
        <f t="shared" si="4"/>
        <v>1</v>
      </c>
      <c r="N61" s="3">
        <f t="shared" si="5"/>
        <v>1</v>
      </c>
      <c r="O61" s="32"/>
      <c r="P61" s="3" cm="1">
        <f t="array" ref="P61">SUMPRODUCT(--(MOD(B61:G61,2)=1))</f>
        <v>2</v>
      </c>
      <c r="Q61" s="3">
        <f t="shared" si="6"/>
        <v>4</v>
      </c>
      <c r="R61" s="34"/>
      <c r="S61" s="3">
        <f t="shared" si="7"/>
        <v>2</v>
      </c>
      <c r="T61" s="3">
        <f t="shared" si="8"/>
        <v>4</v>
      </c>
      <c r="U61" s="34"/>
      <c r="V61" s="3" cm="1">
        <f t="array" ref="V61">SUMPRODUCT(--(MOD(B61:G61,10)&gt;=1), --(MOD(B61:G61,10)&lt;=5))</f>
        <v>2</v>
      </c>
      <c r="W61" s="3">
        <f t="shared" si="9"/>
        <v>4</v>
      </c>
      <c r="X61" s="34"/>
      <c r="Y61" s="3" cm="1">
        <f t="array" ref="Y61">IFERROR(COUNT(_xlfn._xlws.FILTER(B61:G61, ISNUMBER(MATCH(B61:G61, {2,3,5,7,11,13,17,19,23,29,31,37,41,43}, 0)))), 0)</f>
        <v>3</v>
      </c>
      <c r="Z61" s="3" cm="1">
        <f t="array" ref="Z61">IFERROR(COUNT(_xlfn._xlws.FILTER(B61:G61, ISNUMBER(MATCH(B61:G61, {1,4,8,10,14,16,20,22,25,26,28,32,34,35,38,40,44}, 0)))), 0)</f>
        <v>2</v>
      </c>
      <c r="AA61" s="3" cm="1">
        <f t="array" ref="AA61">IFERROR(COUNT(_xlfn._xlws.FILTER(B61:G61, ISNUMBER(MATCH(B61:G61, {6,9,12,15,18,21,24,27,30,33,36,39,42,45}, 0)))), 0)</f>
        <v>1</v>
      </c>
      <c r="AB61" s="30"/>
      <c r="AC61" s="26" t="str" cm="1">
        <f t="array" ref="AC61">_xlfn.IFS(
   OR(B61="",ISBLANK(B61),B61=0),0,
   ISNUMBER(MATCH(B61,{2,3,5,7,11,13,17,19,23,29,31,37,41,43},0)),"소",
   AND(ISNUMBER(B61),MOD(B61,3)=0),"배",
   AND(ISNUMBER(B61),B61&gt;0),"자"
)</f>
        <v>소</v>
      </c>
      <c r="AD61" s="26" t="str" cm="1">
        <f t="array" ref="AD61">_xlfn.IFS(
   OR(C61="",ISBLANK(C61),C61=0),0,
   ISNUMBER(MATCH(C61,{2,3,5,7,11,13,17,19,23,29,31,37,41,43},0)),"소",
   AND(ISNUMBER(C61),MOD(C61,3)=0),"배",
   AND(ISNUMBER(C61),C61&gt;0),"자"
)</f>
        <v>자</v>
      </c>
      <c r="AE61" s="26" t="str" cm="1">
        <f t="array" ref="AE61">_xlfn.IFS(
   OR(D61="",ISBLANK(D61),D61=0),0,
   ISNUMBER(MATCH(D61,{2,3,5,7,11,13,17,19,23,29,31,37,41,43},0)),"소",
   AND(ISNUMBER(D61),MOD(D61,3)=0),"배",
   AND(ISNUMBER(D61),D61&gt;0),"자"
)</f>
        <v>자</v>
      </c>
      <c r="AF61" s="26" t="str" cm="1">
        <f t="array" ref="AF61">_xlfn.IFS(
   OR(E61="",ISBLANK(E61),E61=0),0,
   ISNUMBER(MATCH(E61,{2,3,5,7,11,13,17,19,23,29,31,37,41,43},0)),"소",
   AND(ISNUMBER(E61),MOD(E61,3)=0),"배",
   AND(ISNUMBER(E61),E61&gt;0),"자"
)</f>
        <v>배</v>
      </c>
      <c r="AG61" s="26" t="str" cm="1">
        <f t="array" ref="AG61">_xlfn.IFS(
   OR(F61="",ISBLANK(F61),F61=0),0,
   ISNUMBER(MATCH(F61,{2,3,5,7,11,13,17,19,23,29,31,37,41,43},0)),"소",
   AND(ISNUMBER(F61),MOD(F61,3)=0),"배",
   AND(ISNUMBER(F61),F61&gt;0),"자"
)</f>
        <v>소</v>
      </c>
      <c r="AH61" s="26" t="str" cm="1">
        <f t="array" ref="AH61">_xlfn.IFS(
   OR(G61="",ISBLANK(G61),G61=0),0,
   ISNUMBER(MATCH(G61,{2,3,5,7,11,13,17,19,23,29,31,37,41,43},0)),"소",
   AND(ISNUMBER(G61),MOD(G61,3)=0),"배",
   AND(ISNUMBER(G61),G61&gt;0),"자"
)</f>
        <v>소</v>
      </c>
      <c r="AI61" s="30"/>
      <c r="AJ61" s="3">
        <f t="shared" si="10"/>
        <v>2</v>
      </c>
      <c r="AK61" s="3">
        <f t="shared" si="11"/>
        <v>2</v>
      </c>
      <c r="AL61" s="3">
        <f t="shared" si="12"/>
        <v>2</v>
      </c>
      <c r="AM61" s="33"/>
      <c r="AN61" s="3">
        <f t="shared" si="13"/>
        <v>2</v>
      </c>
      <c r="AO61" s="3">
        <f t="shared" si="14"/>
        <v>0</v>
      </c>
      <c r="AP61" s="3">
        <f t="shared" si="15"/>
        <v>0</v>
      </c>
      <c r="AQ61" s="3">
        <f t="shared" si="16"/>
        <v>2</v>
      </c>
      <c r="AR61" s="3">
        <f t="shared" si="17"/>
        <v>2</v>
      </c>
      <c r="AS61" s="28" t="e">
        <f>#REF!</f>
        <v>#REF!</v>
      </c>
      <c r="AT61" s="28" t="e">
        <f>#REF!*2</f>
        <v>#REF!</v>
      </c>
      <c r="AU61" s="28" t="e">
        <f>#REF!</f>
        <v>#REF!</v>
      </c>
      <c r="AV61" s="28" t="e">
        <f>#REF!*2</f>
        <v>#REF!</v>
      </c>
      <c r="AW61" s="28" t="e">
        <f>#REF!</f>
        <v>#REF!</v>
      </c>
      <c r="AX61" s="28" t="e">
        <f>#REF!*2</f>
        <v>#REF!</v>
      </c>
      <c r="AY61" s="28" t="e">
        <f>#REF!</f>
        <v>#REF!</v>
      </c>
      <c r="AZ61" s="28" t="e">
        <f>#REF!*2</f>
        <v>#REF!</v>
      </c>
      <c r="BA61" s="28" t="e">
        <f>#REF!</f>
        <v>#REF!</v>
      </c>
      <c r="BB61" s="28" t="e">
        <f>#REF!*2</f>
        <v>#REF!</v>
      </c>
      <c r="BC61" s="28" t="e">
        <f>#REF!</f>
        <v>#REF!</v>
      </c>
      <c r="BD61" s="28" t="e">
        <f>#REF!*2</f>
        <v>#REF!</v>
      </c>
      <c r="BE61" s="9" t="e">
        <f>#REF!-#REF!</f>
        <v>#REF!</v>
      </c>
      <c r="BF61" s="9" t="e">
        <f>#REF!-#REF!</f>
        <v>#REF!</v>
      </c>
      <c r="BG61" s="9" t="e">
        <f>#REF!-#REF!</f>
        <v>#REF!</v>
      </c>
      <c r="BH61" s="9" t="e">
        <f>#REF!-#REF!</f>
        <v>#REF!</v>
      </c>
      <c r="BI61" s="9" t="e">
        <f>#REF!-#REF!</f>
        <v>#REF!</v>
      </c>
      <c r="BJ61" s="33"/>
      <c r="BK61" s="3">
        <f t="shared" si="18"/>
        <v>2</v>
      </c>
      <c r="BL61" s="3">
        <f t="shared" si="19"/>
        <v>0</v>
      </c>
      <c r="BM61" s="3">
        <f t="shared" si="20"/>
        <v>1</v>
      </c>
      <c r="BN61" s="3">
        <f t="shared" si="21"/>
        <v>2</v>
      </c>
      <c r="BO61" s="3">
        <f t="shared" si="22"/>
        <v>1</v>
      </c>
      <c r="BP61" s="28" t="e">
        <f>#REF!</f>
        <v>#REF!</v>
      </c>
      <c r="BQ61" s="28" t="e">
        <f>#REF!*2</f>
        <v>#REF!</v>
      </c>
      <c r="BR61" s="28" t="e">
        <f>#REF!</f>
        <v>#REF!</v>
      </c>
      <c r="BS61" s="28" t="e">
        <f>#REF!*2</f>
        <v>#REF!</v>
      </c>
      <c r="BT61" s="28" t="e">
        <f>#REF!</f>
        <v>#REF!</v>
      </c>
      <c r="BU61" s="28" t="e">
        <f>#REF!*2</f>
        <v>#REF!</v>
      </c>
      <c r="BV61" s="28" t="e">
        <f>#REF!</f>
        <v>#REF!</v>
      </c>
      <c r="BW61" s="28" t="e">
        <f>#REF!*2</f>
        <v>#REF!</v>
      </c>
      <c r="BX61" s="28" t="e">
        <f>#REF!</f>
        <v>#REF!</v>
      </c>
      <c r="BY61" s="28" t="e">
        <f>#REF!*2</f>
        <v>#REF!</v>
      </c>
      <c r="BZ61" s="28" t="e">
        <f>#REF!</f>
        <v>#REF!</v>
      </c>
      <c r="CA61" s="28" t="e">
        <f>#REF!*2</f>
        <v>#REF!</v>
      </c>
      <c r="CB61" s="9">
        <f t="shared" si="23"/>
        <v>6</v>
      </c>
      <c r="CC61" s="9">
        <f t="shared" si="24"/>
        <v>20</v>
      </c>
      <c r="CD61" s="9">
        <f t="shared" si="25"/>
        <v>2</v>
      </c>
      <c r="CE61" s="9">
        <f t="shared" si="26"/>
        <v>7</v>
      </c>
      <c r="CF61" s="9">
        <f t="shared" si="27"/>
        <v>4</v>
      </c>
      <c r="CG61" s="33"/>
      <c r="CH61" s="9">
        <f t="shared" si="28"/>
        <v>6</v>
      </c>
      <c r="CI61" s="9">
        <f t="shared" si="29"/>
        <v>20</v>
      </c>
      <c r="CJ61" s="9">
        <f t="shared" si="30"/>
        <v>2</v>
      </c>
      <c r="CK61" s="9">
        <f t="shared" si="31"/>
        <v>7</v>
      </c>
      <c r="CL61" s="9">
        <f t="shared" si="32"/>
        <v>4</v>
      </c>
      <c r="CM61" s="32"/>
      <c r="CN61" s="3">
        <f t="shared" si="33"/>
        <v>2</v>
      </c>
      <c r="CO61" s="3">
        <f t="shared" si="34"/>
        <v>2</v>
      </c>
      <c r="CP61" s="3">
        <f t="shared" si="35"/>
        <v>2</v>
      </c>
      <c r="CQ61" s="3">
        <f t="shared" si="36"/>
        <v>1</v>
      </c>
      <c r="CR61" s="3">
        <f t="shared" si="37"/>
        <v>2</v>
      </c>
      <c r="CS61" s="31"/>
      <c r="CT61" s="3" cm="1">
        <f t="array" ref="CT61">SUMPRODUCT(--(MOD(CH61:CL61,2)=1))</f>
        <v>1</v>
      </c>
      <c r="CU61" s="3">
        <f t="shared" si="38"/>
        <v>4</v>
      </c>
      <c r="CV61" s="30"/>
      <c r="CW61" s="3" cm="1">
        <f t="array" ref="CW61">SUMPRODUCT(--(MOD(CH61:CL61,10)&gt;=1), --(MOD(CH61:CL61,10)&lt;=5))</f>
        <v>2</v>
      </c>
      <c r="CX61" s="3">
        <f t="shared" si="39"/>
        <v>3</v>
      </c>
      <c r="CY61" s="30"/>
      <c r="CZ61" s="3" cm="1">
        <f t="array" ref="CZ61">IFERROR(COUNT(_xlfn._xlws.FILTER(CH61:CL61, ISNUMBER(MATCH(CH61:CL61, {2,3,5,7,11,13,17,19,23,29,31,37,41,43}, 0)))), 0)</f>
        <v>2</v>
      </c>
      <c r="DA61" s="3" cm="1">
        <f t="array" ref="DA61">IFERROR(COUNT(_xlfn._xlws.FILTER(CH61:CL61, ISNUMBER(MATCH(CH61:CL61, {1,4,8,10,14,16,20,22,25,26,28,32,34,35,38,40,44}, 0)))), 0)</f>
        <v>2</v>
      </c>
      <c r="DB61" s="3" cm="1">
        <f t="array" ref="DB61">IFERROR(COUNT(_xlfn._xlws.FILTER(CH61:CL61, ISNUMBER(MATCH(CH61:CL61, {6,9,12,15,18,21,24,27,30,33,36,39,42,45}, 0)))), 0)</f>
        <v>1</v>
      </c>
      <c r="DC61" s="29"/>
      <c r="DD61" s="28" t="e">
        <f>#REF!</f>
        <v>#REF!</v>
      </c>
      <c r="DE61" s="28" t="e">
        <f>#REF!*2</f>
        <v>#REF!</v>
      </c>
      <c r="DF61" s="28" t="e">
        <f>#REF!</f>
        <v>#REF!</v>
      </c>
      <c r="DG61" s="28" t="e">
        <f>#REF!*2</f>
        <v>#REF!</v>
      </c>
      <c r="DH61" s="28" t="e">
        <f>#REF!</f>
        <v>#REF!</v>
      </c>
      <c r="DI61" s="28" t="e">
        <f>#REF!*2</f>
        <v>#REF!</v>
      </c>
      <c r="DJ61" s="28" t="e">
        <f>#REF!</f>
        <v>#REF!</v>
      </c>
      <c r="DK61" s="28" t="e">
        <f>#REF!*2</f>
        <v>#REF!</v>
      </c>
      <c r="DL61" s="28" t="e">
        <f>#REF!</f>
        <v>#REF!</v>
      </c>
      <c r="DM61" s="28" t="e">
        <f>#REF!*2</f>
        <v>#REF!</v>
      </c>
      <c r="DN61" s="27"/>
      <c r="DO61" s="26" t="str" cm="1">
        <f t="array" ref="DO61">_xlfn.IFS(
   OR(CH61="",ISBLANK(CH61),CH61=0),0,
   ISNUMBER(MATCH(CH61,{2,3,5,7,11,13,17,19,23,29,31,37,41,43},0)),"소",
   AND(ISNUMBER(CH61),MOD(CH61,3)=0),"배",
   AND(ISNUMBER(CH61),CH61&gt;0),"자"
)</f>
        <v>배</v>
      </c>
      <c r="DP61" s="26" t="str" cm="1">
        <f t="array" ref="DP61">_xlfn.IFS(
   OR(CI61="",ISBLANK(CI61),CI61=0),0,
   ISNUMBER(MATCH(CI61,{2,3,5,7,11,13,17,19,23,29,31,37,41,43},0)),"소",
   AND(ISNUMBER(CI61),MOD(CI61,3)=0),"배",
   AND(ISNUMBER(CI61),CI61&gt;0),"자"
)</f>
        <v>자</v>
      </c>
      <c r="DQ61" s="26" t="str" cm="1">
        <f t="array" ref="DQ61">_xlfn.IFS(
   OR(CJ61="",ISBLANK(CJ61),CJ61=0),0,
   ISNUMBER(MATCH(CJ61,{2,3,5,7,11,13,17,19,23,29,31,37,41,43},0)),"소",
   AND(ISNUMBER(CJ61),MOD(CJ61,3)=0),"배",
   AND(ISNUMBER(CJ61),CJ61&gt;0),"자"
)</f>
        <v>소</v>
      </c>
      <c r="DR61" s="26" t="str" cm="1">
        <f t="array" ref="DR61">_xlfn.IFS(
   OR(CK61="",ISBLANK(CK61),CK61=0),0,
   ISNUMBER(MATCH(CK61,{2,3,5,7,11,13,17,19,23,29,31,37,41,43},0)),"소",
   AND(ISNUMBER(CK61),MOD(CK61,3)=0),"배",
   AND(ISNUMBER(CK61),CK61&gt;0),"자"
)</f>
        <v>소</v>
      </c>
      <c r="DS61" s="26" t="str" cm="1">
        <f t="array" ref="DS61">_xlfn.IFS(
   OR(CL61="",ISBLANK(CL61),CL61=0),0,
   ISNUMBER(MATCH(CL61,{2,3,5,7,11,13,17,19,23,29,31,37,41,43},0)),"소",
   AND(ISNUMBER(CL61),MOD(CL61,3)=0),"배",
   AND(ISNUMBER(CL61),CL61&gt;0),"자"
)</f>
        <v>자</v>
      </c>
      <c r="DT61" s="25"/>
    </row>
    <row r="62" spans="2:124" x14ac:dyDescent="0.3">
      <c r="B62" s="3">
        <v>10</v>
      </c>
      <c r="C62" s="3">
        <v>16</v>
      </c>
      <c r="D62" s="3">
        <v>17</v>
      </c>
      <c r="E62" s="3">
        <v>27</v>
      </c>
      <c r="F62" s="3">
        <v>28</v>
      </c>
      <c r="G62" s="3">
        <v>36</v>
      </c>
      <c r="H62" s="32"/>
      <c r="I62" s="3">
        <f t="shared" si="0"/>
        <v>2</v>
      </c>
      <c r="J62" s="3">
        <f t="shared" si="1"/>
        <v>2</v>
      </c>
      <c r="K62" s="3">
        <f t="shared" si="2"/>
        <v>1</v>
      </c>
      <c r="L62" s="3">
        <f t="shared" si="3"/>
        <v>1</v>
      </c>
      <c r="M62" s="3">
        <f t="shared" si="4"/>
        <v>2</v>
      </c>
      <c r="N62" s="3">
        <f t="shared" si="5"/>
        <v>2</v>
      </c>
      <c r="O62" s="32"/>
      <c r="P62" s="3" cm="1">
        <f t="array" ref="P62">SUMPRODUCT(--(MOD(B62:G62,2)=1))</f>
        <v>2</v>
      </c>
      <c r="Q62" s="3">
        <f t="shared" si="6"/>
        <v>4</v>
      </c>
      <c r="R62" s="34"/>
      <c r="S62" s="3">
        <f t="shared" si="7"/>
        <v>3</v>
      </c>
      <c r="T62" s="3">
        <f t="shared" si="8"/>
        <v>3</v>
      </c>
      <c r="U62" s="34"/>
      <c r="V62" s="3" cm="1">
        <f t="array" ref="V62">SUMPRODUCT(--(MOD(B62:G62,10)&gt;=1), --(MOD(B62:G62,10)&lt;=5))</f>
        <v>0</v>
      </c>
      <c r="W62" s="3">
        <f t="shared" si="9"/>
        <v>6</v>
      </c>
      <c r="X62" s="34"/>
      <c r="Y62" s="3" cm="1">
        <f t="array" ref="Y62">IFERROR(COUNT(_xlfn._xlws.FILTER(B62:G62, ISNUMBER(MATCH(B62:G62, {2,3,5,7,11,13,17,19,23,29,31,37,41,43}, 0)))), 0)</f>
        <v>1</v>
      </c>
      <c r="Z62" s="3" cm="1">
        <f t="array" ref="Z62">IFERROR(COUNT(_xlfn._xlws.FILTER(B62:G62, ISNUMBER(MATCH(B62:G62, {1,4,8,10,14,16,20,22,25,26,28,32,34,35,38,40,44}, 0)))), 0)</f>
        <v>3</v>
      </c>
      <c r="AA62" s="3" cm="1">
        <f t="array" ref="AA62">IFERROR(COUNT(_xlfn._xlws.FILTER(B62:G62, ISNUMBER(MATCH(B62:G62, {6,9,12,15,18,21,24,27,30,33,36,39,42,45}, 0)))), 0)</f>
        <v>2</v>
      </c>
      <c r="AB62" s="30"/>
      <c r="AC62" s="26" t="str" cm="1">
        <f t="array" ref="AC62">_xlfn.IFS(
   OR(B62="",ISBLANK(B62),B62=0),0,
   ISNUMBER(MATCH(B62,{2,3,5,7,11,13,17,19,23,29,31,37,41,43},0)),"소",
   AND(ISNUMBER(B62),MOD(B62,3)=0),"배",
   AND(ISNUMBER(B62),B62&gt;0),"자"
)</f>
        <v>자</v>
      </c>
      <c r="AD62" s="26" t="str" cm="1">
        <f t="array" ref="AD62">_xlfn.IFS(
   OR(C62="",ISBLANK(C62),C62=0),0,
   ISNUMBER(MATCH(C62,{2,3,5,7,11,13,17,19,23,29,31,37,41,43},0)),"소",
   AND(ISNUMBER(C62),MOD(C62,3)=0),"배",
   AND(ISNUMBER(C62),C62&gt;0),"자"
)</f>
        <v>자</v>
      </c>
      <c r="AE62" s="26" t="str" cm="1">
        <f t="array" ref="AE62">_xlfn.IFS(
   OR(D62="",ISBLANK(D62),D62=0),0,
   ISNUMBER(MATCH(D62,{2,3,5,7,11,13,17,19,23,29,31,37,41,43},0)),"소",
   AND(ISNUMBER(D62),MOD(D62,3)=0),"배",
   AND(ISNUMBER(D62),D62&gt;0),"자"
)</f>
        <v>소</v>
      </c>
      <c r="AF62" s="26" t="str" cm="1">
        <f t="array" ref="AF62">_xlfn.IFS(
   OR(E62="",ISBLANK(E62),E62=0),0,
   ISNUMBER(MATCH(E62,{2,3,5,7,11,13,17,19,23,29,31,37,41,43},0)),"소",
   AND(ISNUMBER(E62),MOD(E62,3)=0),"배",
   AND(ISNUMBER(E62),E62&gt;0),"자"
)</f>
        <v>배</v>
      </c>
      <c r="AG62" s="26" t="str" cm="1">
        <f t="array" ref="AG62">_xlfn.IFS(
   OR(F62="",ISBLANK(F62),F62=0),0,
   ISNUMBER(MATCH(F62,{2,3,5,7,11,13,17,19,23,29,31,37,41,43},0)),"소",
   AND(ISNUMBER(F62),MOD(F62,3)=0),"배",
   AND(ISNUMBER(F62),F62&gt;0),"자"
)</f>
        <v>자</v>
      </c>
      <c r="AH62" s="26" t="str" cm="1">
        <f t="array" ref="AH62">_xlfn.IFS(
   OR(G62="",ISBLANK(G62),G62=0),0,
   ISNUMBER(MATCH(G62,{2,3,5,7,11,13,17,19,23,29,31,37,41,43},0)),"소",
   AND(ISNUMBER(G62),MOD(G62,3)=0),"배",
   AND(ISNUMBER(G62),G62&gt;0),"자"
)</f>
        <v>배</v>
      </c>
      <c r="AI62" s="30"/>
      <c r="AJ62" s="3">
        <f t="shared" si="10"/>
        <v>1</v>
      </c>
      <c r="AK62" s="3">
        <f t="shared" si="11"/>
        <v>4</v>
      </c>
      <c r="AL62" s="3">
        <f t="shared" si="12"/>
        <v>1</v>
      </c>
      <c r="AM62" s="33"/>
      <c r="AN62" s="3">
        <f t="shared" si="13"/>
        <v>0</v>
      </c>
      <c r="AO62" s="3">
        <f t="shared" si="14"/>
        <v>3</v>
      </c>
      <c r="AP62" s="3">
        <f t="shared" si="15"/>
        <v>1</v>
      </c>
      <c r="AQ62" s="3">
        <f t="shared" si="16"/>
        <v>2</v>
      </c>
      <c r="AR62" s="3">
        <f t="shared" si="17"/>
        <v>0</v>
      </c>
      <c r="AS62" s="28" t="e">
        <f>#REF!</f>
        <v>#REF!</v>
      </c>
      <c r="AT62" s="28" t="e">
        <f>#REF!*2</f>
        <v>#REF!</v>
      </c>
      <c r="AU62" s="28" t="e">
        <f>#REF!</f>
        <v>#REF!</v>
      </c>
      <c r="AV62" s="28" t="e">
        <f>#REF!*2</f>
        <v>#REF!</v>
      </c>
      <c r="AW62" s="28" t="e">
        <f>#REF!</f>
        <v>#REF!</v>
      </c>
      <c r="AX62" s="28" t="e">
        <f>#REF!*2</f>
        <v>#REF!</v>
      </c>
      <c r="AY62" s="28" t="e">
        <f>#REF!</f>
        <v>#REF!</v>
      </c>
      <c r="AZ62" s="28" t="e">
        <f>#REF!*2</f>
        <v>#REF!</v>
      </c>
      <c r="BA62" s="28" t="e">
        <f>#REF!</f>
        <v>#REF!</v>
      </c>
      <c r="BB62" s="28" t="e">
        <f>#REF!*2</f>
        <v>#REF!</v>
      </c>
      <c r="BC62" s="28" t="e">
        <f>#REF!</f>
        <v>#REF!</v>
      </c>
      <c r="BD62" s="28" t="e">
        <f>#REF!*2</f>
        <v>#REF!</v>
      </c>
      <c r="BE62" s="9" t="e">
        <f>#REF!-#REF!</f>
        <v>#REF!</v>
      </c>
      <c r="BF62" s="9" t="e">
        <f>#REF!-#REF!</f>
        <v>#REF!</v>
      </c>
      <c r="BG62" s="9" t="e">
        <f>#REF!-#REF!</f>
        <v>#REF!</v>
      </c>
      <c r="BH62" s="9" t="e">
        <f>#REF!-#REF!</f>
        <v>#REF!</v>
      </c>
      <c r="BI62" s="9" t="e">
        <f>#REF!-#REF!</f>
        <v>#REF!</v>
      </c>
      <c r="BJ62" s="33"/>
      <c r="BK62" s="3">
        <f t="shared" si="18"/>
        <v>0</v>
      </c>
      <c r="BL62" s="3">
        <f t="shared" si="19"/>
        <v>3</v>
      </c>
      <c r="BM62" s="3">
        <f t="shared" si="20"/>
        <v>2</v>
      </c>
      <c r="BN62" s="3">
        <f t="shared" si="21"/>
        <v>1</v>
      </c>
      <c r="BO62" s="3">
        <f t="shared" si="22"/>
        <v>0</v>
      </c>
      <c r="BP62" s="28" t="e">
        <f>#REF!</f>
        <v>#REF!</v>
      </c>
      <c r="BQ62" s="28" t="e">
        <f>#REF!*2</f>
        <v>#REF!</v>
      </c>
      <c r="BR62" s="28" t="e">
        <f>#REF!</f>
        <v>#REF!</v>
      </c>
      <c r="BS62" s="28" t="e">
        <f>#REF!*2</f>
        <v>#REF!</v>
      </c>
      <c r="BT62" s="28" t="e">
        <f>#REF!</f>
        <v>#REF!</v>
      </c>
      <c r="BU62" s="28" t="e">
        <f>#REF!*2</f>
        <v>#REF!</v>
      </c>
      <c r="BV62" s="28" t="e">
        <f>#REF!</f>
        <v>#REF!</v>
      </c>
      <c r="BW62" s="28" t="e">
        <f>#REF!*2</f>
        <v>#REF!</v>
      </c>
      <c r="BX62" s="28" t="e">
        <f>#REF!</f>
        <v>#REF!</v>
      </c>
      <c r="BY62" s="28" t="e">
        <f>#REF!*2</f>
        <v>#REF!</v>
      </c>
      <c r="BZ62" s="28" t="e">
        <f>#REF!</f>
        <v>#REF!</v>
      </c>
      <c r="CA62" s="28" t="e">
        <f>#REF!*2</f>
        <v>#REF!</v>
      </c>
      <c r="CB62" s="9">
        <f t="shared" si="23"/>
        <v>6</v>
      </c>
      <c r="CC62" s="9">
        <f t="shared" si="24"/>
        <v>1</v>
      </c>
      <c r="CD62" s="9">
        <f t="shared" si="25"/>
        <v>10</v>
      </c>
      <c r="CE62" s="9">
        <f t="shared" si="26"/>
        <v>1</v>
      </c>
      <c r="CF62" s="9">
        <f t="shared" si="27"/>
        <v>8</v>
      </c>
      <c r="CG62" s="33"/>
      <c r="CH62" s="9">
        <f t="shared" si="28"/>
        <v>6</v>
      </c>
      <c r="CI62" s="9">
        <f t="shared" si="29"/>
        <v>1</v>
      </c>
      <c r="CJ62" s="9">
        <f t="shared" si="30"/>
        <v>10</v>
      </c>
      <c r="CK62" s="9">
        <f t="shared" si="31"/>
        <v>1</v>
      </c>
      <c r="CL62" s="9">
        <f t="shared" si="32"/>
        <v>8</v>
      </c>
      <c r="CM62" s="32"/>
      <c r="CN62" s="3">
        <f t="shared" si="33"/>
        <v>2</v>
      </c>
      <c r="CO62" s="3">
        <f t="shared" si="34"/>
        <v>1</v>
      </c>
      <c r="CP62" s="3">
        <f t="shared" si="35"/>
        <v>2</v>
      </c>
      <c r="CQ62" s="3">
        <f t="shared" si="36"/>
        <v>1</v>
      </c>
      <c r="CR62" s="3">
        <f t="shared" si="37"/>
        <v>2</v>
      </c>
      <c r="CS62" s="31"/>
      <c r="CT62" s="3" cm="1">
        <f t="array" ref="CT62">SUMPRODUCT(--(MOD(CH62:CL62,2)=1))</f>
        <v>2</v>
      </c>
      <c r="CU62" s="3">
        <f t="shared" si="38"/>
        <v>3</v>
      </c>
      <c r="CV62" s="30"/>
      <c r="CW62" s="3" cm="1">
        <f t="array" ref="CW62">SUMPRODUCT(--(MOD(CH62:CL62,10)&gt;=1), --(MOD(CH62:CL62,10)&lt;=5))</f>
        <v>2</v>
      </c>
      <c r="CX62" s="3">
        <f t="shared" si="39"/>
        <v>3</v>
      </c>
      <c r="CY62" s="30"/>
      <c r="CZ62" s="3" cm="1">
        <f t="array" ref="CZ62">IFERROR(COUNT(_xlfn._xlws.FILTER(CH62:CL62, ISNUMBER(MATCH(CH62:CL62, {2,3,5,7,11,13,17,19,23,29,31,37,41,43}, 0)))), 0)</f>
        <v>0</v>
      </c>
      <c r="DA62" s="3" cm="1">
        <f t="array" ref="DA62">IFERROR(COUNT(_xlfn._xlws.FILTER(CH62:CL62, ISNUMBER(MATCH(CH62:CL62, {1,4,8,10,14,16,20,22,25,26,28,32,34,35,38,40,44}, 0)))), 0)</f>
        <v>4</v>
      </c>
      <c r="DB62" s="3" cm="1">
        <f t="array" ref="DB62">IFERROR(COUNT(_xlfn._xlws.FILTER(CH62:CL62, ISNUMBER(MATCH(CH62:CL62, {6,9,12,15,18,21,24,27,30,33,36,39,42,45}, 0)))), 0)</f>
        <v>1</v>
      </c>
      <c r="DC62" s="29"/>
      <c r="DD62" s="28" t="e">
        <f>#REF!</f>
        <v>#REF!</v>
      </c>
      <c r="DE62" s="28" t="e">
        <f>#REF!*2</f>
        <v>#REF!</v>
      </c>
      <c r="DF62" s="28" t="e">
        <f>#REF!</f>
        <v>#REF!</v>
      </c>
      <c r="DG62" s="28" t="e">
        <f>#REF!*2</f>
        <v>#REF!</v>
      </c>
      <c r="DH62" s="28" t="e">
        <f>#REF!</f>
        <v>#REF!</v>
      </c>
      <c r="DI62" s="28" t="e">
        <f>#REF!*2</f>
        <v>#REF!</v>
      </c>
      <c r="DJ62" s="28" t="e">
        <f>#REF!</f>
        <v>#REF!</v>
      </c>
      <c r="DK62" s="28" t="e">
        <f>#REF!*2</f>
        <v>#REF!</v>
      </c>
      <c r="DL62" s="28" t="e">
        <f>#REF!</f>
        <v>#REF!</v>
      </c>
      <c r="DM62" s="28" t="e">
        <f>#REF!*2</f>
        <v>#REF!</v>
      </c>
      <c r="DN62" s="27"/>
      <c r="DO62" s="26" t="str" cm="1">
        <f t="array" ref="DO62">_xlfn.IFS(
   OR(CH62="",ISBLANK(CH62),CH62=0),0,
   ISNUMBER(MATCH(CH62,{2,3,5,7,11,13,17,19,23,29,31,37,41,43},0)),"소",
   AND(ISNUMBER(CH62),MOD(CH62,3)=0),"배",
   AND(ISNUMBER(CH62),CH62&gt;0),"자"
)</f>
        <v>배</v>
      </c>
      <c r="DP62" s="26" t="str" cm="1">
        <f t="array" ref="DP62">_xlfn.IFS(
   OR(CI62="",ISBLANK(CI62),CI62=0),0,
   ISNUMBER(MATCH(CI62,{2,3,5,7,11,13,17,19,23,29,31,37,41,43},0)),"소",
   AND(ISNUMBER(CI62),MOD(CI62,3)=0),"배",
   AND(ISNUMBER(CI62),CI62&gt;0),"자"
)</f>
        <v>자</v>
      </c>
      <c r="DQ62" s="26" t="str" cm="1">
        <f t="array" ref="DQ62">_xlfn.IFS(
   OR(CJ62="",ISBLANK(CJ62),CJ62=0),0,
   ISNUMBER(MATCH(CJ62,{2,3,5,7,11,13,17,19,23,29,31,37,41,43},0)),"소",
   AND(ISNUMBER(CJ62),MOD(CJ62,3)=0),"배",
   AND(ISNUMBER(CJ62),CJ62&gt;0),"자"
)</f>
        <v>자</v>
      </c>
      <c r="DR62" s="26" t="str" cm="1">
        <f t="array" ref="DR62">_xlfn.IFS(
   OR(CK62="",ISBLANK(CK62),CK62=0),0,
   ISNUMBER(MATCH(CK62,{2,3,5,7,11,13,17,19,23,29,31,37,41,43},0)),"소",
   AND(ISNUMBER(CK62),MOD(CK62,3)=0),"배",
   AND(ISNUMBER(CK62),CK62&gt;0),"자"
)</f>
        <v>자</v>
      </c>
      <c r="DS62" s="26" t="str" cm="1">
        <f t="array" ref="DS62">_xlfn.IFS(
   OR(CL62="",ISBLANK(CL62),CL62=0),0,
   ISNUMBER(MATCH(CL62,{2,3,5,7,11,13,17,19,23,29,31,37,41,43},0)),"소",
   AND(ISNUMBER(CL62),MOD(CL62,3)=0),"배",
   AND(ISNUMBER(CL62),CL62&gt;0),"자"
)</f>
        <v>자</v>
      </c>
      <c r="DT62" s="25"/>
    </row>
    <row r="63" spans="2:124" x14ac:dyDescent="0.3">
      <c r="B63" s="3">
        <v>3</v>
      </c>
      <c r="C63" s="3">
        <v>4</v>
      </c>
      <c r="D63" s="3">
        <v>12</v>
      </c>
      <c r="E63" s="3">
        <v>15</v>
      </c>
      <c r="F63" s="3">
        <v>26</v>
      </c>
      <c r="G63" s="3">
        <v>34</v>
      </c>
      <c r="H63" s="32"/>
      <c r="I63" s="3">
        <f t="shared" si="0"/>
        <v>1</v>
      </c>
      <c r="J63" s="3">
        <f t="shared" si="1"/>
        <v>2</v>
      </c>
      <c r="K63" s="3">
        <f t="shared" si="2"/>
        <v>2</v>
      </c>
      <c r="L63" s="3">
        <f t="shared" si="3"/>
        <v>1</v>
      </c>
      <c r="M63" s="3">
        <f t="shared" si="4"/>
        <v>2</v>
      </c>
      <c r="N63" s="3">
        <f t="shared" si="5"/>
        <v>2</v>
      </c>
      <c r="O63" s="32"/>
      <c r="P63" s="3" cm="1">
        <f t="array" ref="P63">SUMPRODUCT(--(MOD(B63:G63,2)=1))</f>
        <v>2</v>
      </c>
      <c r="Q63" s="3">
        <f t="shared" si="6"/>
        <v>4</v>
      </c>
      <c r="R63" s="34"/>
      <c r="S63" s="3">
        <f t="shared" si="7"/>
        <v>4</v>
      </c>
      <c r="T63" s="3">
        <f t="shared" si="8"/>
        <v>2</v>
      </c>
      <c r="U63" s="34"/>
      <c r="V63" s="3" cm="1">
        <f t="array" ref="V63">SUMPRODUCT(--(MOD(B63:G63,10)&gt;=1), --(MOD(B63:G63,10)&lt;=5))</f>
        <v>5</v>
      </c>
      <c r="W63" s="3">
        <f t="shared" si="9"/>
        <v>1</v>
      </c>
      <c r="X63" s="34"/>
      <c r="Y63" s="3" cm="1">
        <f t="array" ref="Y63">IFERROR(COUNT(_xlfn._xlws.FILTER(B63:G63, ISNUMBER(MATCH(B63:G63, {2,3,5,7,11,13,17,19,23,29,31,37,41,43}, 0)))), 0)</f>
        <v>1</v>
      </c>
      <c r="Z63" s="3" cm="1">
        <f t="array" ref="Z63">IFERROR(COUNT(_xlfn._xlws.FILTER(B63:G63, ISNUMBER(MATCH(B63:G63, {1,4,8,10,14,16,20,22,25,26,28,32,34,35,38,40,44}, 0)))), 0)</f>
        <v>3</v>
      </c>
      <c r="AA63" s="3" cm="1">
        <f t="array" ref="AA63">IFERROR(COUNT(_xlfn._xlws.FILTER(B63:G63, ISNUMBER(MATCH(B63:G63, {6,9,12,15,18,21,24,27,30,33,36,39,42,45}, 0)))), 0)</f>
        <v>2</v>
      </c>
      <c r="AB63" s="30"/>
      <c r="AC63" s="26" t="str" cm="1">
        <f t="array" ref="AC63">_xlfn.IFS(
   OR(B63="",ISBLANK(B63),B63=0),0,
   ISNUMBER(MATCH(B63,{2,3,5,7,11,13,17,19,23,29,31,37,41,43},0)),"소",
   AND(ISNUMBER(B63),MOD(B63,3)=0),"배",
   AND(ISNUMBER(B63),B63&gt;0),"자"
)</f>
        <v>소</v>
      </c>
      <c r="AD63" s="26" t="str" cm="1">
        <f t="array" ref="AD63">_xlfn.IFS(
   OR(C63="",ISBLANK(C63),C63=0),0,
   ISNUMBER(MATCH(C63,{2,3,5,7,11,13,17,19,23,29,31,37,41,43},0)),"소",
   AND(ISNUMBER(C63),MOD(C63,3)=0),"배",
   AND(ISNUMBER(C63),C63&gt;0),"자"
)</f>
        <v>자</v>
      </c>
      <c r="AE63" s="26" t="str" cm="1">
        <f t="array" ref="AE63">_xlfn.IFS(
   OR(D63="",ISBLANK(D63),D63=0),0,
   ISNUMBER(MATCH(D63,{2,3,5,7,11,13,17,19,23,29,31,37,41,43},0)),"소",
   AND(ISNUMBER(D63),MOD(D63,3)=0),"배",
   AND(ISNUMBER(D63),D63&gt;0),"자"
)</f>
        <v>배</v>
      </c>
      <c r="AF63" s="26" t="str" cm="1">
        <f t="array" ref="AF63">_xlfn.IFS(
   OR(E63="",ISBLANK(E63),E63=0),0,
   ISNUMBER(MATCH(E63,{2,3,5,7,11,13,17,19,23,29,31,37,41,43},0)),"소",
   AND(ISNUMBER(E63),MOD(E63,3)=0),"배",
   AND(ISNUMBER(E63),E63&gt;0),"자"
)</f>
        <v>배</v>
      </c>
      <c r="AG63" s="26" t="str" cm="1">
        <f t="array" ref="AG63">_xlfn.IFS(
   OR(F63="",ISBLANK(F63),F63=0),0,
   ISNUMBER(MATCH(F63,{2,3,5,7,11,13,17,19,23,29,31,37,41,43},0)),"소",
   AND(ISNUMBER(F63),MOD(F63,3)=0),"배",
   AND(ISNUMBER(F63),F63&gt;0),"자"
)</f>
        <v>자</v>
      </c>
      <c r="AH63" s="26" t="str" cm="1">
        <f t="array" ref="AH63">_xlfn.IFS(
   OR(G63="",ISBLANK(G63),G63=0),0,
   ISNUMBER(MATCH(G63,{2,3,5,7,11,13,17,19,23,29,31,37,41,43},0)),"소",
   AND(ISNUMBER(G63),MOD(G63,3)=0),"배",
   AND(ISNUMBER(G63),G63&gt;0),"자"
)</f>
        <v>자</v>
      </c>
      <c r="AI63" s="30"/>
      <c r="AJ63" s="3">
        <f t="shared" si="10"/>
        <v>3</v>
      </c>
      <c r="AK63" s="3">
        <f t="shared" si="11"/>
        <v>2</v>
      </c>
      <c r="AL63" s="3">
        <f t="shared" si="12"/>
        <v>1</v>
      </c>
      <c r="AM63" s="33"/>
      <c r="AN63" s="3">
        <f t="shared" si="13"/>
        <v>2</v>
      </c>
      <c r="AO63" s="3">
        <f t="shared" si="14"/>
        <v>2</v>
      </c>
      <c r="AP63" s="3">
        <f t="shared" si="15"/>
        <v>1</v>
      </c>
      <c r="AQ63" s="3">
        <f t="shared" si="16"/>
        <v>1</v>
      </c>
      <c r="AR63" s="3">
        <f t="shared" si="17"/>
        <v>0</v>
      </c>
      <c r="AS63" s="28" t="e">
        <f>#REF!</f>
        <v>#REF!</v>
      </c>
      <c r="AT63" s="28" t="e">
        <f>#REF!*2</f>
        <v>#REF!</v>
      </c>
      <c r="AU63" s="28" t="e">
        <f>#REF!</f>
        <v>#REF!</v>
      </c>
      <c r="AV63" s="28" t="e">
        <f>#REF!*2</f>
        <v>#REF!</v>
      </c>
      <c r="AW63" s="28" t="e">
        <f>#REF!</f>
        <v>#REF!</v>
      </c>
      <c r="AX63" s="28" t="e">
        <f>#REF!*2</f>
        <v>#REF!</v>
      </c>
      <c r="AY63" s="28" t="e">
        <f>#REF!</f>
        <v>#REF!</v>
      </c>
      <c r="AZ63" s="28" t="e">
        <f>#REF!*2</f>
        <v>#REF!</v>
      </c>
      <c r="BA63" s="28" t="e">
        <f>#REF!</f>
        <v>#REF!</v>
      </c>
      <c r="BB63" s="28" t="e">
        <f>#REF!*2</f>
        <v>#REF!</v>
      </c>
      <c r="BC63" s="28" t="e">
        <f>#REF!</f>
        <v>#REF!</v>
      </c>
      <c r="BD63" s="28" t="e">
        <f>#REF!*2</f>
        <v>#REF!</v>
      </c>
      <c r="BE63" s="9" t="e">
        <f>#REF!-#REF!</f>
        <v>#REF!</v>
      </c>
      <c r="BF63" s="9" t="e">
        <f>#REF!-#REF!</f>
        <v>#REF!</v>
      </c>
      <c r="BG63" s="9" t="e">
        <f>#REF!-#REF!</f>
        <v>#REF!</v>
      </c>
      <c r="BH63" s="9" t="e">
        <f>#REF!-#REF!</f>
        <v>#REF!</v>
      </c>
      <c r="BI63" s="9" t="e">
        <f>#REF!-#REF!</f>
        <v>#REF!</v>
      </c>
      <c r="BJ63" s="33"/>
      <c r="BK63" s="3">
        <f t="shared" si="18"/>
        <v>2</v>
      </c>
      <c r="BL63" s="3">
        <f t="shared" si="19"/>
        <v>2</v>
      </c>
      <c r="BM63" s="3">
        <f t="shared" si="20"/>
        <v>1</v>
      </c>
      <c r="BN63" s="3">
        <f t="shared" si="21"/>
        <v>1</v>
      </c>
      <c r="BO63" s="3">
        <f t="shared" si="22"/>
        <v>0</v>
      </c>
      <c r="BP63" s="28" t="e">
        <f>#REF!</f>
        <v>#REF!</v>
      </c>
      <c r="BQ63" s="28" t="e">
        <f>#REF!*2</f>
        <v>#REF!</v>
      </c>
      <c r="BR63" s="28" t="e">
        <f>#REF!</f>
        <v>#REF!</v>
      </c>
      <c r="BS63" s="28" t="e">
        <f>#REF!*2</f>
        <v>#REF!</v>
      </c>
      <c r="BT63" s="28" t="e">
        <f>#REF!</f>
        <v>#REF!</v>
      </c>
      <c r="BU63" s="28" t="e">
        <f>#REF!*2</f>
        <v>#REF!</v>
      </c>
      <c r="BV63" s="28" t="e">
        <f>#REF!</f>
        <v>#REF!</v>
      </c>
      <c r="BW63" s="28" t="e">
        <f>#REF!*2</f>
        <v>#REF!</v>
      </c>
      <c r="BX63" s="28" t="e">
        <f>#REF!</f>
        <v>#REF!</v>
      </c>
      <c r="BY63" s="28" t="e">
        <f>#REF!*2</f>
        <v>#REF!</v>
      </c>
      <c r="BZ63" s="28" t="e">
        <f>#REF!</f>
        <v>#REF!</v>
      </c>
      <c r="CA63" s="28" t="e">
        <f>#REF!*2</f>
        <v>#REF!</v>
      </c>
      <c r="CB63" s="9">
        <f t="shared" si="23"/>
        <v>1</v>
      </c>
      <c r="CC63" s="9">
        <f t="shared" si="24"/>
        <v>8</v>
      </c>
      <c r="CD63" s="9">
        <f t="shared" si="25"/>
        <v>3</v>
      </c>
      <c r="CE63" s="9">
        <f t="shared" si="26"/>
        <v>11</v>
      </c>
      <c r="CF63" s="9">
        <f t="shared" si="27"/>
        <v>8</v>
      </c>
      <c r="CG63" s="33"/>
      <c r="CH63" s="9">
        <f t="shared" si="28"/>
        <v>1</v>
      </c>
      <c r="CI63" s="9">
        <f t="shared" si="29"/>
        <v>8</v>
      </c>
      <c r="CJ63" s="9">
        <f t="shared" si="30"/>
        <v>3</v>
      </c>
      <c r="CK63" s="9">
        <f t="shared" si="31"/>
        <v>11</v>
      </c>
      <c r="CL63" s="9">
        <f t="shared" si="32"/>
        <v>8</v>
      </c>
      <c r="CM63" s="32"/>
      <c r="CN63" s="3">
        <f t="shared" si="33"/>
        <v>1</v>
      </c>
      <c r="CO63" s="3">
        <f t="shared" si="34"/>
        <v>2</v>
      </c>
      <c r="CP63" s="3">
        <f t="shared" si="35"/>
        <v>1</v>
      </c>
      <c r="CQ63" s="3">
        <f t="shared" si="36"/>
        <v>1</v>
      </c>
      <c r="CR63" s="3">
        <f t="shared" si="37"/>
        <v>2</v>
      </c>
      <c r="CS63" s="31"/>
      <c r="CT63" s="3" cm="1">
        <f t="array" ref="CT63">SUMPRODUCT(--(MOD(CH63:CL63,2)=1))</f>
        <v>3</v>
      </c>
      <c r="CU63" s="3">
        <f t="shared" si="38"/>
        <v>2</v>
      </c>
      <c r="CV63" s="30"/>
      <c r="CW63" s="3" cm="1">
        <f t="array" ref="CW63">SUMPRODUCT(--(MOD(CH63:CL63,10)&gt;=1), --(MOD(CH63:CL63,10)&lt;=5))</f>
        <v>3</v>
      </c>
      <c r="CX63" s="3">
        <f t="shared" si="39"/>
        <v>2</v>
      </c>
      <c r="CY63" s="30"/>
      <c r="CZ63" s="3" cm="1">
        <f t="array" ref="CZ63">IFERROR(COUNT(_xlfn._xlws.FILTER(CH63:CL63, ISNUMBER(MATCH(CH63:CL63, {2,3,5,7,11,13,17,19,23,29,31,37,41,43}, 0)))), 0)</f>
        <v>2</v>
      </c>
      <c r="DA63" s="3" cm="1">
        <f t="array" ref="DA63">IFERROR(COUNT(_xlfn._xlws.FILTER(CH63:CL63, ISNUMBER(MATCH(CH63:CL63, {1,4,8,10,14,16,20,22,25,26,28,32,34,35,38,40,44}, 0)))), 0)</f>
        <v>3</v>
      </c>
      <c r="DB63" s="3" cm="1">
        <f t="array" ref="DB63">IFERROR(COUNT(_xlfn._xlws.FILTER(CH63:CL63, ISNUMBER(MATCH(CH63:CL63, {6,9,12,15,18,21,24,27,30,33,36,39,42,45}, 0)))), 0)</f>
        <v>0</v>
      </c>
      <c r="DC63" s="29"/>
      <c r="DD63" s="28" t="e">
        <f>#REF!</f>
        <v>#REF!</v>
      </c>
      <c r="DE63" s="28" t="e">
        <f>#REF!*2</f>
        <v>#REF!</v>
      </c>
      <c r="DF63" s="28" t="e">
        <f>#REF!</f>
        <v>#REF!</v>
      </c>
      <c r="DG63" s="28" t="e">
        <f>#REF!*2</f>
        <v>#REF!</v>
      </c>
      <c r="DH63" s="28" t="e">
        <f>#REF!</f>
        <v>#REF!</v>
      </c>
      <c r="DI63" s="28" t="e">
        <f>#REF!*2</f>
        <v>#REF!</v>
      </c>
      <c r="DJ63" s="28" t="e">
        <f>#REF!</f>
        <v>#REF!</v>
      </c>
      <c r="DK63" s="28" t="e">
        <f>#REF!*2</f>
        <v>#REF!</v>
      </c>
      <c r="DL63" s="28" t="e">
        <f>#REF!</f>
        <v>#REF!</v>
      </c>
      <c r="DM63" s="28" t="e">
        <f>#REF!*2</f>
        <v>#REF!</v>
      </c>
      <c r="DN63" s="27"/>
      <c r="DO63" s="26" t="str" cm="1">
        <f t="array" ref="DO63">_xlfn.IFS(
   OR(CH63="",ISBLANK(CH63),CH63=0),0,
   ISNUMBER(MATCH(CH63,{2,3,5,7,11,13,17,19,23,29,31,37,41,43},0)),"소",
   AND(ISNUMBER(CH63),MOD(CH63,3)=0),"배",
   AND(ISNUMBER(CH63),CH63&gt;0),"자"
)</f>
        <v>자</v>
      </c>
      <c r="DP63" s="26" t="str" cm="1">
        <f t="array" ref="DP63">_xlfn.IFS(
   OR(CI63="",ISBLANK(CI63),CI63=0),0,
   ISNUMBER(MATCH(CI63,{2,3,5,7,11,13,17,19,23,29,31,37,41,43},0)),"소",
   AND(ISNUMBER(CI63),MOD(CI63,3)=0),"배",
   AND(ISNUMBER(CI63),CI63&gt;0),"자"
)</f>
        <v>자</v>
      </c>
      <c r="DQ63" s="26" t="str" cm="1">
        <f t="array" ref="DQ63">_xlfn.IFS(
   OR(CJ63="",ISBLANK(CJ63),CJ63=0),0,
   ISNUMBER(MATCH(CJ63,{2,3,5,7,11,13,17,19,23,29,31,37,41,43},0)),"소",
   AND(ISNUMBER(CJ63),MOD(CJ63,3)=0),"배",
   AND(ISNUMBER(CJ63),CJ63&gt;0),"자"
)</f>
        <v>소</v>
      </c>
      <c r="DR63" s="26" t="str" cm="1">
        <f t="array" ref="DR63">_xlfn.IFS(
   OR(CK63="",ISBLANK(CK63),CK63=0),0,
   ISNUMBER(MATCH(CK63,{2,3,5,7,11,13,17,19,23,29,31,37,41,43},0)),"소",
   AND(ISNUMBER(CK63),MOD(CK63,3)=0),"배",
   AND(ISNUMBER(CK63),CK63&gt;0),"자"
)</f>
        <v>소</v>
      </c>
      <c r="DS63" s="26" t="str" cm="1">
        <f t="array" ref="DS63">_xlfn.IFS(
   OR(CL63="",ISBLANK(CL63),CL63=0),0,
   ISNUMBER(MATCH(CL63,{2,3,5,7,11,13,17,19,23,29,31,37,41,43},0)),"소",
   AND(ISNUMBER(CL63),MOD(CL63,3)=0),"배",
   AND(ISNUMBER(CL63),CL63&gt;0),"자"
)</f>
        <v>자</v>
      </c>
      <c r="DT63" s="25"/>
    </row>
    <row r="64" spans="2:124" x14ac:dyDescent="0.3">
      <c r="B64" s="3">
        <v>2</v>
      </c>
      <c r="C64" s="3">
        <v>11</v>
      </c>
      <c r="D64" s="3">
        <v>31</v>
      </c>
      <c r="E64" s="3">
        <v>33</v>
      </c>
      <c r="F64" s="3">
        <v>37</v>
      </c>
      <c r="G64" s="3">
        <v>44</v>
      </c>
      <c r="H64" s="32"/>
      <c r="I64" s="3">
        <f t="shared" si="0"/>
        <v>2</v>
      </c>
      <c r="J64" s="3">
        <f t="shared" si="1"/>
        <v>1</v>
      </c>
      <c r="K64" s="3">
        <f t="shared" si="2"/>
        <v>1</v>
      </c>
      <c r="L64" s="3">
        <f t="shared" si="3"/>
        <v>1</v>
      </c>
      <c r="M64" s="3">
        <f t="shared" si="4"/>
        <v>1</v>
      </c>
      <c r="N64" s="3">
        <f t="shared" si="5"/>
        <v>2</v>
      </c>
      <c r="O64" s="32"/>
      <c r="P64" s="3" cm="1">
        <f t="array" ref="P64">SUMPRODUCT(--(MOD(B64:G64,2)=1))</f>
        <v>4</v>
      </c>
      <c r="Q64" s="3">
        <f t="shared" si="6"/>
        <v>2</v>
      </c>
      <c r="R64" s="34"/>
      <c r="S64" s="3">
        <f t="shared" si="7"/>
        <v>2</v>
      </c>
      <c r="T64" s="3">
        <f t="shared" si="8"/>
        <v>4</v>
      </c>
      <c r="U64" s="34"/>
      <c r="V64" s="3" cm="1">
        <f t="array" ref="V64">SUMPRODUCT(--(MOD(B64:G64,10)&gt;=1), --(MOD(B64:G64,10)&lt;=5))</f>
        <v>5</v>
      </c>
      <c r="W64" s="3">
        <f t="shared" si="9"/>
        <v>1</v>
      </c>
      <c r="X64" s="34"/>
      <c r="Y64" s="3" cm="1">
        <f t="array" ref="Y64">IFERROR(COUNT(_xlfn._xlws.FILTER(B64:G64, ISNUMBER(MATCH(B64:G64, {2,3,5,7,11,13,17,19,23,29,31,37,41,43}, 0)))), 0)</f>
        <v>4</v>
      </c>
      <c r="Z64" s="3" cm="1">
        <f t="array" ref="Z64">IFERROR(COUNT(_xlfn._xlws.FILTER(B64:G64, ISNUMBER(MATCH(B64:G64, {1,4,8,10,14,16,20,22,25,26,28,32,34,35,38,40,44}, 0)))), 0)</f>
        <v>1</v>
      </c>
      <c r="AA64" s="3" cm="1">
        <f t="array" ref="AA64">IFERROR(COUNT(_xlfn._xlws.FILTER(B64:G64, ISNUMBER(MATCH(B64:G64, {6,9,12,15,18,21,24,27,30,33,36,39,42,45}, 0)))), 0)</f>
        <v>1</v>
      </c>
      <c r="AB64" s="30"/>
      <c r="AC64" s="26" t="str" cm="1">
        <f t="array" ref="AC64">_xlfn.IFS(
   OR(B64="",ISBLANK(B64),B64=0),0,
   ISNUMBER(MATCH(B64,{2,3,5,7,11,13,17,19,23,29,31,37,41,43},0)),"소",
   AND(ISNUMBER(B64),MOD(B64,3)=0),"배",
   AND(ISNUMBER(B64),B64&gt;0),"자"
)</f>
        <v>소</v>
      </c>
      <c r="AD64" s="26" t="str" cm="1">
        <f t="array" ref="AD64">_xlfn.IFS(
   OR(C64="",ISBLANK(C64),C64=0),0,
   ISNUMBER(MATCH(C64,{2,3,5,7,11,13,17,19,23,29,31,37,41,43},0)),"소",
   AND(ISNUMBER(C64),MOD(C64,3)=0),"배",
   AND(ISNUMBER(C64),C64&gt;0),"자"
)</f>
        <v>소</v>
      </c>
      <c r="AE64" s="26" t="str" cm="1">
        <f t="array" ref="AE64">_xlfn.IFS(
   OR(D64="",ISBLANK(D64),D64=0),0,
   ISNUMBER(MATCH(D64,{2,3,5,7,11,13,17,19,23,29,31,37,41,43},0)),"소",
   AND(ISNUMBER(D64),MOD(D64,3)=0),"배",
   AND(ISNUMBER(D64),D64&gt;0),"자"
)</f>
        <v>소</v>
      </c>
      <c r="AF64" s="26" t="str" cm="1">
        <f t="array" ref="AF64">_xlfn.IFS(
   OR(E64="",ISBLANK(E64),E64=0),0,
   ISNUMBER(MATCH(E64,{2,3,5,7,11,13,17,19,23,29,31,37,41,43},0)),"소",
   AND(ISNUMBER(E64),MOD(E64,3)=0),"배",
   AND(ISNUMBER(E64),E64&gt;0),"자"
)</f>
        <v>배</v>
      </c>
      <c r="AG64" s="26" t="str" cm="1">
        <f t="array" ref="AG64">_xlfn.IFS(
   OR(F64="",ISBLANK(F64),F64=0),0,
   ISNUMBER(MATCH(F64,{2,3,5,7,11,13,17,19,23,29,31,37,41,43},0)),"소",
   AND(ISNUMBER(F64),MOD(F64,3)=0),"배",
   AND(ISNUMBER(F64),F64&gt;0),"자"
)</f>
        <v>소</v>
      </c>
      <c r="AH64" s="26" t="str" cm="1">
        <f t="array" ref="AH64">_xlfn.IFS(
   OR(G64="",ISBLANK(G64),G64=0),0,
   ISNUMBER(MATCH(G64,{2,3,5,7,11,13,17,19,23,29,31,37,41,43},0)),"소",
   AND(ISNUMBER(G64),MOD(G64,3)=0),"배",
   AND(ISNUMBER(G64),G64&gt;0),"자"
)</f>
        <v>자</v>
      </c>
      <c r="AI64" s="30"/>
      <c r="AJ64" s="3">
        <f t="shared" si="10"/>
        <v>2</v>
      </c>
      <c r="AK64" s="3">
        <f t="shared" si="11"/>
        <v>1</v>
      </c>
      <c r="AL64" s="3">
        <f t="shared" si="12"/>
        <v>3</v>
      </c>
      <c r="AM64" s="33"/>
      <c r="AN64" s="3">
        <f t="shared" si="13"/>
        <v>1</v>
      </c>
      <c r="AO64" s="3">
        <f t="shared" si="14"/>
        <v>1</v>
      </c>
      <c r="AP64" s="3">
        <f t="shared" si="15"/>
        <v>0</v>
      </c>
      <c r="AQ64" s="3">
        <f t="shared" si="16"/>
        <v>2</v>
      </c>
      <c r="AR64" s="3">
        <f t="shared" si="17"/>
        <v>2</v>
      </c>
      <c r="AS64" s="28" t="e">
        <f>#REF!</f>
        <v>#REF!</v>
      </c>
      <c r="AT64" s="28" t="e">
        <f>#REF!*2</f>
        <v>#REF!</v>
      </c>
      <c r="AU64" s="28" t="e">
        <f>#REF!</f>
        <v>#REF!</v>
      </c>
      <c r="AV64" s="28" t="e">
        <f>#REF!*2</f>
        <v>#REF!</v>
      </c>
      <c r="AW64" s="28" t="e">
        <f>#REF!</f>
        <v>#REF!</v>
      </c>
      <c r="AX64" s="28" t="e">
        <f>#REF!*2</f>
        <v>#REF!</v>
      </c>
      <c r="AY64" s="28" t="e">
        <f>#REF!</f>
        <v>#REF!</v>
      </c>
      <c r="AZ64" s="28" t="e">
        <f>#REF!*2</f>
        <v>#REF!</v>
      </c>
      <c r="BA64" s="28" t="e">
        <f>#REF!</f>
        <v>#REF!</v>
      </c>
      <c r="BB64" s="28" t="e">
        <f>#REF!*2</f>
        <v>#REF!</v>
      </c>
      <c r="BC64" s="28" t="e">
        <f>#REF!</f>
        <v>#REF!</v>
      </c>
      <c r="BD64" s="28" t="e">
        <f>#REF!*2</f>
        <v>#REF!</v>
      </c>
      <c r="BE64" s="9" t="e">
        <f>#REF!-#REF!</f>
        <v>#REF!</v>
      </c>
      <c r="BF64" s="9" t="e">
        <f>#REF!-#REF!</f>
        <v>#REF!</v>
      </c>
      <c r="BG64" s="9" t="e">
        <f>#REF!-#REF!</f>
        <v>#REF!</v>
      </c>
      <c r="BH64" s="9" t="e">
        <f>#REF!-#REF!</f>
        <v>#REF!</v>
      </c>
      <c r="BI64" s="9" t="e">
        <f>#REF!-#REF!</f>
        <v>#REF!</v>
      </c>
      <c r="BJ64" s="33"/>
      <c r="BK64" s="3">
        <f t="shared" si="18"/>
        <v>1</v>
      </c>
      <c r="BL64" s="3">
        <f t="shared" si="19"/>
        <v>1</v>
      </c>
      <c r="BM64" s="3">
        <f t="shared" si="20"/>
        <v>0</v>
      </c>
      <c r="BN64" s="3">
        <f t="shared" si="21"/>
        <v>3</v>
      </c>
      <c r="BO64" s="3">
        <f t="shared" si="22"/>
        <v>1</v>
      </c>
      <c r="BP64" s="28" t="e">
        <f>#REF!</f>
        <v>#REF!</v>
      </c>
      <c r="BQ64" s="28" t="e">
        <f>#REF!*2</f>
        <v>#REF!</v>
      </c>
      <c r="BR64" s="28" t="e">
        <f>#REF!</f>
        <v>#REF!</v>
      </c>
      <c r="BS64" s="28" t="e">
        <f>#REF!*2</f>
        <v>#REF!</v>
      </c>
      <c r="BT64" s="28" t="e">
        <f>#REF!</f>
        <v>#REF!</v>
      </c>
      <c r="BU64" s="28" t="e">
        <f>#REF!*2</f>
        <v>#REF!</v>
      </c>
      <c r="BV64" s="28" t="e">
        <f>#REF!</f>
        <v>#REF!</v>
      </c>
      <c r="BW64" s="28" t="e">
        <f>#REF!*2</f>
        <v>#REF!</v>
      </c>
      <c r="BX64" s="28" t="e">
        <f>#REF!</f>
        <v>#REF!</v>
      </c>
      <c r="BY64" s="28" t="e">
        <f>#REF!*2</f>
        <v>#REF!</v>
      </c>
      <c r="BZ64" s="28" t="e">
        <f>#REF!</f>
        <v>#REF!</v>
      </c>
      <c r="CA64" s="28" t="e">
        <f>#REF!*2</f>
        <v>#REF!</v>
      </c>
      <c r="CB64" s="9">
        <f t="shared" si="23"/>
        <v>9</v>
      </c>
      <c r="CC64" s="9">
        <f t="shared" si="24"/>
        <v>20</v>
      </c>
      <c r="CD64" s="9">
        <f t="shared" si="25"/>
        <v>2</v>
      </c>
      <c r="CE64" s="9">
        <f t="shared" si="26"/>
        <v>4</v>
      </c>
      <c r="CF64" s="9">
        <f t="shared" si="27"/>
        <v>7</v>
      </c>
      <c r="CG64" s="33"/>
      <c r="CH64" s="9">
        <f t="shared" si="28"/>
        <v>9</v>
      </c>
      <c r="CI64" s="9">
        <f t="shared" si="29"/>
        <v>20</v>
      </c>
      <c r="CJ64" s="9">
        <f t="shared" si="30"/>
        <v>2</v>
      </c>
      <c r="CK64" s="9">
        <f t="shared" si="31"/>
        <v>4</v>
      </c>
      <c r="CL64" s="9">
        <f t="shared" si="32"/>
        <v>7</v>
      </c>
      <c r="CM64" s="32"/>
      <c r="CN64" s="3">
        <f t="shared" si="33"/>
        <v>1</v>
      </c>
      <c r="CO64" s="3">
        <f t="shared" si="34"/>
        <v>2</v>
      </c>
      <c r="CP64" s="3">
        <f t="shared" si="35"/>
        <v>2</v>
      </c>
      <c r="CQ64" s="3">
        <f t="shared" si="36"/>
        <v>2</v>
      </c>
      <c r="CR64" s="3">
        <f t="shared" si="37"/>
        <v>1</v>
      </c>
      <c r="CS64" s="31"/>
      <c r="CT64" s="3" cm="1">
        <f t="array" ref="CT64">SUMPRODUCT(--(MOD(CH64:CL64,2)=1))</f>
        <v>2</v>
      </c>
      <c r="CU64" s="3">
        <f t="shared" si="38"/>
        <v>3</v>
      </c>
      <c r="CV64" s="30"/>
      <c r="CW64" s="3" cm="1">
        <f t="array" ref="CW64">SUMPRODUCT(--(MOD(CH64:CL64,10)&gt;=1), --(MOD(CH64:CL64,10)&lt;=5))</f>
        <v>2</v>
      </c>
      <c r="CX64" s="3">
        <f t="shared" si="39"/>
        <v>3</v>
      </c>
      <c r="CY64" s="30"/>
      <c r="CZ64" s="3" cm="1">
        <f t="array" ref="CZ64">IFERROR(COUNT(_xlfn._xlws.FILTER(CH64:CL64, ISNUMBER(MATCH(CH64:CL64, {2,3,5,7,11,13,17,19,23,29,31,37,41,43}, 0)))), 0)</f>
        <v>2</v>
      </c>
      <c r="DA64" s="3" cm="1">
        <f t="array" ref="DA64">IFERROR(COUNT(_xlfn._xlws.FILTER(CH64:CL64, ISNUMBER(MATCH(CH64:CL64, {1,4,8,10,14,16,20,22,25,26,28,32,34,35,38,40,44}, 0)))), 0)</f>
        <v>2</v>
      </c>
      <c r="DB64" s="3" cm="1">
        <f t="array" ref="DB64">IFERROR(COUNT(_xlfn._xlws.FILTER(CH64:CL64, ISNUMBER(MATCH(CH64:CL64, {6,9,12,15,18,21,24,27,30,33,36,39,42,45}, 0)))), 0)</f>
        <v>1</v>
      </c>
      <c r="DC64" s="29"/>
      <c r="DD64" s="28" t="e">
        <f>#REF!</f>
        <v>#REF!</v>
      </c>
      <c r="DE64" s="28" t="e">
        <f>#REF!*2</f>
        <v>#REF!</v>
      </c>
      <c r="DF64" s="28" t="e">
        <f>#REF!</f>
        <v>#REF!</v>
      </c>
      <c r="DG64" s="28" t="e">
        <f>#REF!*2</f>
        <v>#REF!</v>
      </c>
      <c r="DH64" s="28" t="e">
        <f>#REF!</f>
        <v>#REF!</v>
      </c>
      <c r="DI64" s="28" t="e">
        <f>#REF!*2</f>
        <v>#REF!</v>
      </c>
      <c r="DJ64" s="28" t="e">
        <f>#REF!</f>
        <v>#REF!</v>
      </c>
      <c r="DK64" s="28" t="e">
        <f>#REF!*2</f>
        <v>#REF!</v>
      </c>
      <c r="DL64" s="28" t="e">
        <f>#REF!</f>
        <v>#REF!</v>
      </c>
      <c r="DM64" s="28" t="e">
        <f>#REF!*2</f>
        <v>#REF!</v>
      </c>
      <c r="DN64" s="27"/>
      <c r="DO64" s="26" t="str" cm="1">
        <f t="array" ref="DO64">_xlfn.IFS(
   OR(CH64="",ISBLANK(CH64),CH64=0),0,
   ISNUMBER(MATCH(CH64,{2,3,5,7,11,13,17,19,23,29,31,37,41,43},0)),"소",
   AND(ISNUMBER(CH64),MOD(CH64,3)=0),"배",
   AND(ISNUMBER(CH64),CH64&gt;0),"자"
)</f>
        <v>배</v>
      </c>
      <c r="DP64" s="26" t="str" cm="1">
        <f t="array" ref="DP64">_xlfn.IFS(
   OR(CI64="",ISBLANK(CI64),CI64=0),0,
   ISNUMBER(MATCH(CI64,{2,3,5,7,11,13,17,19,23,29,31,37,41,43},0)),"소",
   AND(ISNUMBER(CI64),MOD(CI64,3)=0),"배",
   AND(ISNUMBER(CI64),CI64&gt;0),"자"
)</f>
        <v>자</v>
      </c>
      <c r="DQ64" s="26" t="str" cm="1">
        <f t="array" ref="DQ64">_xlfn.IFS(
   OR(CJ64="",ISBLANK(CJ64),CJ64=0),0,
   ISNUMBER(MATCH(CJ64,{2,3,5,7,11,13,17,19,23,29,31,37,41,43},0)),"소",
   AND(ISNUMBER(CJ64),MOD(CJ64,3)=0),"배",
   AND(ISNUMBER(CJ64),CJ64&gt;0),"자"
)</f>
        <v>소</v>
      </c>
      <c r="DR64" s="26" t="str" cm="1">
        <f t="array" ref="DR64">_xlfn.IFS(
   OR(CK64="",ISBLANK(CK64),CK64=0),0,
   ISNUMBER(MATCH(CK64,{2,3,5,7,11,13,17,19,23,29,31,37,41,43},0)),"소",
   AND(ISNUMBER(CK64),MOD(CK64,3)=0),"배",
   AND(ISNUMBER(CK64),CK64&gt;0),"자"
)</f>
        <v>자</v>
      </c>
      <c r="DS64" s="26" t="str" cm="1">
        <f t="array" ref="DS64">_xlfn.IFS(
   OR(CL64="",ISBLANK(CL64),CL64=0),0,
   ISNUMBER(MATCH(CL64,{2,3,5,7,11,13,17,19,23,29,31,37,41,43},0)),"소",
   AND(ISNUMBER(CL64),MOD(CL64,3)=0),"배",
   AND(ISNUMBER(CL64),CL64&gt;0),"자"
)</f>
        <v>소</v>
      </c>
      <c r="DT64" s="25"/>
    </row>
    <row r="65" spans="2:124" x14ac:dyDescent="0.3">
      <c r="B65" s="3">
        <v>6</v>
      </c>
      <c r="C65" s="3">
        <v>11</v>
      </c>
      <c r="D65" s="3">
        <v>17</v>
      </c>
      <c r="E65" s="3">
        <v>19</v>
      </c>
      <c r="F65" s="3">
        <v>40</v>
      </c>
      <c r="G65" s="3">
        <v>43</v>
      </c>
      <c r="H65" s="32"/>
      <c r="I65" s="3">
        <f t="shared" si="0"/>
        <v>2</v>
      </c>
      <c r="J65" s="3">
        <f t="shared" si="1"/>
        <v>1</v>
      </c>
      <c r="K65" s="3">
        <f t="shared" si="2"/>
        <v>1</v>
      </c>
      <c r="L65" s="3">
        <f t="shared" si="3"/>
        <v>1</v>
      </c>
      <c r="M65" s="3">
        <f t="shared" si="4"/>
        <v>2</v>
      </c>
      <c r="N65" s="3">
        <f t="shared" si="5"/>
        <v>1</v>
      </c>
      <c r="O65" s="32"/>
      <c r="P65" s="3" cm="1">
        <f t="array" ref="P65">SUMPRODUCT(--(MOD(B65:G65,2)=1))</f>
        <v>4</v>
      </c>
      <c r="Q65" s="3">
        <f t="shared" si="6"/>
        <v>2</v>
      </c>
      <c r="R65" s="34"/>
      <c r="S65" s="3">
        <f t="shared" si="7"/>
        <v>4</v>
      </c>
      <c r="T65" s="3">
        <f t="shared" si="8"/>
        <v>2</v>
      </c>
      <c r="U65" s="34"/>
      <c r="V65" s="3" cm="1">
        <f t="array" ref="V65">SUMPRODUCT(--(MOD(B65:G65,10)&gt;=1), --(MOD(B65:G65,10)&lt;=5))</f>
        <v>2</v>
      </c>
      <c r="W65" s="3">
        <f t="shared" si="9"/>
        <v>4</v>
      </c>
      <c r="X65" s="34"/>
      <c r="Y65" s="3" cm="1">
        <f t="array" ref="Y65">IFERROR(COUNT(_xlfn._xlws.FILTER(B65:G65, ISNUMBER(MATCH(B65:G65, {2,3,5,7,11,13,17,19,23,29,31,37,41,43}, 0)))), 0)</f>
        <v>4</v>
      </c>
      <c r="Z65" s="3" cm="1">
        <f t="array" ref="Z65">IFERROR(COUNT(_xlfn._xlws.FILTER(B65:G65, ISNUMBER(MATCH(B65:G65, {1,4,8,10,14,16,20,22,25,26,28,32,34,35,38,40,44}, 0)))), 0)</f>
        <v>1</v>
      </c>
      <c r="AA65" s="3" cm="1">
        <f t="array" ref="AA65">IFERROR(COUNT(_xlfn._xlws.FILTER(B65:G65, ISNUMBER(MATCH(B65:G65, {6,9,12,15,18,21,24,27,30,33,36,39,42,45}, 0)))), 0)</f>
        <v>1</v>
      </c>
      <c r="AB65" s="30"/>
      <c r="AC65" s="26" t="str" cm="1">
        <f t="array" ref="AC65">_xlfn.IFS(
   OR(B65="",ISBLANK(B65),B65=0),0,
   ISNUMBER(MATCH(B65,{2,3,5,7,11,13,17,19,23,29,31,37,41,43},0)),"소",
   AND(ISNUMBER(B65),MOD(B65,3)=0),"배",
   AND(ISNUMBER(B65),B65&gt;0),"자"
)</f>
        <v>배</v>
      </c>
      <c r="AD65" s="26" t="str" cm="1">
        <f t="array" ref="AD65">_xlfn.IFS(
   OR(C65="",ISBLANK(C65),C65=0),0,
   ISNUMBER(MATCH(C65,{2,3,5,7,11,13,17,19,23,29,31,37,41,43},0)),"소",
   AND(ISNUMBER(C65),MOD(C65,3)=0),"배",
   AND(ISNUMBER(C65),C65&gt;0),"자"
)</f>
        <v>소</v>
      </c>
      <c r="AE65" s="26" t="str" cm="1">
        <f t="array" ref="AE65">_xlfn.IFS(
   OR(D65="",ISBLANK(D65),D65=0),0,
   ISNUMBER(MATCH(D65,{2,3,5,7,11,13,17,19,23,29,31,37,41,43},0)),"소",
   AND(ISNUMBER(D65),MOD(D65,3)=0),"배",
   AND(ISNUMBER(D65),D65&gt;0),"자"
)</f>
        <v>소</v>
      </c>
      <c r="AF65" s="26" t="str" cm="1">
        <f t="array" ref="AF65">_xlfn.IFS(
   OR(E65="",ISBLANK(E65),E65=0),0,
   ISNUMBER(MATCH(E65,{2,3,5,7,11,13,17,19,23,29,31,37,41,43},0)),"소",
   AND(ISNUMBER(E65),MOD(E65,3)=0),"배",
   AND(ISNUMBER(E65),E65&gt;0),"자"
)</f>
        <v>소</v>
      </c>
      <c r="AG65" s="26" t="str" cm="1">
        <f t="array" ref="AG65">_xlfn.IFS(
   OR(F65="",ISBLANK(F65),F65=0),0,
   ISNUMBER(MATCH(F65,{2,3,5,7,11,13,17,19,23,29,31,37,41,43},0)),"소",
   AND(ISNUMBER(F65),MOD(F65,3)=0),"배",
   AND(ISNUMBER(F65),F65&gt;0),"자"
)</f>
        <v>자</v>
      </c>
      <c r="AH65" s="26" t="str" cm="1">
        <f t="array" ref="AH65">_xlfn.IFS(
   OR(G65="",ISBLANK(G65),G65=0),0,
   ISNUMBER(MATCH(G65,{2,3,5,7,11,13,17,19,23,29,31,37,41,43},0)),"소",
   AND(ISNUMBER(G65),MOD(G65,3)=0),"배",
   AND(ISNUMBER(G65),G65&gt;0),"자"
)</f>
        <v>소</v>
      </c>
      <c r="AI65" s="30"/>
      <c r="AJ65" s="3">
        <f t="shared" si="10"/>
        <v>2</v>
      </c>
      <c r="AK65" s="3">
        <f t="shared" si="11"/>
        <v>2</v>
      </c>
      <c r="AL65" s="3">
        <f t="shared" si="12"/>
        <v>2</v>
      </c>
      <c r="AM65" s="33"/>
      <c r="AN65" s="3">
        <f t="shared" si="13"/>
        <v>1</v>
      </c>
      <c r="AO65" s="3">
        <f t="shared" si="14"/>
        <v>2</v>
      </c>
      <c r="AP65" s="3">
        <f t="shared" si="15"/>
        <v>1</v>
      </c>
      <c r="AQ65" s="3">
        <f t="shared" si="16"/>
        <v>0</v>
      </c>
      <c r="AR65" s="3">
        <f t="shared" si="17"/>
        <v>2</v>
      </c>
      <c r="AS65" s="28" t="e">
        <f>#REF!</f>
        <v>#REF!</v>
      </c>
      <c r="AT65" s="28" t="e">
        <f>#REF!*2</f>
        <v>#REF!</v>
      </c>
      <c r="AU65" s="28" t="e">
        <f>#REF!</f>
        <v>#REF!</v>
      </c>
      <c r="AV65" s="28" t="e">
        <f>#REF!*2</f>
        <v>#REF!</v>
      </c>
      <c r="AW65" s="28" t="e">
        <f>#REF!</f>
        <v>#REF!</v>
      </c>
      <c r="AX65" s="28" t="e">
        <f>#REF!*2</f>
        <v>#REF!</v>
      </c>
      <c r="AY65" s="28" t="e">
        <f>#REF!</f>
        <v>#REF!</v>
      </c>
      <c r="AZ65" s="28" t="e">
        <f>#REF!*2</f>
        <v>#REF!</v>
      </c>
      <c r="BA65" s="28" t="e">
        <f>#REF!</f>
        <v>#REF!</v>
      </c>
      <c r="BB65" s="28" t="e">
        <f>#REF!*2</f>
        <v>#REF!</v>
      </c>
      <c r="BC65" s="28" t="e">
        <f>#REF!</f>
        <v>#REF!</v>
      </c>
      <c r="BD65" s="28" t="e">
        <f>#REF!*2</f>
        <v>#REF!</v>
      </c>
      <c r="BE65" s="9" t="e">
        <f>#REF!-#REF!</f>
        <v>#REF!</v>
      </c>
      <c r="BF65" s="9" t="e">
        <f>#REF!-#REF!</f>
        <v>#REF!</v>
      </c>
      <c r="BG65" s="9" t="e">
        <f>#REF!-#REF!</f>
        <v>#REF!</v>
      </c>
      <c r="BH65" s="9" t="e">
        <f>#REF!-#REF!</f>
        <v>#REF!</v>
      </c>
      <c r="BI65" s="9" t="e">
        <f>#REF!-#REF!</f>
        <v>#REF!</v>
      </c>
      <c r="BJ65" s="33"/>
      <c r="BK65" s="3">
        <f t="shared" si="18"/>
        <v>1</v>
      </c>
      <c r="BL65" s="3">
        <f t="shared" si="19"/>
        <v>3</v>
      </c>
      <c r="BM65" s="3">
        <f t="shared" si="20"/>
        <v>0</v>
      </c>
      <c r="BN65" s="3">
        <f t="shared" si="21"/>
        <v>0</v>
      </c>
      <c r="BO65" s="3">
        <f t="shared" si="22"/>
        <v>2</v>
      </c>
      <c r="BP65" s="28" t="e">
        <f>#REF!</f>
        <v>#REF!</v>
      </c>
      <c r="BQ65" s="28" t="e">
        <f>#REF!*2</f>
        <v>#REF!</v>
      </c>
      <c r="BR65" s="28" t="e">
        <f>#REF!</f>
        <v>#REF!</v>
      </c>
      <c r="BS65" s="28" t="e">
        <f>#REF!*2</f>
        <v>#REF!</v>
      </c>
      <c r="BT65" s="28" t="e">
        <f>#REF!</f>
        <v>#REF!</v>
      </c>
      <c r="BU65" s="28" t="e">
        <f>#REF!*2</f>
        <v>#REF!</v>
      </c>
      <c r="BV65" s="28" t="e">
        <f>#REF!</f>
        <v>#REF!</v>
      </c>
      <c r="BW65" s="28" t="e">
        <f>#REF!*2</f>
        <v>#REF!</v>
      </c>
      <c r="BX65" s="28" t="e">
        <f>#REF!</f>
        <v>#REF!</v>
      </c>
      <c r="BY65" s="28" t="e">
        <f>#REF!*2</f>
        <v>#REF!</v>
      </c>
      <c r="BZ65" s="28" t="e">
        <f>#REF!</f>
        <v>#REF!</v>
      </c>
      <c r="CA65" s="28" t="e">
        <f>#REF!*2</f>
        <v>#REF!</v>
      </c>
      <c r="CB65" s="9">
        <f t="shared" si="23"/>
        <v>5</v>
      </c>
      <c r="CC65" s="9">
        <f t="shared" si="24"/>
        <v>6</v>
      </c>
      <c r="CD65" s="9">
        <f t="shared" si="25"/>
        <v>2</v>
      </c>
      <c r="CE65" s="9">
        <f t="shared" si="26"/>
        <v>21</v>
      </c>
      <c r="CF65" s="9">
        <f t="shared" si="27"/>
        <v>3</v>
      </c>
      <c r="CG65" s="33"/>
      <c r="CH65" s="9">
        <f t="shared" si="28"/>
        <v>5</v>
      </c>
      <c r="CI65" s="9">
        <f t="shared" si="29"/>
        <v>6</v>
      </c>
      <c r="CJ65" s="9">
        <f t="shared" si="30"/>
        <v>2</v>
      </c>
      <c r="CK65" s="9">
        <f t="shared" si="31"/>
        <v>21</v>
      </c>
      <c r="CL65" s="9">
        <f t="shared" si="32"/>
        <v>3</v>
      </c>
      <c r="CM65" s="32"/>
      <c r="CN65" s="3">
        <f t="shared" si="33"/>
        <v>1</v>
      </c>
      <c r="CO65" s="3">
        <f t="shared" si="34"/>
        <v>2</v>
      </c>
      <c r="CP65" s="3">
        <f t="shared" si="35"/>
        <v>2</v>
      </c>
      <c r="CQ65" s="3">
        <f t="shared" si="36"/>
        <v>1</v>
      </c>
      <c r="CR65" s="3">
        <f t="shared" si="37"/>
        <v>1</v>
      </c>
      <c r="CS65" s="31"/>
      <c r="CT65" s="3" cm="1">
        <f t="array" ref="CT65">SUMPRODUCT(--(MOD(CH65:CL65,2)=1))</f>
        <v>3</v>
      </c>
      <c r="CU65" s="3">
        <f t="shared" si="38"/>
        <v>2</v>
      </c>
      <c r="CV65" s="30"/>
      <c r="CW65" s="3" cm="1">
        <f t="array" ref="CW65">SUMPRODUCT(--(MOD(CH65:CL65,10)&gt;=1), --(MOD(CH65:CL65,10)&lt;=5))</f>
        <v>4</v>
      </c>
      <c r="CX65" s="3">
        <f t="shared" si="39"/>
        <v>1</v>
      </c>
      <c r="CY65" s="30"/>
      <c r="CZ65" s="3" cm="1">
        <f t="array" ref="CZ65">IFERROR(COUNT(_xlfn._xlws.FILTER(CH65:CL65, ISNUMBER(MATCH(CH65:CL65, {2,3,5,7,11,13,17,19,23,29,31,37,41,43}, 0)))), 0)</f>
        <v>3</v>
      </c>
      <c r="DA65" s="3" cm="1">
        <f t="array" ref="DA65">IFERROR(COUNT(_xlfn._xlws.FILTER(CH65:CL65, ISNUMBER(MATCH(CH65:CL65, {1,4,8,10,14,16,20,22,25,26,28,32,34,35,38,40,44}, 0)))), 0)</f>
        <v>0</v>
      </c>
      <c r="DB65" s="3" cm="1">
        <f t="array" ref="DB65">IFERROR(COUNT(_xlfn._xlws.FILTER(CH65:CL65, ISNUMBER(MATCH(CH65:CL65, {6,9,12,15,18,21,24,27,30,33,36,39,42,45}, 0)))), 0)</f>
        <v>2</v>
      </c>
      <c r="DC65" s="29"/>
      <c r="DD65" s="28" t="e">
        <f>#REF!</f>
        <v>#REF!</v>
      </c>
      <c r="DE65" s="28" t="e">
        <f>#REF!*2</f>
        <v>#REF!</v>
      </c>
      <c r="DF65" s="28" t="e">
        <f>#REF!</f>
        <v>#REF!</v>
      </c>
      <c r="DG65" s="28" t="e">
        <f>#REF!*2</f>
        <v>#REF!</v>
      </c>
      <c r="DH65" s="28" t="e">
        <f>#REF!</f>
        <v>#REF!</v>
      </c>
      <c r="DI65" s="28" t="e">
        <f>#REF!*2</f>
        <v>#REF!</v>
      </c>
      <c r="DJ65" s="28" t="e">
        <f>#REF!</f>
        <v>#REF!</v>
      </c>
      <c r="DK65" s="28" t="e">
        <f>#REF!*2</f>
        <v>#REF!</v>
      </c>
      <c r="DL65" s="28" t="e">
        <f>#REF!</f>
        <v>#REF!</v>
      </c>
      <c r="DM65" s="28" t="e">
        <f>#REF!*2</f>
        <v>#REF!</v>
      </c>
      <c r="DN65" s="27"/>
      <c r="DO65" s="26" t="str" cm="1">
        <f t="array" ref="DO65">_xlfn.IFS(
   OR(CH65="",ISBLANK(CH65),CH65=0),0,
   ISNUMBER(MATCH(CH65,{2,3,5,7,11,13,17,19,23,29,31,37,41,43},0)),"소",
   AND(ISNUMBER(CH65),MOD(CH65,3)=0),"배",
   AND(ISNUMBER(CH65),CH65&gt;0),"자"
)</f>
        <v>소</v>
      </c>
      <c r="DP65" s="26" t="str" cm="1">
        <f t="array" ref="DP65">_xlfn.IFS(
   OR(CI65="",ISBLANK(CI65),CI65=0),0,
   ISNUMBER(MATCH(CI65,{2,3,5,7,11,13,17,19,23,29,31,37,41,43},0)),"소",
   AND(ISNUMBER(CI65),MOD(CI65,3)=0),"배",
   AND(ISNUMBER(CI65),CI65&gt;0),"자"
)</f>
        <v>배</v>
      </c>
      <c r="DQ65" s="26" t="str" cm="1">
        <f t="array" ref="DQ65">_xlfn.IFS(
   OR(CJ65="",ISBLANK(CJ65),CJ65=0),0,
   ISNUMBER(MATCH(CJ65,{2,3,5,7,11,13,17,19,23,29,31,37,41,43},0)),"소",
   AND(ISNUMBER(CJ65),MOD(CJ65,3)=0),"배",
   AND(ISNUMBER(CJ65),CJ65&gt;0),"자"
)</f>
        <v>소</v>
      </c>
      <c r="DR65" s="26" t="str" cm="1">
        <f t="array" ref="DR65">_xlfn.IFS(
   OR(CK65="",ISBLANK(CK65),CK65=0),0,
   ISNUMBER(MATCH(CK65,{2,3,5,7,11,13,17,19,23,29,31,37,41,43},0)),"소",
   AND(ISNUMBER(CK65),MOD(CK65,3)=0),"배",
   AND(ISNUMBER(CK65),CK65&gt;0),"자"
)</f>
        <v>배</v>
      </c>
      <c r="DS65" s="26" t="str" cm="1">
        <f t="array" ref="DS65">_xlfn.IFS(
   OR(CL65="",ISBLANK(CL65),CL65=0),0,
   ISNUMBER(MATCH(CL65,{2,3,5,7,11,13,17,19,23,29,31,37,41,43},0)),"소",
   AND(ISNUMBER(CL65),MOD(CL65,3)=0),"배",
   AND(ISNUMBER(CL65),CL65&gt;0),"자"
)</f>
        <v>소</v>
      </c>
      <c r="DT65" s="25"/>
    </row>
    <row r="66" spans="2:124" x14ac:dyDescent="0.3">
      <c r="B66" s="3">
        <v>7</v>
      </c>
      <c r="C66" s="3">
        <v>11</v>
      </c>
      <c r="D66" s="3">
        <v>24</v>
      </c>
      <c r="E66" s="3">
        <v>26</v>
      </c>
      <c r="F66" s="3">
        <v>27</v>
      </c>
      <c r="G66" s="3">
        <v>37</v>
      </c>
      <c r="H66" s="32"/>
      <c r="I66" s="3">
        <f t="shared" si="0"/>
        <v>1</v>
      </c>
      <c r="J66" s="3">
        <f t="shared" si="1"/>
        <v>1</v>
      </c>
      <c r="K66" s="3">
        <f t="shared" si="2"/>
        <v>2</v>
      </c>
      <c r="L66" s="3">
        <f t="shared" si="3"/>
        <v>2</v>
      </c>
      <c r="M66" s="3">
        <f t="shared" si="4"/>
        <v>1</v>
      </c>
      <c r="N66" s="3">
        <f t="shared" si="5"/>
        <v>1</v>
      </c>
      <c r="O66" s="32"/>
      <c r="P66" s="3" cm="1">
        <f t="array" ref="P66">SUMPRODUCT(--(MOD(B66:G66,2)=1))</f>
        <v>4</v>
      </c>
      <c r="Q66" s="3">
        <f t="shared" si="6"/>
        <v>2</v>
      </c>
      <c r="R66" s="34"/>
      <c r="S66" s="3">
        <f t="shared" si="7"/>
        <v>2</v>
      </c>
      <c r="T66" s="3">
        <f t="shared" si="8"/>
        <v>4</v>
      </c>
      <c r="U66" s="34"/>
      <c r="V66" s="3" cm="1">
        <f t="array" ref="V66">SUMPRODUCT(--(MOD(B66:G66,10)&gt;=1), --(MOD(B66:G66,10)&lt;=5))</f>
        <v>2</v>
      </c>
      <c r="W66" s="3">
        <f t="shared" si="9"/>
        <v>4</v>
      </c>
      <c r="X66" s="34"/>
      <c r="Y66" s="3" cm="1">
        <f t="array" ref="Y66">IFERROR(COUNT(_xlfn._xlws.FILTER(B66:G66, ISNUMBER(MATCH(B66:G66, {2,3,5,7,11,13,17,19,23,29,31,37,41,43}, 0)))), 0)</f>
        <v>3</v>
      </c>
      <c r="Z66" s="3" cm="1">
        <f t="array" ref="Z66">IFERROR(COUNT(_xlfn._xlws.FILTER(B66:G66, ISNUMBER(MATCH(B66:G66, {1,4,8,10,14,16,20,22,25,26,28,32,34,35,38,40,44}, 0)))), 0)</f>
        <v>1</v>
      </c>
      <c r="AA66" s="3" cm="1">
        <f t="array" ref="AA66">IFERROR(COUNT(_xlfn._xlws.FILTER(B66:G66, ISNUMBER(MATCH(B66:G66, {6,9,12,15,18,21,24,27,30,33,36,39,42,45}, 0)))), 0)</f>
        <v>2</v>
      </c>
      <c r="AB66" s="30"/>
      <c r="AC66" s="26" t="str" cm="1">
        <f t="array" ref="AC66">_xlfn.IFS(
   OR(B66="",ISBLANK(B66),B66=0),0,
   ISNUMBER(MATCH(B66,{2,3,5,7,11,13,17,19,23,29,31,37,41,43},0)),"소",
   AND(ISNUMBER(B66),MOD(B66,3)=0),"배",
   AND(ISNUMBER(B66),B66&gt;0),"자"
)</f>
        <v>소</v>
      </c>
      <c r="AD66" s="26" t="str" cm="1">
        <f t="array" ref="AD66">_xlfn.IFS(
   OR(C66="",ISBLANK(C66),C66=0),0,
   ISNUMBER(MATCH(C66,{2,3,5,7,11,13,17,19,23,29,31,37,41,43},0)),"소",
   AND(ISNUMBER(C66),MOD(C66,3)=0),"배",
   AND(ISNUMBER(C66),C66&gt;0),"자"
)</f>
        <v>소</v>
      </c>
      <c r="AE66" s="26" t="str" cm="1">
        <f t="array" ref="AE66">_xlfn.IFS(
   OR(D66="",ISBLANK(D66),D66=0),0,
   ISNUMBER(MATCH(D66,{2,3,5,7,11,13,17,19,23,29,31,37,41,43},0)),"소",
   AND(ISNUMBER(D66),MOD(D66,3)=0),"배",
   AND(ISNUMBER(D66),D66&gt;0),"자"
)</f>
        <v>배</v>
      </c>
      <c r="AF66" s="26" t="str" cm="1">
        <f t="array" ref="AF66">_xlfn.IFS(
   OR(E66="",ISBLANK(E66),E66=0),0,
   ISNUMBER(MATCH(E66,{2,3,5,7,11,13,17,19,23,29,31,37,41,43},0)),"소",
   AND(ISNUMBER(E66),MOD(E66,3)=0),"배",
   AND(ISNUMBER(E66),E66&gt;0),"자"
)</f>
        <v>자</v>
      </c>
      <c r="AG66" s="26" t="str" cm="1">
        <f t="array" ref="AG66">_xlfn.IFS(
   OR(F66="",ISBLANK(F66),F66=0),0,
   ISNUMBER(MATCH(F66,{2,3,5,7,11,13,17,19,23,29,31,37,41,43},0)),"소",
   AND(ISNUMBER(F66),MOD(F66,3)=0),"배",
   AND(ISNUMBER(F66),F66&gt;0),"자"
)</f>
        <v>배</v>
      </c>
      <c r="AH66" s="26" t="str" cm="1">
        <f t="array" ref="AH66">_xlfn.IFS(
   OR(G66="",ISBLANK(G66),G66=0),0,
   ISNUMBER(MATCH(G66,{2,3,5,7,11,13,17,19,23,29,31,37,41,43},0)),"소",
   AND(ISNUMBER(G66),MOD(G66,3)=0),"배",
   AND(ISNUMBER(G66),G66&gt;0),"자"
)</f>
        <v>소</v>
      </c>
      <c r="AI66" s="30"/>
      <c r="AJ66" s="3">
        <f t="shared" si="10"/>
        <v>2</v>
      </c>
      <c r="AK66" s="3">
        <f t="shared" si="11"/>
        <v>3</v>
      </c>
      <c r="AL66" s="3">
        <f t="shared" si="12"/>
        <v>1</v>
      </c>
      <c r="AM66" s="33"/>
      <c r="AN66" s="3">
        <f t="shared" si="13"/>
        <v>1</v>
      </c>
      <c r="AO66" s="3">
        <f t="shared" si="14"/>
        <v>1</v>
      </c>
      <c r="AP66" s="3">
        <f t="shared" si="15"/>
        <v>3</v>
      </c>
      <c r="AQ66" s="3">
        <f t="shared" si="16"/>
        <v>0</v>
      </c>
      <c r="AR66" s="3">
        <f t="shared" si="17"/>
        <v>1</v>
      </c>
      <c r="AS66" s="28" t="e">
        <f>#REF!</f>
        <v>#REF!</v>
      </c>
      <c r="AT66" s="28" t="e">
        <f>#REF!*2</f>
        <v>#REF!</v>
      </c>
      <c r="AU66" s="28" t="e">
        <f>#REF!</f>
        <v>#REF!</v>
      </c>
      <c r="AV66" s="28" t="e">
        <f>#REF!*2</f>
        <v>#REF!</v>
      </c>
      <c r="AW66" s="28" t="e">
        <f>#REF!</f>
        <v>#REF!</v>
      </c>
      <c r="AX66" s="28" t="e">
        <f>#REF!*2</f>
        <v>#REF!</v>
      </c>
      <c r="AY66" s="28" t="e">
        <f>#REF!</f>
        <v>#REF!</v>
      </c>
      <c r="AZ66" s="28" t="e">
        <f>#REF!*2</f>
        <v>#REF!</v>
      </c>
      <c r="BA66" s="28" t="e">
        <f>#REF!</f>
        <v>#REF!</v>
      </c>
      <c r="BB66" s="28" t="e">
        <f>#REF!*2</f>
        <v>#REF!</v>
      </c>
      <c r="BC66" s="28" t="e">
        <f>#REF!</f>
        <v>#REF!</v>
      </c>
      <c r="BD66" s="28" t="e">
        <f>#REF!*2</f>
        <v>#REF!</v>
      </c>
      <c r="BE66" s="9" t="e">
        <f>#REF!-#REF!</f>
        <v>#REF!</v>
      </c>
      <c r="BF66" s="9" t="e">
        <f>#REF!-#REF!</f>
        <v>#REF!</v>
      </c>
      <c r="BG66" s="9" t="e">
        <f>#REF!-#REF!</f>
        <v>#REF!</v>
      </c>
      <c r="BH66" s="9" t="e">
        <f>#REF!-#REF!</f>
        <v>#REF!</v>
      </c>
      <c r="BI66" s="9" t="e">
        <f>#REF!-#REF!</f>
        <v>#REF!</v>
      </c>
      <c r="BJ66" s="33"/>
      <c r="BK66" s="3">
        <f t="shared" si="18"/>
        <v>1</v>
      </c>
      <c r="BL66" s="3">
        <f t="shared" si="19"/>
        <v>1</v>
      </c>
      <c r="BM66" s="3">
        <f t="shared" si="20"/>
        <v>3</v>
      </c>
      <c r="BN66" s="3">
        <f t="shared" si="21"/>
        <v>1</v>
      </c>
      <c r="BO66" s="3">
        <f t="shared" si="22"/>
        <v>0</v>
      </c>
      <c r="BP66" s="28" t="e">
        <f>#REF!</f>
        <v>#REF!</v>
      </c>
      <c r="BQ66" s="28" t="e">
        <f>#REF!*2</f>
        <v>#REF!</v>
      </c>
      <c r="BR66" s="28" t="e">
        <f>#REF!</f>
        <v>#REF!</v>
      </c>
      <c r="BS66" s="28" t="e">
        <f>#REF!*2</f>
        <v>#REF!</v>
      </c>
      <c r="BT66" s="28" t="e">
        <f>#REF!</f>
        <v>#REF!</v>
      </c>
      <c r="BU66" s="28" t="e">
        <f>#REF!*2</f>
        <v>#REF!</v>
      </c>
      <c r="BV66" s="28" t="e">
        <f>#REF!</f>
        <v>#REF!</v>
      </c>
      <c r="BW66" s="28" t="e">
        <f>#REF!*2</f>
        <v>#REF!</v>
      </c>
      <c r="BX66" s="28" t="e">
        <f>#REF!</f>
        <v>#REF!</v>
      </c>
      <c r="BY66" s="28" t="e">
        <f>#REF!*2</f>
        <v>#REF!</v>
      </c>
      <c r="BZ66" s="28" t="e">
        <f>#REF!</f>
        <v>#REF!</v>
      </c>
      <c r="CA66" s="28" t="e">
        <f>#REF!*2</f>
        <v>#REF!</v>
      </c>
      <c r="CB66" s="9">
        <f t="shared" si="23"/>
        <v>4</v>
      </c>
      <c r="CC66" s="9">
        <f t="shared" si="24"/>
        <v>13</v>
      </c>
      <c r="CD66" s="9">
        <f t="shared" si="25"/>
        <v>2</v>
      </c>
      <c r="CE66" s="9">
        <f t="shared" si="26"/>
        <v>1</v>
      </c>
      <c r="CF66" s="9">
        <f t="shared" si="27"/>
        <v>10</v>
      </c>
      <c r="CG66" s="33"/>
      <c r="CH66" s="9">
        <f t="shared" si="28"/>
        <v>4</v>
      </c>
      <c r="CI66" s="9">
        <f t="shared" si="29"/>
        <v>13</v>
      </c>
      <c r="CJ66" s="9">
        <f t="shared" si="30"/>
        <v>2</v>
      </c>
      <c r="CK66" s="9">
        <f t="shared" si="31"/>
        <v>1</v>
      </c>
      <c r="CL66" s="9">
        <f t="shared" si="32"/>
        <v>10</v>
      </c>
      <c r="CM66" s="32"/>
      <c r="CN66" s="3">
        <f t="shared" si="33"/>
        <v>2</v>
      </c>
      <c r="CO66" s="3">
        <f t="shared" si="34"/>
        <v>1</v>
      </c>
      <c r="CP66" s="3">
        <f t="shared" si="35"/>
        <v>2</v>
      </c>
      <c r="CQ66" s="3">
        <f t="shared" si="36"/>
        <v>1</v>
      </c>
      <c r="CR66" s="3">
        <f t="shared" si="37"/>
        <v>2</v>
      </c>
      <c r="CS66" s="31"/>
      <c r="CT66" s="3" cm="1">
        <f t="array" ref="CT66">SUMPRODUCT(--(MOD(CH66:CL66,2)=1))</f>
        <v>2</v>
      </c>
      <c r="CU66" s="3">
        <f t="shared" si="38"/>
        <v>3</v>
      </c>
      <c r="CV66" s="30"/>
      <c r="CW66" s="3" cm="1">
        <f t="array" ref="CW66">SUMPRODUCT(--(MOD(CH66:CL66,10)&gt;=1), --(MOD(CH66:CL66,10)&lt;=5))</f>
        <v>4</v>
      </c>
      <c r="CX66" s="3">
        <f t="shared" si="39"/>
        <v>1</v>
      </c>
      <c r="CY66" s="30"/>
      <c r="CZ66" s="3" cm="1">
        <f t="array" ref="CZ66">IFERROR(COUNT(_xlfn._xlws.FILTER(CH66:CL66, ISNUMBER(MATCH(CH66:CL66, {2,3,5,7,11,13,17,19,23,29,31,37,41,43}, 0)))), 0)</f>
        <v>2</v>
      </c>
      <c r="DA66" s="3" cm="1">
        <f t="array" ref="DA66">IFERROR(COUNT(_xlfn._xlws.FILTER(CH66:CL66, ISNUMBER(MATCH(CH66:CL66, {1,4,8,10,14,16,20,22,25,26,28,32,34,35,38,40,44}, 0)))), 0)</f>
        <v>3</v>
      </c>
      <c r="DB66" s="3" cm="1">
        <f t="array" ref="DB66">IFERROR(COUNT(_xlfn._xlws.FILTER(CH66:CL66, ISNUMBER(MATCH(CH66:CL66, {6,9,12,15,18,21,24,27,30,33,36,39,42,45}, 0)))), 0)</f>
        <v>0</v>
      </c>
      <c r="DC66" s="29"/>
      <c r="DD66" s="28" t="e">
        <f>#REF!</f>
        <v>#REF!</v>
      </c>
      <c r="DE66" s="28" t="e">
        <f>#REF!*2</f>
        <v>#REF!</v>
      </c>
      <c r="DF66" s="28" t="e">
        <f>#REF!</f>
        <v>#REF!</v>
      </c>
      <c r="DG66" s="28" t="e">
        <f>#REF!*2</f>
        <v>#REF!</v>
      </c>
      <c r="DH66" s="28" t="e">
        <f>#REF!</f>
        <v>#REF!</v>
      </c>
      <c r="DI66" s="28" t="e">
        <f>#REF!*2</f>
        <v>#REF!</v>
      </c>
      <c r="DJ66" s="28" t="e">
        <f>#REF!</f>
        <v>#REF!</v>
      </c>
      <c r="DK66" s="28" t="e">
        <f>#REF!*2</f>
        <v>#REF!</v>
      </c>
      <c r="DL66" s="28" t="e">
        <f>#REF!</f>
        <v>#REF!</v>
      </c>
      <c r="DM66" s="28" t="e">
        <f>#REF!*2</f>
        <v>#REF!</v>
      </c>
      <c r="DN66" s="27"/>
      <c r="DO66" s="26" t="str" cm="1">
        <f t="array" ref="DO66">_xlfn.IFS(
   OR(CH66="",ISBLANK(CH66),CH66=0),0,
   ISNUMBER(MATCH(CH66,{2,3,5,7,11,13,17,19,23,29,31,37,41,43},0)),"소",
   AND(ISNUMBER(CH66),MOD(CH66,3)=0),"배",
   AND(ISNUMBER(CH66),CH66&gt;0),"자"
)</f>
        <v>자</v>
      </c>
      <c r="DP66" s="26" t="str" cm="1">
        <f t="array" ref="DP66">_xlfn.IFS(
   OR(CI66="",ISBLANK(CI66),CI66=0),0,
   ISNUMBER(MATCH(CI66,{2,3,5,7,11,13,17,19,23,29,31,37,41,43},0)),"소",
   AND(ISNUMBER(CI66),MOD(CI66,3)=0),"배",
   AND(ISNUMBER(CI66),CI66&gt;0),"자"
)</f>
        <v>소</v>
      </c>
      <c r="DQ66" s="26" t="str" cm="1">
        <f t="array" ref="DQ66">_xlfn.IFS(
   OR(CJ66="",ISBLANK(CJ66),CJ66=0),0,
   ISNUMBER(MATCH(CJ66,{2,3,5,7,11,13,17,19,23,29,31,37,41,43},0)),"소",
   AND(ISNUMBER(CJ66),MOD(CJ66,3)=0),"배",
   AND(ISNUMBER(CJ66),CJ66&gt;0),"자"
)</f>
        <v>소</v>
      </c>
      <c r="DR66" s="26" t="str" cm="1">
        <f t="array" ref="DR66">_xlfn.IFS(
   OR(CK66="",ISBLANK(CK66),CK66=0),0,
   ISNUMBER(MATCH(CK66,{2,3,5,7,11,13,17,19,23,29,31,37,41,43},0)),"소",
   AND(ISNUMBER(CK66),MOD(CK66,3)=0),"배",
   AND(ISNUMBER(CK66),CK66&gt;0),"자"
)</f>
        <v>자</v>
      </c>
      <c r="DS66" s="26" t="str" cm="1">
        <f t="array" ref="DS66">_xlfn.IFS(
   OR(CL66="",ISBLANK(CL66),CL66=0),0,
   ISNUMBER(MATCH(CL66,{2,3,5,7,11,13,17,19,23,29,31,37,41,43},0)),"소",
   AND(ISNUMBER(CL66),MOD(CL66,3)=0),"배",
   AND(ISNUMBER(CL66),CL66&gt;0),"자"
)</f>
        <v>자</v>
      </c>
      <c r="DT66" s="25"/>
    </row>
    <row r="67" spans="2:124" x14ac:dyDescent="0.3">
      <c r="B67" s="3">
        <v>3</v>
      </c>
      <c r="C67" s="3">
        <v>6</v>
      </c>
      <c r="D67" s="3">
        <v>13</v>
      </c>
      <c r="E67" s="3">
        <v>15</v>
      </c>
      <c r="F67" s="3">
        <v>16</v>
      </c>
      <c r="G67" s="3">
        <v>22</v>
      </c>
      <c r="H67" s="32"/>
      <c r="I67" s="3">
        <f t="shared" si="0"/>
        <v>1</v>
      </c>
      <c r="J67" s="3">
        <f t="shared" si="1"/>
        <v>2</v>
      </c>
      <c r="K67" s="3">
        <f t="shared" si="2"/>
        <v>1</v>
      </c>
      <c r="L67" s="3">
        <f t="shared" si="3"/>
        <v>1</v>
      </c>
      <c r="M67" s="3">
        <f t="shared" si="4"/>
        <v>2</v>
      </c>
      <c r="N67" s="3">
        <f t="shared" si="5"/>
        <v>2</v>
      </c>
      <c r="O67" s="32"/>
      <c r="P67" s="3" cm="1">
        <f t="array" ref="P67">SUMPRODUCT(--(MOD(B67:G67,2)=1))</f>
        <v>3</v>
      </c>
      <c r="Q67" s="3">
        <f t="shared" si="6"/>
        <v>3</v>
      </c>
      <c r="R67" s="34"/>
      <c r="S67" s="3">
        <f t="shared" si="7"/>
        <v>6</v>
      </c>
      <c r="T67" s="3">
        <f t="shared" si="8"/>
        <v>0</v>
      </c>
      <c r="U67" s="34"/>
      <c r="V67" s="3" cm="1">
        <f t="array" ref="V67">SUMPRODUCT(--(MOD(B67:G67,10)&gt;=1), --(MOD(B67:G67,10)&lt;=5))</f>
        <v>4</v>
      </c>
      <c r="W67" s="3">
        <f t="shared" si="9"/>
        <v>2</v>
      </c>
      <c r="X67" s="34"/>
      <c r="Y67" s="3" cm="1">
        <f t="array" ref="Y67">IFERROR(COUNT(_xlfn._xlws.FILTER(B67:G67, ISNUMBER(MATCH(B67:G67, {2,3,5,7,11,13,17,19,23,29,31,37,41,43}, 0)))), 0)</f>
        <v>2</v>
      </c>
      <c r="Z67" s="3" cm="1">
        <f t="array" ref="Z67">IFERROR(COUNT(_xlfn._xlws.FILTER(B67:G67, ISNUMBER(MATCH(B67:G67, {1,4,8,10,14,16,20,22,25,26,28,32,34,35,38,40,44}, 0)))), 0)</f>
        <v>2</v>
      </c>
      <c r="AA67" s="3" cm="1">
        <f t="array" ref="AA67">IFERROR(COUNT(_xlfn._xlws.FILTER(B67:G67, ISNUMBER(MATCH(B67:G67, {6,9,12,15,18,21,24,27,30,33,36,39,42,45}, 0)))), 0)</f>
        <v>2</v>
      </c>
      <c r="AB67" s="30"/>
      <c r="AC67" s="26" t="str" cm="1">
        <f t="array" ref="AC67">_xlfn.IFS(
   OR(B67="",ISBLANK(B67),B67=0),0,
   ISNUMBER(MATCH(B67,{2,3,5,7,11,13,17,19,23,29,31,37,41,43},0)),"소",
   AND(ISNUMBER(B67),MOD(B67,3)=0),"배",
   AND(ISNUMBER(B67),B67&gt;0),"자"
)</f>
        <v>소</v>
      </c>
      <c r="AD67" s="26" t="str" cm="1">
        <f t="array" ref="AD67">_xlfn.IFS(
   OR(C67="",ISBLANK(C67),C67=0),0,
   ISNUMBER(MATCH(C67,{2,3,5,7,11,13,17,19,23,29,31,37,41,43},0)),"소",
   AND(ISNUMBER(C67),MOD(C67,3)=0),"배",
   AND(ISNUMBER(C67),C67&gt;0),"자"
)</f>
        <v>배</v>
      </c>
      <c r="AE67" s="26" t="str" cm="1">
        <f t="array" ref="AE67">_xlfn.IFS(
   OR(D67="",ISBLANK(D67),D67=0),0,
   ISNUMBER(MATCH(D67,{2,3,5,7,11,13,17,19,23,29,31,37,41,43},0)),"소",
   AND(ISNUMBER(D67),MOD(D67,3)=0),"배",
   AND(ISNUMBER(D67),D67&gt;0),"자"
)</f>
        <v>소</v>
      </c>
      <c r="AF67" s="26" t="str" cm="1">
        <f t="array" ref="AF67">_xlfn.IFS(
   OR(E67="",ISBLANK(E67),E67=0),0,
   ISNUMBER(MATCH(E67,{2,3,5,7,11,13,17,19,23,29,31,37,41,43},0)),"소",
   AND(ISNUMBER(E67),MOD(E67,3)=0),"배",
   AND(ISNUMBER(E67),E67&gt;0),"자"
)</f>
        <v>배</v>
      </c>
      <c r="AG67" s="26" t="str" cm="1">
        <f t="array" ref="AG67">_xlfn.IFS(
   OR(F67="",ISBLANK(F67),F67=0),0,
   ISNUMBER(MATCH(F67,{2,3,5,7,11,13,17,19,23,29,31,37,41,43},0)),"소",
   AND(ISNUMBER(F67),MOD(F67,3)=0),"배",
   AND(ISNUMBER(F67),F67&gt;0),"자"
)</f>
        <v>자</v>
      </c>
      <c r="AH67" s="26" t="str" cm="1">
        <f t="array" ref="AH67">_xlfn.IFS(
   OR(G67="",ISBLANK(G67),G67=0),0,
   ISNUMBER(MATCH(G67,{2,3,5,7,11,13,17,19,23,29,31,37,41,43},0)),"소",
   AND(ISNUMBER(G67),MOD(G67,3)=0),"배",
   AND(ISNUMBER(G67),G67&gt;0),"자"
)</f>
        <v>자</v>
      </c>
      <c r="AI67" s="30"/>
      <c r="AJ67" s="3">
        <f t="shared" si="10"/>
        <v>3</v>
      </c>
      <c r="AK67" s="3">
        <f t="shared" si="11"/>
        <v>3</v>
      </c>
      <c r="AL67" s="3">
        <f t="shared" si="12"/>
        <v>0</v>
      </c>
      <c r="AM67" s="33"/>
      <c r="AN67" s="3">
        <f t="shared" si="13"/>
        <v>2</v>
      </c>
      <c r="AO67" s="3">
        <f t="shared" si="14"/>
        <v>3</v>
      </c>
      <c r="AP67" s="3">
        <f t="shared" si="15"/>
        <v>1</v>
      </c>
      <c r="AQ67" s="3">
        <f t="shared" si="16"/>
        <v>0</v>
      </c>
      <c r="AR67" s="3">
        <f t="shared" si="17"/>
        <v>0</v>
      </c>
      <c r="AS67" s="28" t="e">
        <f>#REF!</f>
        <v>#REF!</v>
      </c>
      <c r="AT67" s="28" t="e">
        <f>#REF!*2</f>
        <v>#REF!</v>
      </c>
      <c r="AU67" s="28" t="e">
        <f>#REF!</f>
        <v>#REF!</v>
      </c>
      <c r="AV67" s="28" t="e">
        <f>#REF!*2</f>
        <v>#REF!</v>
      </c>
      <c r="AW67" s="28" t="e">
        <f>#REF!</f>
        <v>#REF!</v>
      </c>
      <c r="AX67" s="28" t="e">
        <f>#REF!*2</f>
        <v>#REF!</v>
      </c>
      <c r="AY67" s="28" t="e">
        <f>#REF!</f>
        <v>#REF!</v>
      </c>
      <c r="AZ67" s="28" t="e">
        <f>#REF!*2</f>
        <v>#REF!</v>
      </c>
      <c r="BA67" s="28" t="e">
        <f>#REF!</f>
        <v>#REF!</v>
      </c>
      <c r="BB67" s="28" t="e">
        <f>#REF!*2</f>
        <v>#REF!</v>
      </c>
      <c r="BC67" s="28" t="e">
        <f>#REF!</f>
        <v>#REF!</v>
      </c>
      <c r="BD67" s="28" t="e">
        <f>#REF!*2</f>
        <v>#REF!</v>
      </c>
      <c r="BE67" s="9" t="e">
        <f>#REF!-#REF!</f>
        <v>#REF!</v>
      </c>
      <c r="BF67" s="9" t="e">
        <f>#REF!-#REF!</f>
        <v>#REF!</v>
      </c>
      <c r="BG67" s="9" t="e">
        <f>#REF!-#REF!</f>
        <v>#REF!</v>
      </c>
      <c r="BH67" s="9" t="e">
        <f>#REF!-#REF!</f>
        <v>#REF!</v>
      </c>
      <c r="BI67" s="9" t="e">
        <f>#REF!-#REF!</f>
        <v>#REF!</v>
      </c>
      <c r="BJ67" s="33"/>
      <c r="BK67" s="3">
        <f t="shared" si="18"/>
        <v>2</v>
      </c>
      <c r="BL67" s="3">
        <f t="shared" si="19"/>
        <v>3</v>
      </c>
      <c r="BM67" s="3">
        <f t="shared" si="20"/>
        <v>1</v>
      </c>
      <c r="BN67" s="3">
        <f t="shared" si="21"/>
        <v>0</v>
      </c>
      <c r="BO67" s="3">
        <f t="shared" si="22"/>
        <v>0</v>
      </c>
      <c r="BP67" s="28" t="e">
        <f>#REF!</f>
        <v>#REF!</v>
      </c>
      <c r="BQ67" s="28" t="e">
        <f>#REF!*2</f>
        <v>#REF!</v>
      </c>
      <c r="BR67" s="28" t="e">
        <f>#REF!</f>
        <v>#REF!</v>
      </c>
      <c r="BS67" s="28" t="e">
        <f>#REF!*2</f>
        <v>#REF!</v>
      </c>
      <c r="BT67" s="28" t="e">
        <f>#REF!</f>
        <v>#REF!</v>
      </c>
      <c r="BU67" s="28" t="e">
        <f>#REF!*2</f>
        <v>#REF!</v>
      </c>
      <c r="BV67" s="28" t="e">
        <f>#REF!</f>
        <v>#REF!</v>
      </c>
      <c r="BW67" s="28" t="e">
        <f>#REF!*2</f>
        <v>#REF!</v>
      </c>
      <c r="BX67" s="28" t="e">
        <f>#REF!</f>
        <v>#REF!</v>
      </c>
      <c r="BY67" s="28" t="e">
        <f>#REF!*2</f>
        <v>#REF!</v>
      </c>
      <c r="BZ67" s="28" t="e">
        <f>#REF!</f>
        <v>#REF!</v>
      </c>
      <c r="CA67" s="28" t="e">
        <f>#REF!*2</f>
        <v>#REF!</v>
      </c>
      <c r="CB67" s="9">
        <f t="shared" si="23"/>
        <v>3</v>
      </c>
      <c r="CC67" s="9">
        <f t="shared" si="24"/>
        <v>7</v>
      </c>
      <c r="CD67" s="9">
        <f t="shared" si="25"/>
        <v>2</v>
      </c>
      <c r="CE67" s="9">
        <f t="shared" si="26"/>
        <v>1</v>
      </c>
      <c r="CF67" s="9">
        <f t="shared" si="27"/>
        <v>6</v>
      </c>
      <c r="CG67" s="33"/>
      <c r="CH67" s="9">
        <f t="shared" si="28"/>
        <v>3</v>
      </c>
      <c r="CI67" s="9">
        <f t="shared" si="29"/>
        <v>7</v>
      </c>
      <c r="CJ67" s="9">
        <f t="shared" si="30"/>
        <v>2</v>
      </c>
      <c r="CK67" s="9">
        <f t="shared" si="31"/>
        <v>1</v>
      </c>
      <c r="CL67" s="9">
        <f t="shared" si="32"/>
        <v>6</v>
      </c>
      <c r="CM67" s="32"/>
      <c r="CN67" s="3">
        <f t="shared" si="33"/>
        <v>1</v>
      </c>
      <c r="CO67" s="3">
        <f t="shared" si="34"/>
        <v>1</v>
      </c>
      <c r="CP67" s="3">
        <f t="shared" si="35"/>
        <v>2</v>
      </c>
      <c r="CQ67" s="3">
        <f t="shared" si="36"/>
        <v>1</v>
      </c>
      <c r="CR67" s="3">
        <f t="shared" si="37"/>
        <v>2</v>
      </c>
      <c r="CS67" s="31"/>
      <c r="CT67" s="3" cm="1">
        <f t="array" ref="CT67">SUMPRODUCT(--(MOD(CH67:CL67,2)=1))</f>
        <v>3</v>
      </c>
      <c r="CU67" s="3">
        <f t="shared" si="38"/>
        <v>2</v>
      </c>
      <c r="CV67" s="30"/>
      <c r="CW67" s="3" cm="1">
        <f t="array" ref="CW67">SUMPRODUCT(--(MOD(CH67:CL67,10)&gt;=1), --(MOD(CH67:CL67,10)&lt;=5))</f>
        <v>3</v>
      </c>
      <c r="CX67" s="3">
        <f t="shared" si="39"/>
        <v>2</v>
      </c>
      <c r="CY67" s="30"/>
      <c r="CZ67" s="3" cm="1">
        <f t="array" ref="CZ67">IFERROR(COUNT(_xlfn._xlws.FILTER(CH67:CL67, ISNUMBER(MATCH(CH67:CL67, {2,3,5,7,11,13,17,19,23,29,31,37,41,43}, 0)))), 0)</f>
        <v>3</v>
      </c>
      <c r="DA67" s="3" cm="1">
        <f t="array" ref="DA67">IFERROR(COUNT(_xlfn._xlws.FILTER(CH67:CL67, ISNUMBER(MATCH(CH67:CL67, {1,4,8,10,14,16,20,22,25,26,28,32,34,35,38,40,44}, 0)))), 0)</f>
        <v>1</v>
      </c>
      <c r="DB67" s="3" cm="1">
        <f t="array" ref="DB67">IFERROR(COUNT(_xlfn._xlws.FILTER(CH67:CL67, ISNUMBER(MATCH(CH67:CL67, {6,9,12,15,18,21,24,27,30,33,36,39,42,45}, 0)))), 0)</f>
        <v>1</v>
      </c>
      <c r="DC67" s="29"/>
      <c r="DD67" s="28" t="e">
        <f>#REF!</f>
        <v>#REF!</v>
      </c>
      <c r="DE67" s="28" t="e">
        <f>#REF!*2</f>
        <v>#REF!</v>
      </c>
      <c r="DF67" s="28" t="e">
        <f>#REF!</f>
        <v>#REF!</v>
      </c>
      <c r="DG67" s="28" t="e">
        <f>#REF!*2</f>
        <v>#REF!</v>
      </c>
      <c r="DH67" s="28" t="e">
        <f>#REF!</f>
        <v>#REF!</v>
      </c>
      <c r="DI67" s="28" t="e">
        <f>#REF!*2</f>
        <v>#REF!</v>
      </c>
      <c r="DJ67" s="28" t="e">
        <f>#REF!</f>
        <v>#REF!</v>
      </c>
      <c r="DK67" s="28" t="e">
        <f>#REF!*2</f>
        <v>#REF!</v>
      </c>
      <c r="DL67" s="28" t="e">
        <f>#REF!</f>
        <v>#REF!</v>
      </c>
      <c r="DM67" s="28" t="e">
        <f>#REF!*2</f>
        <v>#REF!</v>
      </c>
      <c r="DN67" s="27"/>
      <c r="DO67" s="26" t="str" cm="1">
        <f t="array" ref="DO67">_xlfn.IFS(
   OR(CH67="",ISBLANK(CH67),CH67=0),0,
   ISNUMBER(MATCH(CH67,{2,3,5,7,11,13,17,19,23,29,31,37,41,43},0)),"소",
   AND(ISNUMBER(CH67),MOD(CH67,3)=0),"배",
   AND(ISNUMBER(CH67),CH67&gt;0),"자"
)</f>
        <v>소</v>
      </c>
      <c r="DP67" s="26" t="str" cm="1">
        <f t="array" ref="DP67">_xlfn.IFS(
   OR(CI67="",ISBLANK(CI67),CI67=0),0,
   ISNUMBER(MATCH(CI67,{2,3,5,7,11,13,17,19,23,29,31,37,41,43},0)),"소",
   AND(ISNUMBER(CI67),MOD(CI67,3)=0),"배",
   AND(ISNUMBER(CI67),CI67&gt;0),"자"
)</f>
        <v>소</v>
      </c>
      <c r="DQ67" s="26" t="str" cm="1">
        <f t="array" ref="DQ67">_xlfn.IFS(
   OR(CJ67="",ISBLANK(CJ67),CJ67=0),0,
   ISNUMBER(MATCH(CJ67,{2,3,5,7,11,13,17,19,23,29,31,37,41,43},0)),"소",
   AND(ISNUMBER(CJ67),MOD(CJ67,3)=0),"배",
   AND(ISNUMBER(CJ67),CJ67&gt;0),"자"
)</f>
        <v>소</v>
      </c>
      <c r="DR67" s="26" t="str" cm="1">
        <f t="array" ref="DR67">_xlfn.IFS(
   OR(CK67="",ISBLANK(CK67),CK67=0),0,
   ISNUMBER(MATCH(CK67,{2,3,5,7,11,13,17,19,23,29,31,37,41,43},0)),"소",
   AND(ISNUMBER(CK67),MOD(CK67,3)=0),"배",
   AND(ISNUMBER(CK67),CK67&gt;0),"자"
)</f>
        <v>자</v>
      </c>
      <c r="DS67" s="26" t="str" cm="1">
        <f t="array" ref="DS67">_xlfn.IFS(
   OR(CL67="",ISBLANK(CL67),CL67=0),0,
   ISNUMBER(MATCH(CL67,{2,3,5,7,11,13,17,19,23,29,31,37,41,43},0)),"소",
   AND(ISNUMBER(CL67),MOD(CL67,3)=0),"배",
   AND(ISNUMBER(CL67),CL67&gt;0),"자"
)</f>
        <v>배</v>
      </c>
      <c r="DT67" s="25"/>
    </row>
    <row r="68" spans="2:124" x14ac:dyDescent="0.3">
      <c r="B68" s="3">
        <v>8</v>
      </c>
      <c r="C68" s="3">
        <v>15</v>
      </c>
      <c r="D68" s="3">
        <v>19</v>
      </c>
      <c r="E68" s="3">
        <v>21</v>
      </c>
      <c r="F68" s="3">
        <v>32</v>
      </c>
      <c r="G68" s="3">
        <v>36</v>
      </c>
      <c r="H68" s="32"/>
      <c r="I68" s="3">
        <f t="shared" ref="I68:I131" si="40">IF(OR(B68="",ISBLANK(B68),B68=0),0,IF(MOD(B68,2)=1,1,2))</f>
        <v>2</v>
      </c>
      <c r="J68" s="3">
        <f t="shared" ref="J68:J131" si="41">IF(OR(C68="",ISBLANK(C68),C68=0),0,IF(MOD(C68,2)=1,1,2))</f>
        <v>1</v>
      </c>
      <c r="K68" s="3">
        <f t="shared" ref="K68:K131" si="42">IF(OR(D68="",ISBLANK(D68),D68=0),0,IF(MOD(D68,2)=1,1,2))</f>
        <v>1</v>
      </c>
      <c r="L68" s="3">
        <f t="shared" ref="L68:L131" si="43">IF(OR(E68="",ISBLANK(E68),E68=0),0,IF(MOD(E68,2)=1,1,2))</f>
        <v>1</v>
      </c>
      <c r="M68" s="3">
        <f t="shared" ref="M68:M131" si="44">IF(OR(F68="",ISBLANK(F68),F68=0),0,IF(MOD(F68,2)=1,1,2))</f>
        <v>2</v>
      </c>
      <c r="N68" s="3">
        <f t="shared" ref="N68:N131" si="45">IF(OR(G68="",ISBLANK(G68),G68=0),0,IF(MOD(G68,2)=1,1,2))</f>
        <v>2</v>
      </c>
      <c r="O68" s="32"/>
      <c r="P68" s="3" cm="1">
        <f t="array" ref="P68">SUMPRODUCT(--(MOD(B68:G68,2)=1))</f>
        <v>3</v>
      </c>
      <c r="Q68" s="3">
        <f t="shared" ref="Q68:Q131" si="46">6-P68</f>
        <v>3</v>
      </c>
      <c r="R68" s="34"/>
      <c r="S68" s="3">
        <f t="shared" ref="S68:S131" si="47">COUNTIFS(B68:G68,"&gt;=1",B68:G68,"&lt;=23")</f>
        <v>4</v>
      </c>
      <c r="T68" s="3">
        <f t="shared" ref="T68:T131" si="48">6-S68</f>
        <v>2</v>
      </c>
      <c r="U68" s="34"/>
      <c r="V68" s="3" cm="1">
        <f t="array" ref="V68">SUMPRODUCT(--(MOD(B68:G68,10)&gt;=1), --(MOD(B68:G68,10)&lt;=5))</f>
        <v>3</v>
      </c>
      <c r="W68" s="3">
        <f t="shared" ref="W68:W131" si="49">6-V68</f>
        <v>3</v>
      </c>
      <c r="X68" s="34"/>
      <c r="Y68" s="3" cm="1">
        <f t="array" ref="Y68">IFERROR(COUNT(_xlfn._xlws.FILTER(B68:G68, ISNUMBER(MATCH(B68:G68, {2,3,5,7,11,13,17,19,23,29,31,37,41,43}, 0)))), 0)</f>
        <v>1</v>
      </c>
      <c r="Z68" s="3" cm="1">
        <f t="array" ref="Z68">IFERROR(COUNT(_xlfn._xlws.FILTER(B68:G68, ISNUMBER(MATCH(B68:G68, {1,4,8,10,14,16,20,22,25,26,28,32,34,35,38,40,44}, 0)))), 0)</f>
        <v>2</v>
      </c>
      <c r="AA68" s="3" cm="1">
        <f t="array" ref="AA68">IFERROR(COUNT(_xlfn._xlws.FILTER(B68:G68, ISNUMBER(MATCH(B68:G68, {6,9,12,15,18,21,24,27,30,33,36,39,42,45}, 0)))), 0)</f>
        <v>3</v>
      </c>
      <c r="AB68" s="30"/>
      <c r="AC68" s="26" t="str" cm="1">
        <f t="array" ref="AC68">_xlfn.IFS(
   OR(B68="",ISBLANK(B68),B68=0),0,
   ISNUMBER(MATCH(B68,{2,3,5,7,11,13,17,19,23,29,31,37,41,43},0)),"소",
   AND(ISNUMBER(B68),MOD(B68,3)=0),"배",
   AND(ISNUMBER(B68),B68&gt;0),"자"
)</f>
        <v>자</v>
      </c>
      <c r="AD68" s="26" t="str" cm="1">
        <f t="array" ref="AD68">_xlfn.IFS(
   OR(C68="",ISBLANK(C68),C68=0),0,
   ISNUMBER(MATCH(C68,{2,3,5,7,11,13,17,19,23,29,31,37,41,43},0)),"소",
   AND(ISNUMBER(C68),MOD(C68,3)=0),"배",
   AND(ISNUMBER(C68),C68&gt;0),"자"
)</f>
        <v>배</v>
      </c>
      <c r="AE68" s="26" t="str" cm="1">
        <f t="array" ref="AE68">_xlfn.IFS(
   OR(D68="",ISBLANK(D68),D68=0),0,
   ISNUMBER(MATCH(D68,{2,3,5,7,11,13,17,19,23,29,31,37,41,43},0)),"소",
   AND(ISNUMBER(D68),MOD(D68,3)=0),"배",
   AND(ISNUMBER(D68),D68&gt;0),"자"
)</f>
        <v>소</v>
      </c>
      <c r="AF68" s="26" t="str" cm="1">
        <f t="array" ref="AF68">_xlfn.IFS(
   OR(E68="",ISBLANK(E68),E68=0),0,
   ISNUMBER(MATCH(E68,{2,3,5,7,11,13,17,19,23,29,31,37,41,43},0)),"소",
   AND(ISNUMBER(E68),MOD(E68,3)=0),"배",
   AND(ISNUMBER(E68),E68&gt;0),"자"
)</f>
        <v>배</v>
      </c>
      <c r="AG68" s="26" t="str" cm="1">
        <f t="array" ref="AG68">_xlfn.IFS(
   OR(F68="",ISBLANK(F68),F68=0),0,
   ISNUMBER(MATCH(F68,{2,3,5,7,11,13,17,19,23,29,31,37,41,43},0)),"소",
   AND(ISNUMBER(F68),MOD(F68,3)=0),"배",
   AND(ISNUMBER(F68),F68&gt;0),"자"
)</f>
        <v>자</v>
      </c>
      <c r="AH68" s="26" t="str" cm="1">
        <f t="array" ref="AH68">_xlfn.IFS(
   OR(G68="",ISBLANK(G68),G68=0),0,
   ISNUMBER(MATCH(G68,{2,3,5,7,11,13,17,19,23,29,31,37,41,43},0)),"소",
   AND(ISNUMBER(G68),MOD(G68,3)=0),"배",
   AND(ISNUMBER(G68),G68&gt;0),"자"
)</f>
        <v>배</v>
      </c>
      <c r="AI68" s="30"/>
      <c r="AJ68" s="3">
        <f t="shared" ref="AJ68:AJ131" si="50">COUNTIFS(B68:G68,"&gt;=1",B68:G68,"&lt;=14")</f>
        <v>1</v>
      </c>
      <c r="AK68" s="3">
        <f t="shared" ref="AK68:AK131" si="51">COUNTIFS(B68:G68,"&gt;=15",B68:G68,"&lt;=31")</f>
        <v>3</v>
      </c>
      <c r="AL68" s="3">
        <f t="shared" ref="AL68:AL131" si="52">6-AK68-AJ68</f>
        <v>2</v>
      </c>
      <c r="AM68" s="33"/>
      <c r="AN68" s="3">
        <f t="shared" ref="AN68:AN131" si="53">COUNTIFS($B68:$G68, "&gt;=1",$B68:$G68, "&lt;=9")</f>
        <v>1</v>
      </c>
      <c r="AO68" s="3">
        <f t="shared" ref="AO68:AO131" si="54">COUNTIFS($B68:$G68, "&gt;=10",$B68:$G68, "&lt;=18")</f>
        <v>1</v>
      </c>
      <c r="AP68" s="3">
        <f t="shared" ref="AP68:AP131" si="55">COUNTIFS($B68:$G68, "&gt;=19",$B68:$G68, "&lt;=27")</f>
        <v>2</v>
      </c>
      <c r="AQ68" s="3">
        <f t="shared" ref="AQ68:AQ131" si="56">COUNTIFS($B68:$G68, "&gt;=28",$B68:$G68, "&lt;=36")</f>
        <v>2</v>
      </c>
      <c r="AR68" s="3">
        <f t="shared" ref="AR68:AR131" si="57">COUNTIFS($B68:$G68, "&gt;=37",$B68:$G68, "&lt;=45")</f>
        <v>0</v>
      </c>
      <c r="AS68" s="28" t="e">
        <f>#REF!</f>
        <v>#REF!</v>
      </c>
      <c r="AT68" s="28" t="e">
        <f>#REF!*2</f>
        <v>#REF!</v>
      </c>
      <c r="AU68" s="28" t="e">
        <f>#REF!</f>
        <v>#REF!</v>
      </c>
      <c r="AV68" s="28" t="e">
        <f>#REF!*2</f>
        <v>#REF!</v>
      </c>
      <c r="AW68" s="28" t="e">
        <f>#REF!</f>
        <v>#REF!</v>
      </c>
      <c r="AX68" s="28" t="e">
        <f>#REF!*2</f>
        <v>#REF!</v>
      </c>
      <c r="AY68" s="28" t="e">
        <f>#REF!</f>
        <v>#REF!</v>
      </c>
      <c r="AZ68" s="28" t="e">
        <f>#REF!*2</f>
        <v>#REF!</v>
      </c>
      <c r="BA68" s="28" t="e">
        <f>#REF!</f>
        <v>#REF!</v>
      </c>
      <c r="BB68" s="28" t="e">
        <f>#REF!*2</f>
        <v>#REF!</v>
      </c>
      <c r="BC68" s="28" t="e">
        <f>#REF!</f>
        <v>#REF!</v>
      </c>
      <c r="BD68" s="28" t="e">
        <f>#REF!*2</f>
        <v>#REF!</v>
      </c>
      <c r="BE68" s="9" t="e">
        <f>#REF!-#REF!</f>
        <v>#REF!</v>
      </c>
      <c r="BF68" s="9" t="e">
        <f>#REF!-#REF!</f>
        <v>#REF!</v>
      </c>
      <c r="BG68" s="9" t="e">
        <f>#REF!-#REF!</f>
        <v>#REF!</v>
      </c>
      <c r="BH68" s="9" t="e">
        <f>#REF!-#REF!</f>
        <v>#REF!</v>
      </c>
      <c r="BI68" s="9" t="e">
        <f>#REF!-#REF!</f>
        <v>#REF!</v>
      </c>
      <c r="BJ68" s="33"/>
      <c r="BK68" s="3">
        <f t="shared" ref="BK68:BK131" si="58">COUNTIFS(B68:G68, "&gt;=1", B68:G68, "&lt;=9")</f>
        <v>1</v>
      </c>
      <c r="BL68" s="3">
        <f t="shared" ref="BL68:BL131" si="59">COUNTIFS(B68:G68, "&gt;=10", B68:G68, "&lt;=19")</f>
        <v>2</v>
      </c>
      <c r="BM68" s="3">
        <f t="shared" ref="BM68:BM131" si="60">COUNTIFS(B68:G68, "&gt;=20", B68:G68, "&lt;=29")</f>
        <v>1</v>
      </c>
      <c r="BN68" s="3">
        <f t="shared" ref="BN68:BN131" si="61">COUNTIFS(B68:G68, "&gt;=30", B68:G68, "&lt;=39")</f>
        <v>2</v>
      </c>
      <c r="BO68" s="3">
        <f t="shared" ref="BO68:BO131" si="62">COUNTIFS(B68:G68, "&gt;=40", B68:G68, "&lt;=45")</f>
        <v>0</v>
      </c>
      <c r="BP68" s="28" t="e">
        <f>#REF!</f>
        <v>#REF!</v>
      </c>
      <c r="BQ68" s="28" t="e">
        <f>#REF!*2</f>
        <v>#REF!</v>
      </c>
      <c r="BR68" s="28" t="e">
        <f>#REF!</f>
        <v>#REF!</v>
      </c>
      <c r="BS68" s="28" t="e">
        <f>#REF!*2</f>
        <v>#REF!</v>
      </c>
      <c r="BT68" s="28" t="e">
        <f>#REF!</f>
        <v>#REF!</v>
      </c>
      <c r="BU68" s="28" t="e">
        <f>#REF!*2</f>
        <v>#REF!</v>
      </c>
      <c r="BV68" s="28" t="e">
        <f>#REF!</f>
        <v>#REF!</v>
      </c>
      <c r="BW68" s="28" t="e">
        <f>#REF!*2</f>
        <v>#REF!</v>
      </c>
      <c r="BX68" s="28" t="e">
        <f>#REF!</f>
        <v>#REF!</v>
      </c>
      <c r="BY68" s="28" t="e">
        <f>#REF!*2</f>
        <v>#REF!</v>
      </c>
      <c r="BZ68" s="28" t="e">
        <f>#REF!</f>
        <v>#REF!</v>
      </c>
      <c r="CA68" s="28" t="e">
        <f>#REF!*2</f>
        <v>#REF!</v>
      </c>
      <c r="CB68" s="9">
        <f t="shared" ref="CB68:CB131" si="63">C68-B68</f>
        <v>7</v>
      </c>
      <c r="CC68" s="9">
        <f t="shared" ref="CC68:CC131" si="64">D68-C68</f>
        <v>4</v>
      </c>
      <c r="CD68" s="9">
        <f t="shared" ref="CD68:CD131" si="65">E68-D68</f>
        <v>2</v>
      </c>
      <c r="CE68" s="9">
        <f t="shared" ref="CE68:CE131" si="66">F68-E68</f>
        <v>11</v>
      </c>
      <c r="CF68" s="9">
        <f t="shared" ref="CF68:CF131" si="67">G68-F68</f>
        <v>4</v>
      </c>
      <c r="CG68" s="33"/>
      <c r="CH68" s="9">
        <f t="shared" ref="CH68:CH131" si="68">C68-B68</f>
        <v>7</v>
      </c>
      <c r="CI68" s="9">
        <f t="shared" ref="CI68:CI131" si="69">D68-C68</f>
        <v>4</v>
      </c>
      <c r="CJ68" s="9">
        <f t="shared" ref="CJ68:CJ131" si="70">E68-D68</f>
        <v>2</v>
      </c>
      <c r="CK68" s="9">
        <f t="shared" ref="CK68:CK131" si="71">F68-E68</f>
        <v>11</v>
      </c>
      <c r="CL68" s="9">
        <f t="shared" ref="CL68:CL131" si="72">G68-F68</f>
        <v>4</v>
      </c>
      <c r="CM68" s="32"/>
      <c r="CN68" s="3">
        <f t="shared" ref="CN68:CN131" si="73">IF(OR(CH68="",ISBLANK(CH68),CH68=0),0,IF(MOD(CH68,2)=1,1,2))</f>
        <v>1</v>
      </c>
      <c r="CO68" s="3">
        <f t="shared" ref="CO68:CO131" si="74">IF(OR(CI68="",ISBLANK(CI68),CI68=0),0,IF(MOD(CI68,2)=1,1,2))</f>
        <v>2</v>
      </c>
      <c r="CP68" s="3">
        <f t="shared" ref="CP68:CP131" si="75">IF(OR(CJ68="",ISBLANK(CJ68),CJ68=0),0,IF(MOD(CJ68,2)=1,1,2))</f>
        <v>2</v>
      </c>
      <c r="CQ68" s="3">
        <f t="shared" ref="CQ68:CQ131" si="76">IF(OR(CK68="",ISBLANK(CK68),CK68=0),0,IF(MOD(CK68,2)=1,1,2))</f>
        <v>1</v>
      </c>
      <c r="CR68" s="3">
        <f t="shared" ref="CR68:CR131" si="77">IF(OR(CL68="",ISBLANK(CL68),CL68=0),0,IF(MOD(CL68,2)=1,1,2))</f>
        <v>2</v>
      </c>
      <c r="CS68" s="31"/>
      <c r="CT68" s="3" cm="1">
        <f t="array" ref="CT68">SUMPRODUCT(--(MOD(CH68:CL68,2)=1))</f>
        <v>2</v>
      </c>
      <c r="CU68" s="3">
        <f t="shared" ref="CU68:CU131" si="78">5-CT68</f>
        <v>3</v>
      </c>
      <c r="CV68" s="30"/>
      <c r="CW68" s="3" cm="1">
        <f t="array" ref="CW68">SUMPRODUCT(--(MOD(CH68:CL68,10)&gt;=1), --(MOD(CH68:CL68,10)&lt;=5))</f>
        <v>4</v>
      </c>
      <c r="CX68" s="3">
        <f t="shared" ref="CX68:CX131" si="79">5-CW68</f>
        <v>1</v>
      </c>
      <c r="CY68" s="30"/>
      <c r="CZ68" s="3" cm="1">
        <f t="array" ref="CZ68">IFERROR(COUNT(_xlfn._xlws.FILTER(CH68:CL68, ISNUMBER(MATCH(CH68:CL68, {2,3,5,7,11,13,17,19,23,29,31,37,41,43}, 0)))), 0)</f>
        <v>3</v>
      </c>
      <c r="DA68" s="3" cm="1">
        <f t="array" ref="DA68">IFERROR(COUNT(_xlfn._xlws.FILTER(CH68:CL68, ISNUMBER(MATCH(CH68:CL68, {1,4,8,10,14,16,20,22,25,26,28,32,34,35,38,40,44}, 0)))), 0)</f>
        <v>2</v>
      </c>
      <c r="DB68" s="3" cm="1">
        <f t="array" ref="DB68">IFERROR(COUNT(_xlfn._xlws.FILTER(CH68:CL68, ISNUMBER(MATCH(CH68:CL68, {6,9,12,15,18,21,24,27,30,33,36,39,42,45}, 0)))), 0)</f>
        <v>0</v>
      </c>
      <c r="DC68" s="29"/>
      <c r="DD68" s="28" t="e">
        <f>#REF!</f>
        <v>#REF!</v>
      </c>
      <c r="DE68" s="28" t="e">
        <f>#REF!*2</f>
        <v>#REF!</v>
      </c>
      <c r="DF68" s="28" t="e">
        <f>#REF!</f>
        <v>#REF!</v>
      </c>
      <c r="DG68" s="28" t="e">
        <f>#REF!*2</f>
        <v>#REF!</v>
      </c>
      <c r="DH68" s="28" t="e">
        <f>#REF!</f>
        <v>#REF!</v>
      </c>
      <c r="DI68" s="28" t="e">
        <f>#REF!*2</f>
        <v>#REF!</v>
      </c>
      <c r="DJ68" s="28" t="e">
        <f>#REF!</f>
        <v>#REF!</v>
      </c>
      <c r="DK68" s="28" t="e">
        <f>#REF!*2</f>
        <v>#REF!</v>
      </c>
      <c r="DL68" s="28" t="e">
        <f>#REF!</f>
        <v>#REF!</v>
      </c>
      <c r="DM68" s="28" t="e">
        <f>#REF!*2</f>
        <v>#REF!</v>
      </c>
      <c r="DN68" s="27"/>
      <c r="DO68" s="26" t="str" cm="1">
        <f t="array" ref="DO68">_xlfn.IFS(
   OR(CH68="",ISBLANK(CH68),CH68=0),0,
   ISNUMBER(MATCH(CH68,{2,3,5,7,11,13,17,19,23,29,31,37,41,43},0)),"소",
   AND(ISNUMBER(CH68),MOD(CH68,3)=0),"배",
   AND(ISNUMBER(CH68),CH68&gt;0),"자"
)</f>
        <v>소</v>
      </c>
      <c r="DP68" s="26" t="str" cm="1">
        <f t="array" ref="DP68">_xlfn.IFS(
   OR(CI68="",ISBLANK(CI68),CI68=0),0,
   ISNUMBER(MATCH(CI68,{2,3,5,7,11,13,17,19,23,29,31,37,41,43},0)),"소",
   AND(ISNUMBER(CI68),MOD(CI68,3)=0),"배",
   AND(ISNUMBER(CI68),CI68&gt;0),"자"
)</f>
        <v>자</v>
      </c>
      <c r="DQ68" s="26" t="str" cm="1">
        <f t="array" ref="DQ68">_xlfn.IFS(
   OR(CJ68="",ISBLANK(CJ68),CJ68=0),0,
   ISNUMBER(MATCH(CJ68,{2,3,5,7,11,13,17,19,23,29,31,37,41,43},0)),"소",
   AND(ISNUMBER(CJ68),MOD(CJ68,3)=0),"배",
   AND(ISNUMBER(CJ68),CJ68&gt;0),"자"
)</f>
        <v>소</v>
      </c>
      <c r="DR68" s="26" t="str" cm="1">
        <f t="array" ref="DR68">_xlfn.IFS(
   OR(CK68="",ISBLANK(CK68),CK68=0),0,
   ISNUMBER(MATCH(CK68,{2,3,5,7,11,13,17,19,23,29,31,37,41,43},0)),"소",
   AND(ISNUMBER(CK68),MOD(CK68,3)=0),"배",
   AND(ISNUMBER(CK68),CK68&gt;0),"자"
)</f>
        <v>소</v>
      </c>
      <c r="DS68" s="26" t="str" cm="1">
        <f t="array" ref="DS68">_xlfn.IFS(
   OR(CL68="",ISBLANK(CL68),CL68=0),0,
   ISNUMBER(MATCH(CL68,{2,3,5,7,11,13,17,19,23,29,31,37,41,43},0)),"소",
   AND(ISNUMBER(CL68),MOD(CL68,3)=0),"배",
   AND(ISNUMBER(CL68),CL68&gt;0),"자"
)</f>
        <v>자</v>
      </c>
      <c r="DT68" s="25"/>
    </row>
    <row r="69" spans="2:124" x14ac:dyDescent="0.3">
      <c r="B69" s="3">
        <v>8</v>
      </c>
      <c r="C69" s="3">
        <v>9</v>
      </c>
      <c r="D69" s="3">
        <v>18</v>
      </c>
      <c r="E69" s="3">
        <v>35</v>
      </c>
      <c r="F69" s="3">
        <v>39</v>
      </c>
      <c r="G69" s="3">
        <v>45</v>
      </c>
      <c r="H69" s="32"/>
      <c r="I69" s="3">
        <f t="shared" si="40"/>
        <v>2</v>
      </c>
      <c r="J69" s="3">
        <f t="shared" si="41"/>
        <v>1</v>
      </c>
      <c r="K69" s="3">
        <f t="shared" si="42"/>
        <v>2</v>
      </c>
      <c r="L69" s="3">
        <f t="shared" si="43"/>
        <v>1</v>
      </c>
      <c r="M69" s="3">
        <f t="shared" si="44"/>
        <v>1</v>
      </c>
      <c r="N69" s="3">
        <f t="shared" si="45"/>
        <v>1</v>
      </c>
      <c r="O69" s="32"/>
      <c r="P69" s="3" cm="1">
        <f t="array" ref="P69">SUMPRODUCT(--(MOD(B69:G69,2)=1))</f>
        <v>4</v>
      </c>
      <c r="Q69" s="3">
        <f t="shared" si="46"/>
        <v>2</v>
      </c>
      <c r="R69" s="34"/>
      <c r="S69" s="3">
        <f t="shared" si="47"/>
        <v>3</v>
      </c>
      <c r="T69" s="3">
        <f t="shared" si="48"/>
        <v>3</v>
      </c>
      <c r="U69" s="34"/>
      <c r="V69" s="3" cm="1">
        <f t="array" ref="V69">SUMPRODUCT(--(MOD(B69:G69,10)&gt;=1), --(MOD(B69:G69,10)&lt;=5))</f>
        <v>2</v>
      </c>
      <c r="W69" s="3">
        <f t="shared" si="49"/>
        <v>4</v>
      </c>
      <c r="X69" s="34"/>
      <c r="Y69" s="3" cm="1">
        <f t="array" ref="Y69">IFERROR(COUNT(_xlfn._xlws.FILTER(B69:G69, ISNUMBER(MATCH(B69:G69, {2,3,5,7,11,13,17,19,23,29,31,37,41,43}, 0)))), 0)</f>
        <v>0</v>
      </c>
      <c r="Z69" s="3" cm="1">
        <f t="array" ref="Z69">IFERROR(COUNT(_xlfn._xlws.FILTER(B69:G69, ISNUMBER(MATCH(B69:G69, {1,4,8,10,14,16,20,22,25,26,28,32,34,35,38,40,44}, 0)))), 0)</f>
        <v>2</v>
      </c>
      <c r="AA69" s="3" cm="1">
        <f t="array" ref="AA69">IFERROR(COUNT(_xlfn._xlws.FILTER(B69:G69, ISNUMBER(MATCH(B69:G69, {6,9,12,15,18,21,24,27,30,33,36,39,42,45}, 0)))), 0)</f>
        <v>4</v>
      </c>
      <c r="AB69" s="30"/>
      <c r="AC69" s="26" t="str" cm="1">
        <f t="array" ref="AC69">_xlfn.IFS(
   OR(B69="",ISBLANK(B69),B69=0),0,
   ISNUMBER(MATCH(B69,{2,3,5,7,11,13,17,19,23,29,31,37,41,43},0)),"소",
   AND(ISNUMBER(B69),MOD(B69,3)=0),"배",
   AND(ISNUMBER(B69),B69&gt;0),"자"
)</f>
        <v>자</v>
      </c>
      <c r="AD69" s="26" t="str" cm="1">
        <f t="array" ref="AD69">_xlfn.IFS(
   OR(C69="",ISBLANK(C69),C69=0),0,
   ISNUMBER(MATCH(C69,{2,3,5,7,11,13,17,19,23,29,31,37,41,43},0)),"소",
   AND(ISNUMBER(C69),MOD(C69,3)=0),"배",
   AND(ISNUMBER(C69),C69&gt;0),"자"
)</f>
        <v>배</v>
      </c>
      <c r="AE69" s="26" t="str" cm="1">
        <f t="array" ref="AE69">_xlfn.IFS(
   OR(D69="",ISBLANK(D69),D69=0),0,
   ISNUMBER(MATCH(D69,{2,3,5,7,11,13,17,19,23,29,31,37,41,43},0)),"소",
   AND(ISNUMBER(D69),MOD(D69,3)=0),"배",
   AND(ISNUMBER(D69),D69&gt;0),"자"
)</f>
        <v>배</v>
      </c>
      <c r="AF69" s="26" t="str" cm="1">
        <f t="array" ref="AF69">_xlfn.IFS(
   OR(E69="",ISBLANK(E69),E69=0),0,
   ISNUMBER(MATCH(E69,{2,3,5,7,11,13,17,19,23,29,31,37,41,43},0)),"소",
   AND(ISNUMBER(E69),MOD(E69,3)=0),"배",
   AND(ISNUMBER(E69),E69&gt;0),"자"
)</f>
        <v>자</v>
      </c>
      <c r="AG69" s="26" t="str" cm="1">
        <f t="array" ref="AG69">_xlfn.IFS(
   OR(F69="",ISBLANK(F69),F69=0),0,
   ISNUMBER(MATCH(F69,{2,3,5,7,11,13,17,19,23,29,31,37,41,43},0)),"소",
   AND(ISNUMBER(F69),MOD(F69,3)=0),"배",
   AND(ISNUMBER(F69),F69&gt;0),"자"
)</f>
        <v>배</v>
      </c>
      <c r="AH69" s="26" t="str" cm="1">
        <f t="array" ref="AH69">_xlfn.IFS(
   OR(G69="",ISBLANK(G69),G69=0),0,
   ISNUMBER(MATCH(G69,{2,3,5,7,11,13,17,19,23,29,31,37,41,43},0)),"소",
   AND(ISNUMBER(G69),MOD(G69,3)=0),"배",
   AND(ISNUMBER(G69),G69&gt;0),"자"
)</f>
        <v>배</v>
      </c>
      <c r="AI69" s="30"/>
      <c r="AJ69" s="3">
        <f t="shared" si="50"/>
        <v>2</v>
      </c>
      <c r="AK69" s="3">
        <f t="shared" si="51"/>
        <v>1</v>
      </c>
      <c r="AL69" s="3">
        <f t="shared" si="52"/>
        <v>3</v>
      </c>
      <c r="AM69" s="33"/>
      <c r="AN69" s="3">
        <f t="shared" si="53"/>
        <v>2</v>
      </c>
      <c r="AO69" s="3">
        <f t="shared" si="54"/>
        <v>1</v>
      </c>
      <c r="AP69" s="3">
        <f t="shared" si="55"/>
        <v>0</v>
      </c>
      <c r="AQ69" s="3">
        <f t="shared" si="56"/>
        <v>1</v>
      </c>
      <c r="AR69" s="3">
        <f t="shared" si="57"/>
        <v>2</v>
      </c>
      <c r="AS69" s="28" t="e">
        <f>#REF!</f>
        <v>#REF!</v>
      </c>
      <c r="AT69" s="28" t="e">
        <f>#REF!*2</f>
        <v>#REF!</v>
      </c>
      <c r="AU69" s="28" t="e">
        <f>#REF!</f>
        <v>#REF!</v>
      </c>
      <c r="AV69" s="28" t="e">
        <f>#REF!*2</f>
        <v>#REF!</v>
      </c>
      <c r="AW69" s="28" t="e">
        <f>#REF!</f>
        <v>#REF!</v>
      </c>
      <c r="AX69" s="28" t="e">
        <f>#REF!*2</f>
        <v>#REF!</v>
      </c>
      <c r="AY69" s="28" t="e">
        <f>#REF!</f>
        <v>#REF!</v>
      </c>
      <c r="AZ69" s="28" t="e">
        <f>#REF!*2</f>
        <v>#REF!</v>
      </c>
      <c r="BA69" s="28" t="e">
        <f>#REF!</f>
        <v>#REF!</v>
      </c>
      <c r="BB69" s="28" t="e">
        <f>#REF!*2</f>
        <v>#REF!</v>
      </c>
      <c r="BC69" s="28" t="e">
        <f>#REF!</f>
        <v>#REF!</v>
      </c>
      <c r="BD69" s="28" t="e">
        <f>#REF!*2</f>
        <v>#REF!</v>
      </c>
      <c r="BE69" s="9" t="e">
        <f>#REF!-#REF!</f>
        <v>#REF!</v>
      </c>
      <c r="BF69" s="9" t="e">
        <f>#REF!-#REF!</f>
        <v>#REF!</v>
      </c>
      <c r="BG69" s="9" t="e">
        <f>#REF!-#REF!</f>
        <v>#REF!</v>
      </c>
      <c r="BH69" s="9" t="e">
        <f>#REF!-#REF!</f>
        <v>#REF!</v>
      </c>
      <c r="BI69" s="9" t="e">
        <f>#REF!-#REF!</f>
        <v>#REF!</v>
      </c>
      <c r="BJ69" s="33"/>
      <c r="BK69" s="3">
        <f t="shared" si="58"/>
        <v>2</v>
      </c>
      <c r="BL69" s="3">
        <f t="shared" si="59"/>
        <v>1</v>
      </c>
      <c r="BM69" s="3">
        <f t="shared" si="60"/>
        <v>0</v>
      </c>
      <c r="BN69" s="3">
        <f t="shared" si="61"/>
        <v>2</v>
      </c>
      <c r="BO69" s="3">
        <f t="shared" si="62"/>
        <v>1</v>
      </c>
      <c r="BP69" s="28" t="e">
        <f>#REF!</f>
        <v>#REF!</v>
      </c>
      <c r="BQ69" s="28" t="e">
        <f>#REF!*2</f>
        <v>#REF!</v>
      </c>
      <c r="BR69" s="28" t="e">
        <f>#REF!</f>
        <v>#REF!</v>
      </c>
      <c r="BS69" s="28" t="e">
        <f>#REF!*2</f>
        <v>#REF!</v>
      </c>
      <c r="BT69" s="28" t="e">
        <f>#REF!</f>
        <v>#REF!</v>
      </c>
      <c r="BU69" s="28" t="e">
        <f>#REF!*2</f>
        <v>#REF!</v>
      </c>
      <c r="BV69" s="28" t="e">
        <f>#REF!</f>
        <v>#REF!</v>
      </c>
      <c r="BW69" s="28" t="e">
        <f>#REF!*2</f>
        <v>#REF!</v>
      </c>
      <c r="BX69" s="28" t="e">
        <f>#REF!</f>
        <v>#REF!</v>
      </c>
      <c r="BY69" s="28" t="e">
        <f>#REF!*2</f>
        <v>#REF!</v>
      </c>
      <c r="BZ69" s="28" t="e">
        <f>#REF!</f>
        <v>#REF!</v>
      </c>
      <c r="CA69" s="28" t="e">
        <f>#REF!*2</f>
        <v>#REF!</v>
      </c>
      <c r="CB69" s="9">
        <f t="shared" si="63"/>
        <v>1</v>
      </c>
      <c r="CC69" s="9">
        <f t="shared" si="64"/>
        <v>9</v>
      </c>
      <c r="CD69" s="9">
        <f t="shared" si="65"/>
        <v>17</v>
      </c>
      <c r="CE69" s="9">
        <f t="shared" si="66"/>
        <v>4</v>
      </c>
      <c r="CF69" s="9">
        <f t="shared" si="67"/>
        <v>6</v>
      </c>
      <c r="CG69" s="33"/>
      <c r="CH69" s="9">
        <f t="shared" si="68"/>
        <v>1</v>
      </c>
      <c r="CI69" s="9">
        <f t="shared" si="69"/>
        <v>9</v>
      </c>
      <c r="CJ69" s="9">
        <f t="shared" si="70"/>
        <v>17</v>
      </c>
      <c r="CK69" s="9">
        <f t="shared" si="71"/>
        <v>4</v>
      </c>
      <c r="CL69" s="9">
        <f t="shared" si="72"/>
        <v>6</v>
      </c>
      <c r="CM69" s="32"/>
      <c r="CN69" s="3">
        <f t="shared" si="73"/>
        <v>1</v>
      </c>
      <c r="CO69" s="3">
        <f t="shared" si="74"/>
        <v>1</v>
      </c>
      <c r="CP69" s="3">
        <f t="shared" si="75"/>
        <v>1</v>
      </c>
      <c r="CQ69" s="3">
        <f t="shared" si="76"/>
        <v>2</v>
      </c>
      <c r="CR69" s="3">
        <f t="shared" si="77"/>
        <v>2</v>
      </c>
      <c r="CS69" s="31"/>
      <c r="CT69" s="3" cm="1">
        <f t="array" ref="CT69">SUMPRODUCT(--(MOD(CH69:CL69,2)=1))</f>
        <v>3</v>
      </c>
      <c r="CU69" s="3">
        <f t="shared" si="78"/>
        <v>2</v>
      </c>
      <c r="CV69" s="30"/>
      <c r="CW69" s="3" cm="1">
        <f t="array" ref="CW69">SUMPRODUCT(--(MOD(CH69:CL69,10)&gt;=1), --(MOD(CH69:CL69,10)&lt;=5))</f>
        <v>2</v>
      </c>
      <c r="CX69" s="3">
        <f t="shared" si="79"/>
        <v>3</v>
      </c>
      <c r="CY69" s="30"/>
      <c r="CZ69" s="3" cm="1">
        <f t="array" ref="CZ69">IFERROR(COUNT(_xlfn._xlws.FILTER(CH69:CL69, ISNUMBER(MATCH(CH69:CL69, {2,3,5,7,11,13,17,19,23,29,31,37,41,43}, 0)))), 0)</f>
        <v>1</v>
      </c>
      <c r="DA69" s="3" cm="1">
        <f t="array" ref="DA69">IFERROR(COUNT(_xlfn._xlws.FILTER(CH69:CL69, ISNUMBER(MATCH(CH69:CL69, {1,4,8,10,14,16,20,22,25,26,28,32,34,35,38,40,44}, 0)))), 0)</f>
        <v>2</v>
      </c>
      <c r="DB69" s="3" cm="1">
        <f t="array" ref="DB69">IFERROR(COUNT(_xlfn._xlws.FILTER(CH69:CL69, ISNUMBER(MATCH(CH69:CL69, {6,9,12,15,18,21,24,27,30,33,36,39,42,45}, 0)))), 0)</f>
        <v>2</v>
      </c>
      <c r="DC69" s="29"/>
      <c r="DD69" s="28" t="e">
        <f>#REF!</f>
        <v>#REF!</v>
      </c>
      <c r="DE69" s="28" t="e">
        <f>#REF!*2</f>
        <v>#REF!</v>
      </c>
      <c r="DF69" s="28" t="e">
        <f>#REF!</f>
        <v>#REF!</v>
      </c>
      <c r="DG69" s="28" t="e">
        <f>#REF!*2</f>
        <v>#REF!</v>
      </c>
      <c r="DH69" s="28" t="e">
        <f>#REF!</f>
        <v>#REF!</v>
      </c>
      <c r="DI69" s="28" t="e">
        <f>#REF!*2</f>
        <v>#REF!</v>
      </c>
      <c r="DJ69" s="28" t="e">
        <f>#REF!</f>
        <v>#REF!</v>
      </c>
      <c r="DK69" s="28" t="e">
        <f>#REF!*2</f>
        <v>#REF!</v>
      </c>
      <c r="DL69" s="28" t="e">
        <f>#REF!</f>
        <v>#REF!</v>
      </c>
      <c r="DM69" s="28" t="e">
        <f>#REF!*2</f>
        <v>#REF!</v>
      </c>
      <c r="DN69" s="27"/>
      <c r="DO69" s="26" t="str" cm="1">
        <f t="array" ref="DO69">_xlfn.IFS(
   OR(CH69="",ISBLANK(CH69),CH69=0),0,
   ISNUMBER(MATCH(CH69,{2,3,5,7,11,13,17,19,23,29,31,37,41,43},0)),"소",
   AND(ISNUMBER(CH69),MOD(CH69,3)=0),"배",
   AND(ISNUMBER(CH69),CH69&gt;0),"자"
)</f>
        <v>자</v>
      </c>
      <c r="DP69" s="26" t="str" cm="1">
        <f t="array" ref="DP69">_xlfn.IFS(
   OR(CI69="",ISBLANK(CI69),CI69=0),0,
   ISNUMBER(MATCH(CI69,{2,3,5,7,11,13,17,19,23,29,31,37,41,43},0)),"소",
   AND(ISNUMBER(CI69),MOD(CI69,3)=0),"배",
   AND(ISNUMBER(CI69),CI69&gt;0),"자"
)</f>
        <v>배</v>
      </c>
      <c r="DQ69" s="26" t="str" cm="1">
        <f t="array" ref="DQ69">_xlfn.IFS(
   OR(CJ69="",ISBLANK(CJ69),CJ69=0),0,
   ISNUMBER(MATCH(CJ69,{2,3,5,7,11,13,17,19,23,29,31,37,41,43},0)),"소",
   AND(ISNUMBER(CJ69),MOD(CJ69,3)=0),"배",
   AND(ISNUMBER(CJ69),CJ69&gt;0),"자"
)</f>
        <v>소</v>
      </c>
      <c r="DR69" s="26" t="str" cm="1">
        <f t="array" ref="DR69">_xlfn.IFS(
   OR(CK69="",ISBLANK(CK69),CK69=0),0,
   ISNUMBER(MATCH(CK69,{2,3,5,7,11,13,17,19,23,29,31,37,41,43},0)),"소",
   AND(ISNUMBER(CK69),MOD(CK69,3)=0),"배",
   AND(ISNUMBER(CK69),CK69&gt;0),"자"
)</f>
        <v>자</v>
      </c>
      <c r="DS69" s="26" t="str" cm="1">
        <f t="array" ref="DS69">_xlfn.IFS(
   OR(CL69="",ISBLANK(CL69),CL69=0),0,
   ISNUMBER(MATCH(CL69,{2,3,5,7,11,13,17,19,23,29,31,37,41,43},0)),"소",
   AND(ISNUMBER(CL69),MOD(CL69,3)=0),"배",
   AND(ISNUMBER(CL69),CL69&gt;0),"자"
)</f>
        <v>배</v>
      </c>
      <c r="DT69" s="25"/>
    </row>
    <row r="70" spans="2:124" x14ac:dyDescent="0.3">
      <c r="B70" s="3">
        <v>2</v>
      </c>
      <c r="C70" s="3">
        <v>3</v>
      </c>
      <c r="D70" s="3">
        <v>9</v>
      </c>
      <c r="E70" s="3">
        <v>15</v>
      </c>
      <c r="F70" s="3">
        <v>27</v>
      </c>
      <c r="G70" s="3">
        <v>29</v>
      </c>
      <c r="H70" s="32"/>
      <c r="I70" s="3">
        <f t="shared" si="40"/>
        <v>2</v>
      </c>
      <c r="J70" s="3">
        <f t="shared" si="41"/>
        <v>1</v>
      </c>
      <c r="K70" s="3">
        <f t="shared" si="42"/>
        <v>1</v>
      </c>
      <c r="L70" s="3">
        <f t="shared" si="43"/>
        <v>1</v>
      </c>
      <c r="M70" s="3">
        <f t="shared" si="44"/>
        <v>1</v>
      </c>
      <c r="N70" s="3">
        <f t="shared" si="45"/>
        <v>1</v>
      </c>
      <c r="O70" s="32"/>
      <c r="P70" s="3" cm="1">
        <f t="array" ref="P70">SUMPRODUCT(--(MOD(B70:G70,2)=1))</f>
        <v>5</v>
      </c>
      <c r="Q70" s="3">
        <f t="shared" si="46"/>
        <v>1</v>
      </c>
      <c r="R70" s="34"/>
      <c r="S70" s="3">
        <f t="shared" si="47"/>
        <v>4</v>
      </c>
      <c r="T70" s="3">
        <f t="shared" si="48"/>
        <v>2</v>
      </c>
      <c r="U70" s="34"/>
      <c r="V70" s="3" cm="1">
        <f t="array" ref="V70">SUMPRODUCT(--(MOD(B70:G70,10)&gt;=1), --(MOD(B70:G70,10)&lt;=5))</f>
        <v>3</v>
      </c>
      <c r="W70" s="3">
        <f t="shared" si="49"/>
        <v>3</v>
      </c>
      <c r="X70" s="34"/>
      <c r="Y70" s="3" cm="1">
        <f t="array" ref="Y70">IFERROR(COUNT(_xlfn._xlws.FILTER(B70:G70, ISNUMBER(MATCH(B70:G70, {2,3,5,7,11,13,17,19,23,29,31,37,41,43}, 0)))), 0)</f>
        <v>3</v>
      </c>
      <c r="Z70" s="3" cm="1">
        <f t="array" ref="Z70">IFERROR(COUNT(_xlfn._xlws.FILTER(B70:G70, ISNUMBER(MATCH(B70:G70, {1,4,8,10,14,16,20,22,25,26,28,32,34,35,38,40,44}, 0)))), 0)</f>
        <v>0</v>
      </c>
      <c r="AA70" s="3" cm="1">
        <f t="array" ref="AA70">IFERROR(COUNT(_xlfn._xlws.FILTER(B70:G70, ISNUMBER(MATCH(B70:G70, {6,9,12,15,18,21,24,27,30,33,36,39,42,45}, 0)))), 0)</f>
        <v>3</v>
      </c>
      <c r="AB70" s="30"/>
      <c r="AC70" s="26" t="str" cm="1">
        <f t="array" ref="AC70">_xlfn.IFS(
   OR(B70="",ISBLANK(B70),B70=0),0,
   ISNUMBER(MATCH(B70,{2,3,5,7,11,13,17,19,23,29,31,37,41,43},0)),"소",
   AND(ISNUMBER(B70),MOD(B70,3)=0),"배",
   AND(ISNUMBER(B70),B70&gt;0),"자"
)</f>
        <v>소</v>
      </c>
      <c r="AD70" s="26" t="str" cm="1">
        <f t="array" ref="AD70">_xlfn.IFS(
   OR(C70="",ISBLANK(C70),C70=0),0,
   ISNUMBER(MATCH(C70,{2,3,5,7,11,13,17,19,23,29,31,37,41,43},0)),"소",
   AND(ISNUMBER(C70),MOD(C70,3)=0),"배",
   AND(ISNUMBER(C70),C70&gt;0),"자"
)</f>
        <v>소</v>
      </c>
      <c r="AE70" s="26" t="str" cm="1">
        <f t="array" ref="AE70">_xlfn.IFS(
   OR(D70="",ISBLANK(D70),D70=0),0,
   ISNUMBER(MATCH(D70,{2,3,5,7,11,13,17,19,23,29,31,37,41,43},0)),"소",
   AND(ISNUMBER(D70),MOD(D70,3)=0),"배",
   AND(ISNUMBER(D70),D70&gt;0),"자"
)</f>
        <v>배</v>
      </c>
      <c r="AF70" s="26" t="str" cm="1">
        <f t="array" ref="AF70">_xlfn.IFS(
   OR(E70="",ISBLANK(E70),E70=0),0,
   ISNUMBER(MATCH(E70,{2,3,5,7,11,13,17,19,23,29,31,37,41,43},0)),"소",
   AND(ISNUMBER(E70),MOD(E70,3)=0),"배",
   AND(ISNUMBER(E70),E70&gt;0),"자"
)</f>
        <v>배</v>
      </c>
      <c r="AG70" s="26" t="str" cm="1">
        <f t="array" ref="AG70">_xlfn.IFS(
   OR(F70="",ISBLANK(F70),F70=0),0,
   ISNUMBER(MATCH(F70,{2,3,5,7,11,13,17,19,23,29,31,37,41,43},0)),"소",
   AND(ISNUMBER(F70),MOD(F70,3)=0),"배",
   AND(ISNUMBER(F70),F70&gt;0),"자"
)</f>
        <v>배</v>
      </c>
      <c r="AH70" s="26" t="str" cm="1">
        <f t="array" ref="AH70">_xlfn.IFS(
   OR(G70="",ISBLANK(G70),G70=0),0,
   ISNUMBER(MATCH(G70,{2,3,5,7,11,13,17,19,23,29,31,37,41,43},0)),"소",
   AND(ISNUMBER(G70),MOD(G70,3)=0),"배",
   AND(ISNUMBER(G70),G70&gt;0),"자"
)</f>
        <v>소</v>
      </c>
      <c r="AI70" s="30"/>
      <c r="AJ70" s="3">
        <f t="shared" si="50"/>
        <v>3</v>
      </c>
      <c r="AK70" s="3">
        <f t="shared" si="51"/>
        <v>3</v>
      </c>
      <c r="AL70" s="3">
        <f t="shared" si="52"/>
        <v>0</v>
      </c>
      <c r="AM70" s="33"/>
      <c r="AN70" s="3">
        <f t="shared" si="53"/>
        <v>3</v>
      </c>
      <c r="AO70" s="3">
        <f t="shared" si="54"/>
        <v>1</v>
      </c>
      <c r="AP70" s="3">
        <f t="shared" si="55"/>
        <v>1</v>
      </c>
      <c r="AQ70" s="3">
        <f t="shared" si="56"/>
        <v>1</v>
      </c>
      <c r="AR70" s="3">
        <f t="shared" si="57"/>
        <v>0</v>
      </c>
      <c r="AS70" s="28" t="e">
        <f>#REF!</f>
        <v>#REF!</v>
      </c>
      <c r="AT70" s="28" t="e">
        <f>#REF!*2</f>
        <v>#REF!</v>
      </c>
      <c r="AU70" s="28" t="e">
        <f>#REF!</f>
        <v>#REF!</v>
      </c>
      <c r="AV70" s="28" t="e">
        <f>#REF!*2</f>
        <v>#REF!</v>
      </c>
      <c r="AW70" s="28" t="e">
        <f>#REF!</f>
        <v>#REF!</v>
      </c>
      <c r="AX70" s="28" t="e">
        <f>#REF!*2</f>
        <v>#REF!</v>
      </c>
      <c r="AY70" s="28" t="e">
        <f>#REF!</f>
        <v>#REF!</v>
      </c>
      <c r="AZ70" s="28" t="e">
        <f>#REF!*2</f>
        <v>#REF!</v>
      </c>
      <c r="BA70" s="28" t="e">
        <f>#REF!</f>
        <v>#REF!</v>
      </c>
      <c r="BB70" s="28" t="e">
        <f>#REF!*2</f>
        <v>#REF!</v>
      </c>
      <c r="BC70" s="28" t="e">
        <f>#REF!</f>
        <v>#REF!</v>
      </c>
      <c r="BD70" s="28" t="e">
        <f>#REF!*2</f>
        <v>#REF!</v>
      </c>
      <c r="BE70" s="9" t="e">
        <f>#REF!-#REF!</f>
        <v>#REF!</v>
      </c>
      <c r="BF70" s="9" t="e">
        <f>#REF!-#REF!</f>
        <v>#REF!</v>
      </c>
      <c r="BG70" s="9" t="e">
        <f>#REF!-#REF!</f>
        <v>#REF!</v>
      </c>
      <c r="BH70" s="9" t="e">
        <f>#REF!-#REF!</f>
        <v>#REF!</v>
      </c>
      <c r="BI70" s="9" t="e">
        <f>#REF!-#REF!</f>
        <v>#REF!</v>
      </c>
      <c r="BJ70" s="33"/>
      <c r="BK70" s="3">
        <f t="shared" si="58"/>
        <v>3</v>
      </c>
      <c r="BL70" s="3">
        <f t="shared" si="59"/>
        <v>1</v>
      </c>
      <c r="BM70" s="3">
        <f t="shared" si="60"/>
        <v>2</v>
      </c>
      <c r="BN70" s="3">
        <f t="shared" si="61"/>
        <v>0</v>
      </c>
      <c r="BO70" s="3">
        <f t="shared" si="62"/>
        <v>0</v>
      </c>
      <c r="BP70" s="28" t="e">
        <f>#REF!</f>
        <v>#REF!</v>
      </c>
      <c r="BQ70" s="28" t="e">
        <f>#REF!*2</f>
        <v>#REF!</v>
      </c>
      <c r="BR70" s="28" t="e">
        <f>#REF!</f>
        <v>#REF!</v>
      </c>
      <c r="BS70" s="28" t="e">
        <f>#REF!*2</f>
        <v>#REF!</v>
      </c>
      <c r="BT70" s="28" t="e">
        <f>#REF!</f>
        <v>#REF!</v>
      </c>
      <c r="BU70" s="28" t="e">
        <f>#REF!*2</f>
        <v>#REF!</v>
      </c>
      <c r="BV70" s="28" t="e">
        <f>#REF!</f>
        <v>#REF!</v>
      </c>
      <c r="BW70" s="28" t="e">
        <f>#REF!*2</f>
        <v>#REF!</v>
      </c>
      <c r="BX70" s="28" t="e">
        <f>#REF!</f>
        <v>#REF!</v>
      </c>
      <c r="BY70" s="28" t="e">
        <f>#REF!*2</f>
        <v>#REF!</v>
      </c>
      <c r="BZ70" s="28" t="e">
        <f>#REF!</f>
        <v>#REF!</v>
      </c>
      <c r="CA70" s="28" t="e">
        <f>#REF!*2</f>
        <v>#REF!</v>
      </c>
      <c r="CB70" s="9">
        <f t="shared" si="63"/>
        <v>1</v>
      </c>
      <c r="CC70" s="9">
        <f t="shared" si="64"/>
        <v>6</v>
      </c>
      <c r="CD70" s="9">
        <f t="shared" si="65"/>
        <v>6</v>
      </c>
      <c r="CE70" s="9">
        <f t="shared" si="66"/>
        <v>12</v>
      </c>
      <c r="CF70" s="9">
        <f t="shared" si="67"/>
        <v>2</v>
      </c>
      <c r="CG70" s="33"/>
      <c r="CH70" s="9">
        <f t="shared" si="68"/>
        <v>1</v>
      </c>
      <c r="CI70" s="9">
        <f t="shared" si="69"/>
        <v>6</v>
      </c>
      <c r="CJ70" s="9">
        <f t="shared" si="70"/>
        <v>6</v>
      </c>
      <c r="CK70" s="9">
        <f t="shared" si="71"/>
        <v>12</v>
      </c>
      <c r="CL70" s="9">
        <f t="shared" si="72"/>
        <v>2</v>
      </c>
      <c r="CM70" s="32"/>
      <c r="CN70" s="3">
        <f t="shared" si="73"/>
        <v>1</v>
      </c>
      <c r="CO70" s="3">
        <f t="shared" si="74"/>
        <v>2</v>
      </c>
      <c r="CP70" s="3">
        <f t="shared" si="75"/>
        <v>2</v>
      </c>
      <c r="CQ70" s="3">
        <f t="shared" si="76"/>
        <v>2</v>
      </c>
      <c r="CR70" s="3">
        <f t="shared" si="77"/>
        <v>2</v>
      </c>
      <c r="CS70" s="31"/>
      <c r="CT70" s="3" cm="1">
        <f t="array" ref="CT70">SUMPRODUCT(--(MOD(CH70:CL70,2)=1))</f>
        <v>1</v>
      </c>
      <c r="CU70" s="3">
        <f t="shared" si="78"/>
        <v>4</v>
      </c>
      <c r="CV70" s="30"/>
      <c r="CW70" s="3" cm="1">
        <f t="array" ref="CW70">SUMPRODUCT(--(MOD(CH70:CL70,10)&gt;=1), --(MOD(CH70:CL70,10)&lt;=5))</f>
        <v>3</v>
      </c>
      <c r="CX70" s="3">
        <f t="shared" si="79"/>
        <v>2</v>
      </c>
      <c r="CY70" s="30"/>
      <c r="CZ70" s="3" cm="1">
        <f t="array" ref="CZ70">IFERROR(COUNT(_xlfn._xlws.FILTER(CH70:CL70, ISNUMBER(MATCH(CH70:CL70, {2,3,5,7,11,13,17,19,23,29,31,37,41,43}, 0)))), 0)</f>
        <v>1</v>
      </c>
      <c r="DA70" s="3" cm="1">
        <f t="array" ref="DA70">IFERROR(COUNT(_xlfn._xlws.FILTER(CH70:CL70, ISNUMBER(MATCH(CH70:CL70, {1,4,8,10,14,16,20,22,25,26,28,32,34,35,38,40,44}, 0)))), 0)</f>
        <v>1</v>
      </c>
      <c r="DB70" s="3" cm="1">
        <f t="array" ref="DB70">IFERROR(COUNT(_xlfn._xlws.FILTER(CH70:CL70, ISNUMBER(MATCH(CH70:CL70, {6,9,12,15,18,21,24,27,30,33,36,39,42,45}, 0)))), 0)</f>
        <v>3</v>
      </c>
      <c r="DC70" s="29"/>
      <c r="DD70" s="28" t="e">
        <f>#REF!</f>
        <v>#REF!</v>
      </c>
      <c r="DE70" s="28" t="e">
        <f>#REF!*2</f>
        <v>#REF!</v>
      </c>
      <c r="DF70" s="28" t="e">
        <f>#REF!</f>
        <v>#REF!</v>
      </c>
      <c r="DG70" s="28" t="e">
        <f>#REF!*2</f>
        <v>#REF!</v>
      </c>
      <c r="DH70" s="28" t="e">
        <f>#REF!</f>
        <v>#REF!</v>
      </c>
      <c r="DI70" s="28" t="e">
        <f>#REF!*2</f>
        <v>#REF!</v>
      </c>
      <c r="DJ70" s="28" t="e">
        <f>#REF!</f>
        <v>#REF!</v>
      </c>
      <c r="DK70" s="28" t="e">
        <f>#REF!*2</f>
        <v>#REF!</v>
      </c>
      <c r="DL70" s="28" t="e">
        <f>#REF!</f>
        <v>#REF!</v>
      </c>
      <c r="DM70" s="28" t="e">
        <f>#REF!*2</f>
        <v>#REF!</v>
      </c>
      <c r="DN70" s="27"/>
      <c r="DO70" s="26" t="str" cm="1">
        <f t="array" ref="DO70">_xlfn.IFS(
   OR(CH70="",ISBLANK(CH70),CH70=0),0,
   ISNUMBER(MATCH(CH70,{2,3,5,7,11,13,17,19,23,29,31,37,41,43},0)),"소",
   AND(ISNUMBER(CH70),MOD(CH70,3)=0),"배",
   AND(ISNUMBER(CH70),CH70&gt;0),"자"
)</f>
        <v>자</v>
      </c>
      <c r="DP70" s="26" t="str" cm="1">
        <f t="array" ref="DP70">_xlfn.IFS(
   OR(CI70="",ISBLANK(CI70),CI70=0),0,
   ISNUMBER(MATCH(CI70,{2,3,5,7,11,13,17,19,23,29,31,37,41,43},0)),"소",
   AND(ISNUMBER(CI70),MOD(CI70,3)=0),"배",
   AND(ISNUMBER(CI70),CI70&gt;0),"자"
)</f>
        <v>배</v>
      </c>
      <c r="DQ70" s="26" t="str" cm="1">
        <f t="array" ref="DQ70">_xlfn.IFS(
   OR(CJ70="",ISBLANK(CJ70),CJ70=0),0,
   ISNUMBER(MATCH(CJ70,{2,3,5,7,11,13,17,19,23,29,31,37,41,43},0)),"소",
   AND(ISNUMBER(CJ70),MOD(CJ70,3)=0),"배",
   AND(ISNUMBER(CJ70),CJ70&gt;0),"자"
)</f>
        <v>배</v>
      </c>
      <c r="DR70" s="26" t="str" cm="1">
        <f t="array" ref="DR70">_xlfn.IFS(
   OR(CK70="",ISBLANK(CK70),CK70=0),0,
   ISNUMBER(MATCH(CK70,{2,3,5,7,11,13,17,19,23,29,31,37,41,43},0)),"소",
   AND(ISNUMBER(CK70),MOD(CK70,3)=0),"배",
   AND(ISNUMBER(CK70),CK70&gt;0),"자"
)</f>
        <v>배</v>
      </c>
      <c r="DS70" s="26" t="str" cm="1">
        <f t="array" ref="DS70">_xlfn.IFS(
   OR(CL70="",ISBLANK(CL70),CL70=0),0,
   ISNUMBER(MATCH(CL70,{2,3,5,7,11,13,17,19,23,29,31,37,41,43},0)),"소",
   AND(ISNUMBER(CL70),MOD(CL70,3)=0),"배",
   AND(ISNUMBER(CL70),CL70&gt;0),"자"
)</f>
        <v>소</v>
      </c>
      <c r="DT70" s="25"/>
    </row>
    <row r="71" spans="2:124" x14ac:dyDescent="0.3">
      <c r="B71" s="3">
        <v>30</v>
      </c>
      <c r="C71" s="3">
        <v>31</v>
      </c>
      <c r="D71" s="3">
        <v>32</v>
      </c>
      <c r="E71" s="3">
        <v>35</v>
      </c>
      <c r="F71" s="3">
        <v>36</v>
      </c>
      <c r="G71" s="3">
        <v>37</v>
      </c>
      <c r="H71" s="32"/>
      <c r="I71" s="3">
        <f t="shared" si="40"/>
        <v>2</v>
      </c>
      <c r="J71" s="3">
        <f t="shared" si="41"/>
        <v>1</v>
      </c>
      <c r="K71" s="3">
        <f t="shared" si="42"/>
        <v>2</v>
      </c>
      <c r="L71" s="3">
        <f t="shared" si="43"/>
        <v>1</v>
      </c>
      <c r="M71" s="3">
        <f t="shared" si="44"/>
        <v>2</v>
      </c>
      <c r="N71" s="3">
        <f t="shared" si="45"/>
        <v>1</v>
      </c>
      <c r="O71" s="32"/>
      <c r="P71" s="3" cm="1">
        <f t="array" ref="P71">SUMPRODUCT(--(MOD(B71:G71,2)=1))</f>
        <v>3</v>
      </c>
      <c r="Q71" s="3">
        <f t="shared" si="46"/>
        <v>3</v>
      </c>
      <c r="R71" s="34"/>
      <c r="S71" s="3">
        <f t="shared" si="47"/>
        <v>0</v>
      </c>
      <c r="T71" s="3">
        <f t="shared" si="48"/>
        <v>6</v>
      </c>
      <c r="U71" s="34"/>
      <c r="V71" s="3" cm="1">
        <f t="array" ref="V71">SUMPRODUCT(--(MOD(B71:G71,10)&gt;=1), --(MOD(B71:G71,10)&lt;=5))</f>
        <v>3</v>
      </c>
      <c r="W71" s="3">
        <f t="shared" si="49"/>
        <v>3</v>
      </c>
      <c r="X71" s="34"/>
      <c r="Y71" s="3" cm="1">
        <f t="array" ref="Y71">IFERROR(COUNT(_xlfn._xlws.FILTER(B71:G71, ISNUMBER(MATCH(B71:G71, {2,3,5,7,11,13,17,19,23,29,31,37,41,43}, 0)))), 0)</f>
        <v>2</v>
      </c>
      <c r="Z71" s="3" cm="1">
        <f t="array" ref="Z71">IFERROR(COUNT(_xlfn._xlws.FILTER(B71:G71, ISNUMBER(MATCH(B71:G71, {1,4,8,10,14,16,20,22,25,26,28,32,34,35,38,40,44}, 0)))), 0)</f>
        <v>2</v>
      </c>
      <c r="AA71" s="3" cm="1">
        <f t="array" ref="AA71">IFERROR(COUNT(_xlfn._xlws.FILTER(B71:G71, ISNUMBER(MATCH(B71:G71, {6,9,12,15,18,21,24,27,30,33,36,39,42,45}, 0)))), 0)</f>
        <v>2</v>
      </c>
      <c r="AB71" s="30"/>
      <c r="AC71" s="26" t="str" cm="1">
        <f t="array" ref="AC71">_xlfn.IFS(
   OR(B71="",ISBLANK(B71),B71=0),0,
   ISNUMBER(MATCH(B71,{2,3,5,7,11,13,17,19,23,29,31,37,41,43},0)),"소",
   AND(ISNUMBER(B71),MOD(B71,3)=0),"배",
   AND(ISNUMBER(B71),B71&gt;0),"자"
)</f>
        <v>배</v>
      </c>
      <c r="AD71" s="26" t="str" cm="1">
        <f t="array" ref="AD71">_xlfn.IFS(
   OR(C71="",ISBLANK(C71),C71=0),0,
   ISNUMBER(MATCH(C71,{2,3,5,7,11,13,17,19,23,29,31,37,41,43},0)),"소",
   AND(ISNUMBER(C71),MOD(C71,3)=0),"배",
   AND(ISNUMBER(C71),C71&gt;0),"자"
)</f>
        <v>소</v>
      </c>
      <c r="AE71" s="26" t="str" cm="1">
        <f t="array" ref="AE71">_xlfn.IFS(
   OR(D71="",ISBLANK(D71),D71=0),0,
   ISNUMBER(MATCH(D71,{2,3,5,7,11,13,17,19,23,29,31,37,41,43},0)),"소",
   AND(ISNUMBER(D71),MOD(D71,3)=0),"배",
   AND(ISNUMBER(D71),D71&gt;0),"자"
)</f>
        <v>자</v>
      </c>
      <c r="AF71" s="26" t="str" cm="1">
        <f t="array" ref="AF71">_xlfn.IFS(
   OR(E71="",ISBLANK(E71),E71=0),0,
   ISNUMBER(MATCH(E71,{2,3,5,7,11,13,17,19,23,29,31,37,41,43},0)),"소",
   AND(ISNUMBER(E71),MOD(E71,3)=0),"배",
   AND(ISNUMBER(E71),E71&gt;0),"자"
)</f>
        <v>자</v>
      </c>
      <c r="AG71" s="26" t="str" cm="1">
        <f t="array" ref="AG71">_xlfn.IFS(
   OR(F71="",ISBLANK(F71),F71=0),0,
   ISNUMBER(MATCH(F71,{2,3,5,7,11,13,17,19,23,29,31,37,41,43},0)),"소",
   AND(ISNUMBER(F71),MOD(F71,3)=0),"배",
   AND(ISNUMBER(F71),F71&gt;0),"자"
)</f>
        <v>배</v>
      </c>
      <c r="AH71" s="26" t="str" cm="1">
        <f t="array" ref="AH71">_xlfn.IFS(
   OR(G71="",ISBLANK(G71),G71=0),0,
   ISNUMBER(MATCH(G71,{2,3,5,7,11,13,17,19,23,29,31,37,41,43},0)),"소",
   AND(ISNUMBER(G71),MOD(G71,3)=0),"배",
   AND(ISNUMBER(G71),G71&gt;0),"자"
)</f>
        <v>소</v>
      </c>
      <c r="AI71" s="30"/>
      <c r="AJ71" s="3">
        <f t="shared" si="50"/>
        <v>0</v>
      </c>
      <c r="AK71" s="3">
        <f t="shared" si="51"/>
        <v>2</v>
      </c>
      <c r="AL71" s="3">
        <f t="shared" si="52"/>
        <v>4</v>
      </c>
      <c r="AM71" s="33"/>
      <c r="AN71" s="3">
        <f t="shared" si="53"/>
        <v>0</v>
      </c>
      <c r="AO71" s="3">
        <f t="shared" si="54"/>
        <v>0</v>
      </c>
      <c r="AP71" s="3">
        <f t="shared" si="55"/>
        <v>0</v>
      </c>
      <c r="AQ71" s="3">
        <f t="shared" si="56"/>
        <v>5</v>
      </c>
      <c r="AR71" s="3">
        <f t="shared" si="57"/>
        <v>1</v>
      </c>
      <c r="AS71" s="28" t="e">
        <f>#REF!</f>
        <v>#REF!</v>
      </c>
      <c r="AT71" s="28" t="e">
        <f>#REF!*2</f>
        <v>#REF!</v>
      </c>
      <c r="AU71" s="28" t="e">
        <f>#REF!</f>
        <v>#REF!</v>
      </c>
      <c r="AV71" s="28" t="e">
        <f>#REF!*2</f>
        <v>#REF!</v>
      </c>
      <c r="AW71" s="28" t="e">
        <f>#REF!</f>
        <v>#REF!</v>
      </c>
      <c r="AX71" s="28" t="e">
        <f>#REF!*2</f>
        <v>#REF!</v>
      </c>
      <c r="AY71" s="28" t="e">
        <f>#REF!</f>
        <v>#REF!</v>
      </c>
      <c r="AZ71" s="28" t="e">
        <f>#REF!*2</f>
        <v>#REF!</v>
      </c>
      <c r="BA71" s="28" t="e">
        <f>#REF!</f>
        <v>#REF!</v>
      </c>
      <c r="BB71" s="28" t="e">
        <f>#REF!*2</f>
        <v>#REF!</v>
      </c>
      <c r="BC71" s="28" t="e">
        <f>#REF!</f>
        <v>#REF!</v>
      </c>
      <c r="BD71" s="28" t="e">
        <f>#REF!*2</f>
        <v>#REF!</v>
      </c>
      <c r="BE71" s="9" t="e">
        <f>#REF!-#REF!</f>
        <v>#REF!</v>
      </c>
      <c r="BF71" s="9" t="e">
        <f>#REF!-#REF!</f>
        <v>#REF!</v>
      </c>
      <c r="BG71" s="9" t="e">
        <f>#REF!-#REF!</f>
        <v>#REF!</v>
      </c>
      <c r="BH71" s="9" t="e">
        <f>#REF!-#REF!</f>
        <v>#REF!</v>
      </c>
      <c r="BI71" s="9" t="e">
        <f>#REF!-#REF!</f>
        <v>#REF!</v>
      </c>
      <c r="BJ71" s="33"/>
      <c r="BK71" s="3">
        <f t="shared" si="58"/>
        <v>0</v>
      </c>
      <c r="BL71" s="3">
        <f t="shared" si="59"/>
        <v>0</v>
      </c>
      <c r="BM71" s="3">
        <f t="shared" si="60"/>
        <v>0</v>
      </c>
      <c r="BN71" s="3">
        <f t="shared" si="61"/>
        <v>6</v>
      </c>
      <c r="BO71" s="3">
        <f t="shared" si="62"/>
        <v>0</v>
      </c>
      <c r="BP71" s="28" t="e">
        <f>#REF!</f>
        <v>#REF!</v>
      </c>
      <c r="BQ71" s="28" t="e">
        <f>#REF!*2</f>
        <v>#REF!</v>
      </c>
      <c r="BR71" s="28" t="e">
        <f>#REF!</f>
        <v>#REF!</v>
      </c>
      <c r="BS71" s="28" t="e">
        <f>#REF!*2</f>
        <v>#REF!</v>
      </c>
      <c r="BT71" s="28" t="e">
        <f>#REF!</f>
        <v>#REF!</v>
      </c>
      <c r="BU71" s="28" t="e">
        <f>#REF!*2</f>
        <v>#REF!</v>
      </c>
      <c r="BV71" s="28" t="e">
        <f>#REF!</f>
        <v>#REF!</v>
      </c>
      <c r="BW71" s="28" t="e">
        <f>#REF!*2</f>
        <v>#REF!</v>
      </c>
      <c r="BX71" s="28" t="e">
        <f>#REF!</f>
        <v>#REF!</v>
      </c>
      <c r="BY71" s="28" t="e">
        <f>#REF!*2</f>
        <v>#REF!</v>
      </c>
      <c r="BZ71" s="28" t="e">
        <f>#REF!</f>
        <v>#REF!</v>
      </c>
      <c r="CA71" s="28" t="e">
        <f>#REF!*2</f>
        <v>#REF!</v>
      </c>
      <c r="CB71" s="9">
        <f t="shared" si="63"/>
        <v>1</v>
      </c>
      <c r="CC71" s="9">
        <f t="shared" si="64"/>
        <v>1</v>
      </c>
      <c r="CD71" s="9">
        <f t="shared" si="65"/>
        <v>3</v>
      </c>
      <c r="CE71" s="9">
        <f t="shared" si="66"/>
        <v>1</v>
      </c>
      <c r="CF71" s="9">
        <f t="shared" si="67"/>
        <v>1</v>
      </c>
      <c r="CG71" s="33"/>
      <c r="CH71" s="9">
        <f t="shared" si="68"/>
        <v>1</v>
      </c>
      <c r="CI71" s="9">
        <f t="shared" si="69"/>
        <v>1</v>
      </c>
      <c r="CJ71" s="9">
        <f t="shared" si="70"/>
        <v>3</v>
      </c>
      <c r="CK71" s="9">
        <f t="shared" si="71"/>
        <v>1</v>
      </c>
      <c r="CL71" s="9">
        <f t="shared" si="72"/>
        <v>1</v>
      </c>
      <c r="CM71" s="32"/>
      <c r="CN71" s="3">
        <f t="shared" si="73"/>
        <v>1</v>
      </c>
      <c r="CO71" s="3">
        <f t="shared" si="74"/>
        <v>1</v>
      </c>
      <c r="CP71" s="3">
        <f t="shared" si="75"/>
        <v>1</v>
      </c>
      <c r="CQ71" s="3">
        <f t="shared" si="76"/>
        <v>1</v>
      </c>
      <c r="CR71" s="3">
        <f t="shared" si="77"/>
        <v>1</v>
      </c>
      <c r="CS71" s="31"/>
      <c r="CT71" s="3" cm="1">
        <f t="array" ref="CT71">SUMPRODUCT(--(MOD(CH71:CL71,2)=1))</f>
        <v>5</v>
      </c>
      <c r="CU71" s="3">
        <f t="shared" si="78"/>
        <v>0</v>
      </c>
      <c r="CV71" s="30"/>
      <c r="CW71" s="3" cm="1">
        <f t="array" ref="CW71">SUMPRODUCT(--(MOD(CH71:CL71,10)&gt;=1), --(MOD(CH71:CL71,10)&lt;=5))</f>
        <v>5</v>
      </c>
      <c r="CX71" s="3">
        <f t="shared" si="79"/>
        <v>0</v>
      </c>
      <c r="CY71" s="30"/>
      <c r="CZ71" s="3" cm="1">
        <f t="array" ref="CZ71">IFERROR(COUNT(_xlfn._xlws.FILTER(CH71:CL71, ISNUMBER(MATCH(CH71:CL71, {2,3,5,7,11,13,17,19,23,29,31,37,41,43}, 0)))), 0)</f>
        <v>1</v>
      </c>
      <c r="DA71" s="3" cm="1">
        <f t="array" ref="DA71">IFERROR(COUNT(_xlfn._xlws.FILTER(CH71:CL71, ISNUMBER(MATCH(CH71:CL71, {1,4,8,10,14,16,20,22,25,26,28,32,34,35,38,40,44}, 0)))), 0)</f>
        <v>4</v>
      </c>
      <c r="DB71" s="3" cm="1">
        <f t="array" ref="DB71">IFERROR(COUNT(_xlfn._xlws.FILTER(CH71:CL71, ISNUMBER(MATCH(CH71:CL71, {6,9,12,15,18,21,24,27,30,33,36,39,42,45}, 0)))), 0)</f>
        <v>0</v>
      </c>
      <c r="DC71" s="29"/>
      <c r="DD71" s="28" t="e">
        <f>#REF!</f>
        <v>#REF!</v>
      </c>
      <c r="DE71" s="28" t="e">
        <f>#REF!*2</f>
        <v>#REF!</v>
      </c>
      <c r="DF71" s="28" t="e">
        <f>#REF!</f>
        <v>#REF!</v>
      </c>
      <c r="DG71" s="28" t="e">
        <f>#REF!*2</f>
        <v>#REF!</v>
      </c>
      <c r="DH71" s="28" t="e">
        <f>#REF!</f>
        <v>#REF!</v>
      </c>
      <c r="DI71" s="28" t="e">
        <f>#REF!*2</f>
        <v>#REF!</v>
      </c>
      <c r="DJ71" s="28" t="e">
        <f>#REF!</f>
        <v>#REF!</v>
      </c>
      <c r="DK71" s="28" t="e">
        <f>#REF!*2</f>
        <v>#REF!</v>
      </c>
      <c r="DL71" s="28" t="e">
        <f>#REF!</f>
        <v>#REF!</v>
      </c>
      <c r="DM71" s="28" t="e">
        <f>#REF!*2</f>
        <v>#REF!</v>
      </c>
      <c r="DN71" s="27"/>
      <c r="DO71" s="26" t="str" cm="1">
        <f t="array" ref="DO71">_xlfn.IFS(
   OR(CH71="",ISBLANK(CH71),CH71=0),0,
   ISNUMBER(MATCH(CH71,{2,3,5,7,11,13,17,19,23,29,31,37,41,43},0)),"소",
   AND(ISNUMBER(CH71),MOD(CH71,3)=0),"배",
   AND(ISNUMBER(CH71),CH71&gt;0),"자"
)</f>
        <v>자</v>
      </c>
      <c r="DP71" s="26" t="str" cm="1">
        <f t="array" ref="DP71">_xlfn.IFS(
   OR(CI71="",ISBLANK(CI71),CI71=0),0,
   ISNUMBER(MATCH(CI71,{2,3,5,7,11,13,17,19,23,29,31,37,41,43},0)),"소",
   AND(ISNUMBER(CI71),MOD(CI71,3)=0),"배",
   AND(ISNUMBER(CI71),CI71&gt;0),"자"
)</f>
        <v>자</v>
      </c>
      <c r="DQ71" s="26" t="str" cm="1">
        <f t="array" ref="DQ71">_xlfn.IFS(
   OR(CJ71="",ISBLANK(CJ71),CJ71=0),0,
   ISNUMBER(MATCH(CJ71,{2,3,5,7,11,13,17,19,23,29,31,37,41,43},0)),"소",
   AND(ISNUMBER(CJ71),MOD(CJ71,3)=0),"배",
   AND(ISNUMBER(CJ71),CJ71&gt;0),"자"
)</f>
        <v>소</v>
      </c>
      <c r="DR71" s="26" t="str" cm="1">
        <f t="array" ref="DR71">_xlfn.IFS(
   OR(CK71="",ISBLANK(CK71),CK71=0),0,
   ISNUMBER(MATCH(CK71,{2,3,5,7,11,13,17,19,23,29,31,37,41,43},0)),"소",
   AND(ISNUMBER(CK71),MOD(CK71,3)=0),"배",
   AND(ISNUMBER(CK71),CK71&gt;0),"자"
)</f>
        <v>자</v>
      </c>
      <c r="DS71" s="26" t="str" cm="1">
        <f t="array" ref="DS71">_xlfn.IFS(
   OR(CL71="",ISBLANK(CL71),CL71=0),0,
   ISNUMBER(MATCH(CL71,{2,3,5,7,11,13,17,19,23,29,31,37,41,43},0)),"소",
   AND(ISNUMBER(CL71),MOD(CL71,3)=0),"배",
   AND(ISNUMBER(CL71),CL71&gt;0),"자"
)</f>
        <v>자</v>
      </c>
      <c r="DT71" s="25"/>
    </row>
    <row r="72" spans="2:124" x14ac:dyDescent="0.3">
      <c r="B72" s="3">
        <v>1</v>
      </c>
      <c r="C72" s="3">
        <v>9</v>
      </c>
      <c r="D72" s="3">
        <v>10</v>
      </c>
      <c r="E72" s="3">
        <v>13</v>
      </c>
      <c r="F72" s="3">
        <v>35</v>
      </c>
      <c r="G72" s="3">
        <v>44</v>
      </c>
      <c r="H72" s="32"/>
      <c r="I72" s="3">
        <f t="shared" si="40"/>
        <v>1</v>
      </c>
      <c r="J72" s="3">
        <f t="shared" si="41"/>
        <v>1</v>
      </c>
      <c r="K72" s="3">
        <f t="shared" si="42"/>
        <v>2</v>
      </c>
      <c r="L72" s="3">
        <f t="shared" si="43"/>
        <v>1</v>
      </c>
      <c r="M72" s="3">
        <f t="shared" si="44"/>
        <v>1</v>
      </c>
      <c r="N72" s="3">
        <f t="shared" si="45"/>
        <v>2</v>
      </c>
      <c r="O72" s="32"/>
      <c r="P72" s="3" cm="1">
        <f t="array" ref="P72">SUMPRODUCT(--(MOD(B72:G72,2)=1))</f>
        <v>4</v>
      </c>
      <c r="Q72" s="3">
        <f t="shared" si="46"/>
        <v>2</v>
      </c>
      <c r="R72" s="34"/>
      <c r="S72" s="3">
        <f t="shared" si="47"/>
        <v>4</v>
      </c>
      <c r="T72" s="3">
        <f t="shared" si="48"/>
        <v>2</v>
      </c>
      <c r="U72" s="34"/>
      <c r="V72" s="3" cm="1">
        <f t="array" ref="V72">SUMPRODUCT(--(MOD(B72:G72,10)&gt;=1), --(MOD(B72:G72,10)&lt;=5))</f>
        <v>4</v>
      </c>
      <c r="W72" s="3">
        <f t="shared" si="49"/>
        <v>2</v>
      </c>
      <c r="X72" s="34"/>
      <c r="Y72" s="3" cm="1">
        <f t="array" ref="Y72">IFERROR(COUNT(_xlfn._xlws.FILTER(B72:G72, ISNUMBER(MATCH(B72:G72, {2,3,5,7,11,13,17,19,23,29,31,37,41,43}, 0)))), 0)</f>
        <v>1</v>
      </c>
      <c r="Z72" s="3" cm="1">
        <f t="array" ref="Z72">IFERROR(COUNT(_xlfn._xlws.FILTER(B72:G72, ISNUMBER(MATCH(B72:G72, {1,4,8,10,14,16,20,22,25,26,28,32,34,35,38,40,44}, 0)))), 0)</f>
        <v>4</v>
      </c>
      <c r="AA72" s="3" cm="1">
        <f t="array" ref="AA72">IFERROR(COUNT(_xlfn._xlws.FILTER(B72:G72, ISNUMBER(MATCH(B72:G72, {6,9,12,15,18,21,24,27,30,33,36,39,42,45}, 0)))), 0)</f>
        <v>1</v>
      </c>
      <c r="AB72" s="30"/>
      <c r="AC72" s="26" t="str" cm="1">
        <f t="array" ref="AC72">_xlfn.IFS(
   OR(B72="",ISBLANK(B72),B72=0),0,
   ISNUMBER(MATCH(B72,{2,3,5,7,11,13,17,19,23,29,31,37,41,43},0)),"소",
   AND(ISNUMBER(B72),MOD(B72,3)=0),"배",
   AND(ISNUMBER(B72),B72&gt;0),"자"
)</f>
        <v>자</v>
      </c>
      <c r="AD72" s="26" t="str" cm="1">
        <f t="array" ref="AD72">_xlfn.IFS(
   OR(C72="",ISBLANK(C72),C72=0),0,
   ISNUMBER(MATCH(C72,{2,3,5,7,11,13,17,19,23,29,31,37,41,43},0)),"소",
   AND(ISNUMBER(C72),MOD(C72,3)=0),"배",
   AND(ISNUMBER(C72),C72&gt;0),"자"
)</f>
        <v>배</v>
      </c>
      <c r="AE72" s="26" t="str" cm="1">
        <f t="array" ref="AE72">_xlfn.IFS(
   OR(D72="",ISBLANK(D72),D72=0),0,
   ISNUMBER(MATCH(D72,{2,3,5,7,11,13,17,19,23,29,31,37,41,43},0)),"소",
   AND(ISNUMBER(D72),MOD(D72,3)=0),"배",
   AND(ISNUMBER(D72),D72&gt;0),"자"
)</f>
        <v>자</v>
      </c>
      <c r="AF72" s="26" t="str" cm="1">
        <f t="array" ref="AF72">_xlfn.IFS(
   OR(E72="",ISBLANK(E72),E72=0),0,
   ISNUMBER(MATCH(E72,{2,3,5,7,11,13,17,19,23,29,31,37,41,43},0)),"소",
   AND(ISNUMBER(E72),MOD(E72,3)=0),"배",
   AND(ISNUMBER(E72),E72&gt;0),"자"
)</f>
        <v>소</v>
      </c>
      <c r="AG72" s="26" t="str" cm="1">
        <f t="array" ref="AG72">_xlfn.IFS(
   OR(F72="",ISBLANK(F72),F72=0),0,
   ISNUMBER(MATCH(F72,{2,3,5,7,11,13,17,19,23,29,31,37,41,43},0)),"소",
   AND(ISNUMBER(F72),MOD(F72,3)=0),"배",
   AND(ISNUMBER(F72),F72&gt;0),"자"
)</f>
        <v>자</v>
      </c>
      <c r="AH72" s="26" t="str" cm="1">
        <f t="array" ref="AH72">_xlfn.IFS(
   OR(G72="",ISBLANK(G72),G72=0),0,
   ISNUMBER(MATCH(G72,{2,3,5,7,11,13,17,19,23,29,31,37,41,43},0)),"소",
   AND(ISNUMBER(G72),MOD(G72,3)=0),"배",
   AND(ISNUMBER(G72),G72&gt;0),"자"
)</f>
        <v>자</v>
      </c>
      <c r="AI72" s="30"/>
      <c r="AJ72" s="3">
        <f t="shared" si="50"/>
        <v>4</v>
      </c>
      <c r="AK72" s="3">
        <f t="shared" si="51"/>
        <v>0</v>
      </c>
      <c r="AL72" s="3">
        <f t="shared" si="52"/>
        <v>2</v>
      </c>
      <c r="AM72" s="33"/>
      <c r="AN72" s="3">
        <f t="shared" si="53"/>
        <v>2</v>
      </c>
      <c r="AO72" s="3">
        <f t="shared" si="54"/>
        <v>2</v>
      </c>
      <c r="AP72" s="3">
        <f t="shared" si="55"/>
        <v>0</v>
      </c>
      <c r="AQ72" s="3">
        <f t="shared" si="56"/>
        <v>1</v>
      </c>
      <c r="AR72" s="3">
        <f t="shared" si="57"/>
        <v>1</v>
      </c>
      <c r="AS72" s="28" t="e">
        <f>#REF!</f>
        <v>#REF!</v>
      </c>
      <c r="AT72" s="28" t="e">
        <f>#REF!*2</f>
        <v>#REF!</v>
      </c>
      <c r="AU72" s="28" t="e">
        <f>#REF!</f>
        <v>#REF!</v>
      </c>
      <c r="AV72" s="28" t="e">
        <f>#REF!*2</f>
        <v>#REF!</v>
      </c>
      <c r="AW72" s="28" t="e">
        <f>#REF!</f>
        <v>#REF!</v>
      </c>
      <c r="AX72" s="28" t="e">
        <f>#REF!*2</f>
        <v>#REF!</v>
      </c>
      <c r="AY72" s="28" t="e">
        <f>#REF!</f>
        <v>#REF!</v>
      </c>
      <c r="AZ72" s="28" t="e">
        <f>#REF!*2</f>
        <v>#REF!</v>
      </c>
      <c r="BA72" s="28" t="e">
        <f>#REF!</f>
        <v>#REF!</v>
      </c>
      <c r="BB72" s="28" t="e">
        <f>#REF!*2</f>
        <v>#REF!</v>
      </c>
      <c r="BC72" s="28" t="e">
        <f>#REF!</f>
        <v>#REF!</v>
      </c>
      <c r="BD72" s="28" t="e">
        <f>#REF!*2</f>
        <v>#REF!</v>
      </c>
      <c r="BE72" s="9" t="e">
        <f>#REF!-#REF!</f>
        <v>#REF!</v>
      </c>
      <c r="BF72" s="9" t="e">
        <f>#REF!-#REF!</f>
        <v>#REF!</v>
      </c>
      <c r="BG72" s="9" t="e">
        <f>#REF!-#REF!</f>
        <v>#REF!</v>
      </c>
      <c r="BH72" s="9" t="e">
        <f>#REF!-#REF!</f>
        <v>#REF!</v>
      </c>
      <c r="BI72" s="9" t="e">
        <f>#REF!-#REF!</f>
        <v>#REF!</v>
      </c>
      <c r="BJ72" s="33"/>
      <c r="BK72" s="3">
        <f t="shared" si="58"/>
        <v>2</v>
      </c>
      <c r="BL72" s="3">
        <f t="shared" si="59"/>
        <v>2</v>
      </c>
      <c r="BM72" s="3">
        <f t="shared" si="60"/>
        <v>0</v>
      </c>
      <c r="BN72" s="3">
        <f t="shared" si="61"/>
        <v>1</v>
      </c>
      <c r="BO72" s="3">
        <f t="shared" si="62"/>
        <v>1</v>
      </c>
      <c r="BP72" s="28" t="e">
        <f>#REF!</f>
        <v>#REF!</v>
      </c>
      <c r="BQ72" s="28" t="e">
        <f>#REF!*2</f>
        <v>#REF!</v>
      </c>
      <c r="BR72" s="28" t="e">
        <f>#REF!</f>
        <v>#REF!</v>
      </c>
      <c r="BS72" s="28" t="e">
        <f>#REF!*2</f>
        <v>#REF!</v>
      </c>
      <c r="BT72" s="28" t="e">
        <f>#REF!</f>
        <v>#REF!</v>
      </c>
      <c r="BU72" s="28" t="e">
        <f>#REF!*2</f>
        <v>#REF!</v>
      </c>
      <c r="BV72" s="28" t="e">
        <f>#REF!</f>
        <v>#REF!</v>
      </c>
      <c r="BW72" s="28" t="e">
        <f>#REF!*2</f>
        <v>#REF!</v>
      </c>
      <c r="BX72" s="28" t="e">
        <f>#REF!</f>
        <v>#REF!</v>
      </c>
      <c r="BY72" s="28" t="e">
        <f>#REF!*2</f>
        <v>#REF!</v>
      </c>
      <c r="BZ72" s="28" t="e">
        <f>#REF!</f>
        <v>#REF!</v>
      </c>
      <c r="CA72" s="28" t="e">
        <f>#REF!*2</f>
        <v>#REF!</v>
      </c>
      <c r="CB72" s="9">
        <f t="shared" si="63"/>
        <v>8</v>
      </c>
      <c r="CC72" s="9">
        <f t="shared" si="64"/>
        <v>1</v>
      </c>
      <c r="CD72" s="9">
        <f t="shared" si="65"/>
        <v>3</v>
      </c>
      <c r="CE72" s="9">
        <f t="shared" si="66"/>
        <v>22</v>
      </c>
      <c r="CF72" s="9">
        <f t="shared" si="67"/>
        <v>9</v>
      </c>
      <c r="CG72" s="33"/>
      <c r="CH72" s="9">
        <f t="shared" si="68"/>
        <v>8</v>
      </c>
      <c r="CI72" s="9">
        <f t="shared" si="69"/>
        <v>1</v>
      </c>
      <c r="CJ72" s="9">
        <f t="shared" si="70"/>
        <v>3</v>
      </c>
      <c r="CK72" s="9">
        <f t="shared" si="71"/>
        <v>22</v>
      </c>
      <c r="CL72" s="9">
        <f t="shared" si="72"/>
        <v>9</v>
      </c>
      <c r="CM72" s="32"/>
      <c r="CN72" s="3">
        <f t="shared" si="73"/>
        <v>2</v>
      </c>
      <c r="CO72" s="3">
        <f t="shared" si="74"/>
        <v>1</v>
      </c>
      <c r="CP72" s="3">
        <f t="shared" si="75"/>
        <v>1</v>
      </c>
      <c r="CQ72" s="3">
        <f t="shared" si="76"/>
        <v>2</v>
      </c>
      <c r="CR72" s="3">
        <f t="shared" si="77"/>
        <v>1</v>
      </c>
      <c r="CS72" s="31"/>
      <c r="CT72" s="3" cm="1">
        <f t="array" ref="CT72">SUMPRODUCT(--(MOD(CH72:CL72,2)=1))</f>
        <v>3</v>
      </c>
      <c r="CU72" s="3">
        <f t="shared" si="78"/>
        <v>2</v>
      </c>
      <c r="CV72" s="30"/>
      <c r="CW72" s="3" cm="1">
        <f t="array" ref="CW72">SUMPRODUCT(--(MOD(CH72:CL72,10)&gt;=1), --(MOD(CH72:CL72,10)&lt;=5))</f>
        <v>3</v>
      </c>
      <c r="CX72" s="3">
        <f t="shared" si="79"/>
        <v>2</v>
      </c>
      <c r="CY72" s="30"/>
      <c r="CZ72" s="3" cm="1">
        <f t="array" ref="CZ72">IFERROR(COUNT(_xlfn._xlws.FILTER(CH72:CL72, ISNUMBER(MATCH(CH72:CL72, {2,3,5,7,11,13,17,19,23,29,31,37,41,43}, 0)))), 0)</f>
        <v>1</v>
      </c>
      <c r="DA72" s="3" cm="1">
        <f t="array" ref="DA72">IFERROR(COUNT(_xlfn._xlws.FILTER(CH72:CL72, ISNUMBER(MATCH(CH72:CL72, {1,4,8,10,14,16,20,22,25,26,28,32,34,35,38,40,44}, 0)))), 0)</f>
        <v>3</v>
      </c>
      <c r="DB72" s="3" cm="1">
        <f t="array" ref="DB72">IFERROR(COUNT(_xlfn._xlws.FILTER(CH72:CL72, ISNUMBER(MATCH(CH72:CL72, {6,9,12,15,18,21,24,27,30,33,36,39,42,45}, 0)))), 0)</f>
        <v>1</v>
      </c>
      <c r="DC72" s="29"/>
      <c r="DD72" s="28" t="e">
        <f>#REF!</f>
        <v>#REF!</v>
      </c>
      <c r="DE72" s="28" t="e">
        <f>#REF!*2</f>
        <v>#REF!</v>
      </c>
      <c r="DF72" s="28" t="e">
        <f>#REF!</f>
        <v>#REF!</v>
      </c>
      <c r="DG72" s="28" t="e">
        <f>#REF!*2</f>
        <v>#REF!</v>
      </c>
      <c r="DH72" s="28" t="e">
        <f>#REF!</f>
        <v>#REF!</v>
      </c>
      <c r="DI72" s="28" t="e">
        <f>#REF!*2</f>
        <v>#REF!</v>
      </c>
      <c r="DJ72" s="28" t="e">
        <f>#REF!</f>
        <v>#REF!</v>
      </c>
      <c r="DK72" s="28" t="e">
        <f>#REF!*2</f>
        <v>#REF!</v>
      </c>
      <c r="DL72" s="28" t="e">
        <f>#REF!</f>
        <v>#REF!</v>
      </c>
      <c r="DM72" s="28" t="e">
        <f>#REF!*2</f>
        <v>#REF!</v>
      </c>
      <c r="DN72" s="27"/>
      <c r="DO72" s="26" t="str" cm="1">
        <f t="array" ref="DO72">_xlfn.IFS(
   OR(CH72="",ISBLANK(CH72),CH72=0),0,
   ISNUMBER(MATCH(CH72,{2,3,5,7,11,13,17,19,23,29,31,37,41,43},0)),"소",
   AND(ISNUMBER(CH72),MOD(CH72,3)=0),"배",
   AND(ISNUMBER(CH72),CH72&gt;0),"자"
)</f>
        <v>자</v>
      </c>
      <c r="DP72" s="26" t="str" cm="1">
        <f t="array" ref="DP72">_xlfn.IFS(
   OR(CI72="",ISBLANK(CI72),CI72=0),0,
   ISNUMBER(MATCH(CI72,{2,3,5,7,11,13,17,19,23,29,31,37,41,43},0)),"소",
   AND(ISNUMBER(CI72),MOD(CI72,3)=0),"배",
   AND(ISNUMBER(CI72),CI72&gt;0),"자"
)</f>
        <v>자</v>
      </c>
      <c r="DQ72" s="26" t="str" cm="1">
        <f t="array" ref="DQ72">_xlfn.IFS(
   OR(CJ72="",ISBLANK(CJ72),CJ72=0),0,
   ISNUMBER(MATCH(CJ72,{2,3,5,7,11,13,17,19,23,29,31,37,41,43},0)),"소",
   AND(ISNUMBER(CJ72),MOD(CJ72,3)=0),"배",
   AND(ISNUMBER(CJ72),CJ72&gt;0),"자"
)</f>
        <v>소</v>
      </c>
      <c r="DR72" s="26" t="str" cm="1">
        <f t="array" ref="DR72">_xlfn.IFS(
   OR(CK72="",ISBLANK(CK72),CK72=0),0,
   ISNUMBER(MATCH(CK72,{2,3,5,7,11,13,17,19,23,29,31,37,41,43},0)),"소",
   AND(ISNUMBER(CK72),MOD(CK72,3)=0),"배",
   AND(ISNUMBER(CK72),CK72&gt;0),"자"
)</f>
        <v>자</v>
      </c>
      <c r="DS72" s="26" t="str" cm="1">
        <f t="array" ref="DS72">_xlfn.IFS(
   OR(CL72="",ISBLANK(CL72),CL72=0),0,
   ISNUMBER(MATCH(CL72,{2,3,5,7,11,13,17,19,23,29,31,37,41,43},0)),"소",
   AND(ISNUMBER(CL72),MOD(CL72,3)=0),"배",
   AND(ISNUMBER(CL72),CL72&gt;0),"자"
)</f>
        <v>배</v>
      </c>
      <c r="DT72" s="25"/>
    </row>
    <row r="73" spans="2:124" x14ac:dyDescent="0.3">
      <c r="B73" s="3">
        <v>4</v>
      </c>
      <c r="C73" s="3">
        <v>8</v>
      </c>
      <c r="D73" s="3">
        <v>22</v>
      </c>
      <c r="E73" s="3">
        <v>26</v>
      </c>
      <c r="F73" s="3">
        <v>32</v>
      </c>
      <c r="G73" s="3">
        <v>38</v>
      </c>
      <c r="H73" s="32"/>
      <c r="I73" s="3">
        <f t="shared" si="40"/>
        <v>2</v>
      </c>
      <c r="J73" s="3">
        <f t="shared" si="41"/>
        <v>2</v>
      </c>
      <c r="K73" s="3">
        <f t="shared" si="42"/>
        <v>2</v>
      </c>
      <c r="L73" s="3">
        <f t="shared" si="43"/>
        <v>2</v>
      </c>
      <c r="M73" s="3">
        <f t="shared" si="44"/>
        <v>2</v>
      </c>
      <c r="N73" s="3">
        <f t="shared" si="45"/>
        <v>2</v>
      </c>
      <c r="O73" s="32"/>
      <c r="P73" s="3" cm="1">
        <f t="array" ref="P73">SUMPRODUCT(--(MOD(B73:G73,2)=1))</f>
        <v>0</v>
      </c>
      <c r="Q73" s="3">
        <f t="shared" si="46"/>
        <v>6</v>
      </c>
      <c r="R73" s="34"/>
      <c r="S73" s="3">
        <f t="shared" si="47"/>
        <v>3</v>
      </c>
      <c r="T73" s="3">
        <f t="shared" si="48"/>
        <v>3</v>
      </c>
      <c r="U73" s="34"/>
      <c r="V73" s="3" cm="1">
        <f t="array" ref="V73">SUMPRODUCT(--(MOD(B73:G73,10)&gt;=1), --(MOD(B73:G73,10)&lt;=5))</f>
        <v>3</v>
      </c>
      <c r="W73" s="3">
        <f t="shared" si="49"/>
        <v>3</v>
      </c>
      <c r="X73" s="34"/>
      <c r="Y73" s="3" cm="1">
        <f t="array" ref="Y73">IFERROR(COUNT(_xlfn._xlws.FILTER(B73:G73, ISNUMBER(MATCH(B73:G73, {2,3,5,7,11,13,17,19,23,29,31,37,41,43}, 0)))), 0)</f>
        <v>0</v>
      </c>
      <c r="Z73" s="3" cm="1">
        <f t="array" ref="Z73">IFERROR(COUNT(_xlfn._xlws.FILTER(B73:G73, ISNUMBER(MATCH(B73:G73, {1,4,8,10,14,16,20,22,25,26,28,32,34,35,38,40,44}, 0)))), 0)</f>
        <v>6</v>
      </c>
      <c r="AA73" s="3" cm="1">
        <f t="array" ref="AA73">IFERROR(COUNT(_xlfn._xlws.FILTER(B73:G73, ISNUMBER(MATCH(B73:G73, {6,9,12,15,18,21,24,27,30,33,36,39,42,45}, 0)))), 0)</f>
        <v>0</v>
      </c>
      <c r="AB73" s="30"/>
      <c r="AC73" s="26" t="str" cm="1">
        <f t="array" ref="AC73">_xlfn.IFS(
   OR(B73="",ISBLANK(B73),B73=0),0,
   ISNUMBER(MATCH(B73,{2,3,5,7,11,13,17,19,23,29,31,37,41,43},0)),"소",
   AND(ISNUMBER(B73),MOD(B73,3)=0),"배",
   AND(ISNUMBER(B73),B73&gt;0),"자"
)</f>
        <v>자</v>
      </c>
      <c r="AD73" s="26" t="str" cm="1">
        <f t="array" ref="AD73">_xlfn.IFS(
   OR(C73="",ISBLANK(C73),C73=0),0,
   ISNUMBER(MATCH(C73,{2,3,5,7,11,13,17,19,23,29,31,37,41,43},0)),"소",
   AND(ISNUMBER(C73),MOD(C73,3)=0),"배",
   AND(ISNUMBER(C73),C73&gt;0),"자"
)</f>
        <v>자</v>
      </c>
      <c r="AE73" s="26" t="str" cm="1">
        <f t="array" ref="AE73">_xlfn.IFS(
   OR(D73="",ISBLANK(D73),D73=0),0,
   ISNUMBER(MATCH(D73,{2,3,5,7,11,13,17,19,23,29,31,37,41,43},0)),"소",
   AND(ISNUMBER(D73),MOD(D73,3)=0),"배",
   AND(ISNUMBER(D73),D73&gt;0),"자"
)</f>
        <v>자</v>
      </c>
      <c r="AF73" s="26" t="str" cm="1">
        <f t="array" ref="AF73">_xlfn.IFS(
   OR(E73="",ISBLANK(E73),E73=0),0,
   ISNUMBER(MATCH(E73,{2,3,5,7,11,13,17,19,23,29,31,37,41,43},0)),"소",
   AND(ISNUMBER(E73),MOD(E73,3)=0),"배",
   AND(ISNUMBER(E73),E73&gt;0),"자"
)</f>
        <v>자</v>
      </c>
      <c r="AG73" s="26" t="str" cm="1">
        <f t="array" ref="AG73">_xlfn.IFS(
   OR(F73="",ISBLANK(F73),F73=0),0,
   ISNUMBER(MATCH(F73,{2,3,5,7,11,13,17,19,23,29,31,37,41,43},0)),"소",
   AND(ISNUMBER(F73),MOD(F73,3)=0),"배",
   AND(ISNUMBER(F73),F73&gt;0),"자"
)</f>
        <v>자</v>
      </c>
      <c r="AH73" s="26" t="str" cm="1">
        <f t="array" ref="AH73">_xlfn.IFS(
   OR(G73="",ISBLANK(G73),G73=0),0,
   ISNUMBER(MATCH(G73,{2,3,5,7,11,13,17,19,23,29,31,37,41,43},0)),"소",
   AND(ISNUMBER(G73),MOD(G73,3)=0),"배",
   AND(ISNUMBER(G73),G73&gt;0),"자"
)</f>
        <v>자</v>
      </c>
      <c r="AI73" s="30"/>
      <c r="AJ73" s="3">
        <f t="shared" si="50"/>
        <v>2</v>
      </c>
      <c r="AK73" s="3">
        <f t="shared" si="51"/>
        <v>2</v>
      </c>
      <c r="AL73" s="3">
        <f t="shared" si="52"/>
        <v>2</v>
      </c>
      <c r="AM73" s="33"/>
      <c r="AN73" s="3">
        <f t="shared" si="53"/>
        <v>2</v>
      </c>
      <c r="AO73" s="3">
        <f t="shared" si="54"/>
        <v>0</v>
      </c>
      <c r="AP73" s="3">
        <f t="shared" si="55"/>
        <v>2</v>
      </c>
      <c r="AQ73" s="3">
        <f t="shared" si="56"/>
        <v>1</v>
      </c>
      <c r="AR73" s="3">
        <f t="shared" si="57"/>
        <v>1</v>
      </c>
      <c r="AS73" s="28" t="e">
        <f>#REF!</f>
        <v>#REF!</v>
      </c>
      <c r="AT73" s="28" t="e">
        <f>#REF!*2</f>
        <v>#REF!</v>
      </c>
      <c r="AU73" s="28" t="e">
        <f>#REF!</f>
        <v>#REF!</v>
      </c>
      <c r="AV73" s="28" t="e">
        <f>#REF!*2</f>
        <v>#REF!</v>
      </c>
      <c r="AW73" s="28" t="e">
        <f>#REF!</f>
        <v>#REF!</v>
      </c>
      <c r="AX73" s="28" t="e">
        <f>#REF!*2</f>
        <v>#REF!</v>
      </c>
      <c r="AY73" s="28" t="e">
        <f>#REF!</f>
        <v>#REF!</v>
      </c>
      <c r="AZ73" s="28" t="e">
        <f>#REF!*2</f>
        <v>#REF!</v>
      </c>
      <c r="BA73" s="28" t="e">
        <f>#REF!</f>
        <v>#REF!</v>
      </c>
      <c r="BB73" s="28" t="e">
        <f>#REF!*2</f>
        <v>#REF!</v>
      </c>
      <c r="BC73" s="28" t="e">
        <f>#REF!</f>
        <v>#REF!</v>
      </c>
      <c r="BD73" s="28" t="e">
        <f>#REF!*2</f>
        <v>#REF!</v>
      </c>
      <c r="BE73" s="9" t="e">
        <f>#REF!-#REF!</f>
        <v>#REF!</v>
      </c>
      <c r="BF73" s="9" t="e">
        <f>#REF!-#REF!</f>
        <v>#REF!</v>
      </c>
      <c r="BG73" s="9" t="e">
        <f>#REF!-#REF!</f>
        <v>#REF!</v>
      </c>
      <c r="BH73" s="9" t="e">
        <f>#REF!-#REF!</f>
        <v>#REF!</v>
      </c>
      <c r="BI73" s="9" t="e">
        <f>#REF!-#REF!</f>
        <v>#REF!</v>
      </c>
      <c r="BJ73" s="33"/>
      <c r="BK73" s="3">
        <f t="shared" si="58"/>
        <v>2</v>
      </c>
      <c r="BL73" s="3">
        <f t="shared" si="59"/>
        <v>0</v>
      </c>
      <c r="BM73" s="3">
        <f t="shared" si="60"/>
        <v>2</v>
      </c>
      <c r="BN73" s="3">
        <f t="shared" si="61"/>
        <v>2</v>
      </c>
      <c r="BO73" s="3">
        <f t="shared" si="62"/>
        <v>0</v>
      </c>
      <c r="BP73" s="28" t="e">
        <f>#REF!</f>
        <v>#REF!</v>
      </c>
      <c r="BQ73" s="28" t="e">
        <f>#REF!*2</f>
        <v>#REF!</v>
      </c>
      <c r="BR73" s="28" t="e">
        <f>#REF!</f>
        <v>#REF!</v>
      </c>
      <c r="BS73" s="28" t="e">
        <f>#REF!*2</f>
        <v>#REF!</v>
      </c>
      <c r="BT73" s="28" t="e">
        <f>#REF!</f>
        <v>#REF!</v>
      </c>
      <c r="BU73" s="28" t="e">
        <f>#REF!*2</f>
        <v>#REF!</v>
      </c>
      <c r="BV73" s="28" t="e">
        <f>#REF!</f>
        <v>#REF!</v>
      </c>
      <c r="BW73" s="28" t="e">
        <f>#REF!*2</f>
        <v>#REF!</v>
      </c>
      <c r="BX73" s="28" t="e">
        <f>#REF!</f>
        <v>#REF!</v>
      </c>
      <c r="BY73" s="28" t="e">
        <f>#REF!*2</f>
        <v>#REF!</v>
      </c>
      <c r="BZ73" s="28" t="e">
        <f>#REF!</f>
        <v>#REF!</v>
      </c>
      <c r="CA73" s="28" t="e">
        <f>#REF!*2</f>
        <v>#REF!</v>
      </c>
      <c r="CB73" s="9">
        <f t="shared" si="63"/>
        <v>4</v>
      </c>
      <c r="CC73" s="9">
        <f t="shared" si="64"/>
        <v>14</v>
      </c>
      <c r="CD73" s="9">
        <f t="shared" si="65"/>
        <v>4</v>
      </c>
      <c r="CE73" s="9">
        <f t="shared" si="66"/>
        <v>6</v>
      </c>
      <c r="CF73" s="9">
        <f t="shared" si="67"/>
        <v>6</v>
      </c>
      <c r="CG73" s="33"/>
      <c r="CH73" s="9">
        <f t="shared" si="68"/>
        <v>4</v>
      </c>
      <c r="CI73" s="9">
        <f t="shared" si="69"/>
        <v>14</v>
      </c>
      <c r="CJ73" s="9">
        <f t="shared" si="70"/>
        <v>4</v>
      </c>
      <c r="CK73" s="9">
        <f t="shared" si="71"/>
        <v>6</v>
      </c>
      <c r="CL73" s="9">
        <f t="shared" si="72"/>
        <v>6</v>
      </c>
      <c r="CM73" s="32"/>
      <c r="CN73" s="3">
        <f t="shared" si="73"/>
        <v>2</v>
      </c>
      <c r="CO73" s="3">
        <f t="shared" si="74"/>
        <v>2</v>
      </c>
      <c r="CP73" s="3">
        <f t="shared" si="75"/>
        <v>2</v>
      </c>
      <c r="CQ73" s="3">
        <f t="shared" si="76"/>
        <v>2</v>
      </c>
      <c r="CR73" s="3">
        <f t="shared" si="77"/>
        <v>2</v>
      </c>
      <c r="CS73" s="31"/>
      <c r="CT73" s="3" cm="1">
        <f t="array" ref="CT73">SUMPRODUCT(--(MOD(CH73:CL73,2)=1))</f>
        <v>0</v>
      </c>
      <c r="CU73" s="3">
        <f t="shared" si="78"/>
        <v>5</v>
      </c>
      <c r="CV73" s="30"/>
      <c r="CW73" s="3" cm="1">
        <f t="array" ref="CW73">SUMPRODUCT(--(MOD(CH73:CL73,10)&gt;=1), --(MOD(CH73:CL73,10)&lt;=5))</f>
        <v>3</v>
      </c>
      <c r="CX73" s="3">
        <f t="shared" si="79"/>
        <v>2</v>
      </c>
      <c r="CY73" s="30"/>
      <c r="CZ73" s="3" cm="1">
        <f t="array" ref="CZ73">IFERROR(COUNT(_xlfn._xlws.FILTER(CH73:CL73, ISNUMBER(MATCH(CH73:CL73, {2,3,5,7,11,13,17,19,23,29,31,37,41,43}, 0)))), 0)</f>
        <v>0</v>
      </c>
      <c r="DA73" s="3" cm="1">
        <f t="array" ref="DA73">IFERROR(COUNT(_xlfn._xlws.FILTER(CH73:CL73, ISNUMBER(MATCH(CH73:CL73, {1,4,8,10,14,16,20,22,25,26,28,32,34,35,38,40,44}, 0)))), 0)</f>
        <v>3</v>
      </c>
      <c r="DB73" s="3" cm="1">
        <f t="array" ref="DB73">IFERROR(COUNT(_xlfn._xlws.FILTER(CH73:CL73, ISNUMBER(MATCH(CH73:CL73, {6,9,12,15,18,21,24,27,30,33,36,39,42,45}, 0)))), 0)</f>
        <v>2</v>
      </c>
      <c r="DC73" s="29"/>
      <c r="DD73" s="28" t="e">
        <f>#REF!</f>
        <v>#REF!</v>
      </c>
      <c r="DE73" s="28" t="e">
        <f>#REF!*2</f>
        <v>#REF!</v>
      </c>
      <c r="DF73" s="28" t="e">
        <f>#REF!</f>
        <v>#REF!</v>
      </c>
      <c r="DG73" s="28" t="e">
        <f>#REF!*2</f>
        <v>#REF!</v>
      </c>
      <c r="DH73" s="28" t="e">
        <f>#REF!</f>
        <v>#REF!</v>
      </c>
      <c r="DI73" s="28" t="e">
        <f>#REF!*2</f>
        <v>#REF!</v>
      </c>
      <c r="DJ73" s="28" t="e">
        <f>#REF!</f>
        <v>#REF!</v>
      </c>
      <c r="DK73" s="28" t="e">
        <f>#REF!*2</f>
        <v>#REF!</v>
      </c>
      <c r="DL73" s="28" t="e">
        <f>#REF!</f>
        <v>#REF!</v>
      </c>
      <c r="DM73" s="28" t="e">
        <f>#REF!*2</f>
        <v>#REF!</v>
      </c>
      <c r="DN73" s="27"/>
      <c r="DO73" s="26" t="str" cm="1">
        <f t="array" ref="DO73">_xlfn.IFS(
   OR(CH73="",ISBLANK(CH73),CH73=0),0,
   ISNUMBER(MATCH(CH73,{2,3,5,7,11,13,17,19,23,29,31,37,41,43},0)),"소",
   AND(ISNUMBER(CH73),MOD(CH73,3)=0),"배",
   AND(ISNUMBER(CH73),CH73&gt;0),"자"
)</f>
        <v>자</v>
      </c>
      <c r="DP73" s="26" t="str" cm="1">
        <f t="array" ref="DP73">_xlfn.IFS(
   OR(CI73="",ISBLANK(CI73),CI73=0),0,
   ISNUMBER(MATCH(CI73,{2,3,5,7,11,13,17,19,23,29,31,37,41,43},0)),"소",
   AND(ISNUMBER(CI73),MOD(CI73,3)=0),"배",
   AND(ISNUMBER(CI73),CI73&gt;0),"자"
)</f>
        <v>자</v>
      </c>
      <c r="DQ73" s="26" t="str" cm="1">
        <f t="array" ref="DQ73">_xlfn.IFS(
   OR(CJ73="",ISBLANK(CJ73),CJ73=0),0,
   ISNUMBER(MATCH(CJ73,{2,3,5,7,11,13,17,19,23,29,31,37,41,43},0)),"소",
   AND(ISNUMBER(CJ73),MOD(CJ73,3)=0),"배",
   AND(ISNUMBER(CJ73),CJ73&gt;0),"자"
)</f>
        <v>자</v>
      </c>
      <c r="DR73" s="26" t="str" cm="1">
        <f t="array" ref="DR73">_xlfn.IFS(
   OR(CK73="",ISBLANK(CK73),CK73=0),0,
   ISNUMBER(MATCH(CK73,{2,3,5,7,11,13,17,19,23,29,31,37,41,43},0)),"소",
   AND(ISNUMBER(CK73),MOD(CK73,3)=0),"배",
   AND(ISNUMBER(CK73),CK73&gt;0),"자"
)</f>
        <v>배</v>
      </c>
      <c r="DS73" s="26" t="str" cm="1">
        <f t="array" ref="DS73">_xlfn.IFS(
   OR(CL73="",ISBLANK(CL73),CL73=0),0,
   ISNUMBER(MATCH(CL73,{2,3,5,7,11,13,17,19,23,29,31,37,41,43},0)),"소",
   AND(ISNUMBER(CL73),MOD(CL73,3)=0),"배",
   AND(ISNUMBER(CL73),CL73&gt;0),"자"
)</f>
        <v>배</v>
      </c>
      <c r="DT73" s="25"/>
    </row>
    <row r="74" spans="2:124" x14ac:dyDescent="0.3">
      <c r="B74" s="3">
        <v>10</v>
      </c>
      <c r="C74" s="3">
        <v>16</v>
      </c>
      <c r="D74" s="3">
        <v>19</v>
      </c>
      <c r="E74" s="3">
        <v>27</v>
      </c>
      <c r="F74" s="3">
        <v>37</v>
      </c>
      <c r="G74" s="3">
        <v>38</v>
      </c>
      <c r="H74" s="32"/>
      <c r="I74" s="3">
        <f t="shared" si="40"/>
        <v>2</v>
      </c>
      <c r="J74" s="3">
        <f t="shared" si="41"/>
        <v>2</v>
      </c>
      <c r="K74" s="3">
        <f t="shared" si="42"/>
        <v>1</v>
      </c>
      <c r="L74" s="3">
        <f t="shared" si="43"/>
        <v>1</v>
      </c>
      <c r="M74" s="3">
        <f t="shared" si="44"/>
        <v>1</v>
      </c>
      <c r="N74" s="3">
        <f t="shared" si="45"/>
        <v>2</v>
      </c>
      <c r="O74" s="32"/>
      <c r="P74" s="3" cm="1">
        <f t="array" ref="P74">SUMPRODUCT(--(MOD(B74:G74,2)=1))</f>
        <v>3</v>
      </c>
      <c r="Q74" s="3">
        <f t="shared" si="46"/>
        <v>3</v>
      </c>
      <c r="R74" s="34"/>
      <c r="S74" s="3">
        <f t="shared" si="47"/>
        <v>3</v>
      </c>
      <c r="T74" s="3">
        <f t="shared" si="48"/>
        <v>3</v>
      </c>
      <c r="U74" s="34"/>
      <c r="V74" s="3" cm="1">
        <f t="array" ref="V74">SUMPRODUCT(--(MOD(B74:G74,10)&gt;=1), --(MOD(B74:G74,10)&lt;=5))</f>
        <v>0</v>
      </c>
      <c r="W74" s="3">
        <f t="shared" si="49"/>
        <v>6</v>
      </c>
      <c r="X74" s="34"/>
      <c r="Y74" s="3" cm="1">
        <f t="array" ref="Y74">IFERROR(COUNT(_xlfn._xlws.FILTER(B74:G74, ISNUMBER(MATCH(B74:G74, {2,3,5,7,11,13,17,19,23,29,31,37,41,43}, 0)))), 0)</f>
        <v>2</v>
      </c>
      <c r="Z74" s="3" cm="1">
        <f t="array" ref="Z74">IFERROR(COUNT(_xlfn._xlws.FILTER(B74:G74, ISNUMBER(MATCH(B74:G74, {1,4,8,10,14,16,20,22,25,26,28,32,34,35,38,40,44}, 0)))), 0)</f>
        <v>3</v>
      </c>
      <c r="AA74" s="3" cm="1">
        <f t="array" ref="AA74">IFERROR(COUNT(_xlfn._xlws.FILTER(B74:G74, ISNUMBER(MATCH(B74:G74, {6,9,12,15,18,21,24,27,30,33,36,39,42,45}, 0)))), 0)</f>
        <v>1</v>
      </c>
      <c r="AB74" s="30"/>
      <c r="AC74" s="26" t="str" cm="1">
        <f t="array" ref="AC74">_xlfn.IFS(
   OR(B74="",ISBLANK(B74),B74=0),0,
   ISNUMBER(MATCH(B74,{2,3,5,7,11,13,17,19,23,29,31,37,41,43},0)),"소",
   AND(ISNUMBER(B74),MOD(B74,3)=0),"배",
   AND(ISNUMBER(B74),B74&gt;0),"자"
)</f>
        <v>자</v>
      </c>
      <c r="AD74" s="26" t="str" cm="1">
        <f t="array" ref="AD74">_xlfn.IFS(
   OR(C74="",ISBLANK(C74),C74=0),0,
   ISNUMBER(MATCH(C74,{2,3,5,7,11,13,17,19,23,29,31,37,41,43},0)),"소",
   AND(ISNUMBER(C74),MOD(C74,3)=0),"배",
   AND(ISNUMBER(C74),C74&gt;0),"자"
)</f>
        <v>자</v>
      </c>
      <c r="AE74" s="26" t="str" cm="1">
        <f t="array" ref="AE74">_xlfn.IFS(
   OR(D74="",ISBLANK(D74),D74=0),0,
   ISNUMBER(MATCH(D74,{2,3,5,7,11,13,17,19,23,29,31,37,41,43},0)),"소",
   AND(ISNUMBER(D74),MOD(D74,3)=0),"배",
   AND(ISNUMBER(D74),D74&gt;0),"자"
)</f>
        <v>소</v>
      </c>
      <c r="AF74" s="26" t="str" cm="1">
        <f t="array" ref="AF74">_xlfn.IFS(
   OR(E74="",ISBLANK(E74),E74=0),0,
   ISNUMBER(MATCH(E74,{2,3,5,7,11,13,17,19,23,29,31,37,41,43},0)),"소",
   AND(ISNUMBER(E74),MOD(E74,3)=0),"배",
   AND(ISNUMBER(E74),E74&gt;0),"자"
)</f>
        <v>배</v>
      </c>
      <c r="AG74" s="26" t="str" cm="1">
        <f t="array" ref="AG74">_xlfn.IFS(
   OR(F74="",ISBLANK(F74),F74=0),0,
   ISNUMBER(MATCH(F74,{2,3,5,7,11,13,17,19,23,29,31,37,41,43},0)),"소",
   AND(ISNUMBER(F74),MOD(F74,3)=0),"배",
   AND(ISNUMBER(F74),F74&gt;0),"자"
)</f>
        <v>소</v>
      </c>
      <c r="AH74" s="26" t="str" cm="1">
        <f t="array" ref="AH74">_xlfn.IFS(
   OR(G74="",ISBLANK(G74),G74=0),0,
   ISNUMBER(MATCH(G74,{2,3,5,7,11,13,17,19,23,29,31,37,41,43},0)),"소",
   AND(ISNUMBER(G74),MOD(G74,3)=0),"배",
   AND(ISNUMBER(G74),G74&gt;0),"자"
)</f>
        <v>자</v>
      </c>
      <c r="AI74" s="30"/>
      <c r="AJ74" s="3">
        <f t="shared" si="50"/>
        <v>1</v>
      </c>
      <c r="AK74" s="3">
        <f t="shared" si="51"/>
        <v>3</v>
      </c>
      <c r="AL74" s="3">
        <f t="shared" si="52"/>
        <v>2</v>
      </c>
      <c r="AM74" s="33"/>
      <c r="AN74" s="3">
        <f t="shared" si="53"/>
        <v>0</v>
      </c>
      <c r="AO74" s="3">
        <f t="shared" si="54"/>
        <v>2</v>
      </c>
      <c r="AP74" s="3">
        <f t="shared" si="55"/>
        <v>2</v>
      </c>
      <c r="AQ74" s="3">
        <f t="shared" si="56"/>
        <v>0</v>
      </c>
      <c r="AR74" s="3">
        <f t="shared" si="57"/>
        <v>2</v>
      </c>
      <c r="AS74" s="28" t="e">
        <f>#REF!</f>
        <v>#REF!</v>
      </c>
      <c r="AT74" s="28" t="e">
        <f>#REF!*2</f>
        <v>#REF!</v>
      </c>
      <c r="AU74" s="28" t="e">
        <f>#REF!</f>
        <v>#REF!</v>
      </c>
      <c r="AV74" s="28" t="e">
        <f>#REF!*2</f>
        <v>#REF!</v>
      </c>
      <c r="AW74" s="28" t="e">
        <f>#REF!</f>
        <v>#REF!</v>
      </c>
      <c r="AX74" s="28" t="e">
        <f>#REF!*2</f>
        <v>#REF!</v>
      </c>
      <c r="AY74" s="28" t="e">
        <f>#REF!</f>
        <v>#REF!</v>
      </c>
      <c r="AZ74" s="28" t="e">
        <f>#REF!*2</f>
        <v>#REF!</v>
      </c>
      <c r="BA74" s="28" t="e">
        <f>#REF!</f>
        <v>#REF!</v>
      </c>
      <c r="BB74" s="28" t="e">
        <f>#REF!*2</f>
        <v>#REF!</v>
      </c>
      <c r="BC74" s="28" t="e">
        <f>#REF!</f>
        <v>#REF!</v>
      </c>
      <c r="BD74" s="28" t="e">
        <f>#REF!*2</f>
        <v>#REF!</v>
      </c>
      <c r="BE74" s="9" t="e">
        <f>#REF!-#REF!</f>
        <v>#REF!</v>
      </c>
      <c r="BF74" s="9" t="e">
        <f>#REF!-#REF!</f>
        <v>#REF!</v>
      </c>
      <c r="BG74" s="9" t="e">
        <f>#REF!-#REF!</f>
        <v>#REF!</v>
      </c>
      <c r="BH74" s="9" t="e">
        <f>#REF!-#REF!</f>
        <v>#REF!</v>
      </c>
      <c r="BI74" s="9" t="e">
        <f>#REF!-#REF!</f>
        <v>#REF!</v>
      </c>
      <c r="BJ74" s="33"/>
      <c r="BK74" s="3">
        <f t="shared" si="58"/>
        <v>0</v>
      </c>
      <c r="BL74" s="3">
        <f t="shared" si="59"/>
        <v>3</v>
      </c>
      <c r="BM74" s="3">
        <f t="shared" si="60"/>
        <v>1</v>
      </c>
      <c r="BN74" s="3">
        <f t="shared" si="61"/>
        <v>2</v>
      </c>
      <c r="BO74" s="3">
        <f t="shared" si="62"/>
        <v>0</v>
      </c>
      <c r="BP74" s="28" t="e">
        <f>#REF!</f>
        <v>#REF!</v>
      </c>
      <c r="BQ74" s="28" t="e">
        <f>#REF!*2</f>
        <v>#REF!</v>
      </c>
      <c r="BR74" s="28" t="e">
        <f>#REF!</f>
        <v>#REF!</v>
      </c>
      <c r="BS74" s="28" t="e">
        <f>#REF!*2</f>
        <v>#REF!</v>
      </c>
      <c r="BT74" s="28" t="e">
        <f>#REF!</f>
        <v>#REF!</v>
      </c>
      <c r="BU74" s="28" t="e">
        <f>#REF!*2</f>
        <v>#REF!</v>
      </c>
      <c r="BV74" s="28" t="e">
        <f>#REF!</f>
        <v>#REF!</v>
      </c>
      <c r="BW74" s="28" t="e">
        <f>#REF!*2</f>
        <v>#REF!</v>
      </c>
      <c r="BX74" s="28" t="e">
        <f>#REF!</f>
        <v>#REF!</v>
      </c>
      <c r="BY74" s="28" t="e">
        <f>#REF!*2</f>
        <v>#REF!</v>
      </c>
      <c r="BZ74" s="28" t="e">
        <f>#REF!</f>
        <v>#REF!</v>
      </c>
      <c r="CA74" s="28" t="e">
        <f>#REF!*2</f>
        <v>#REF!</v>
      </c>
      <c r="CB74" s="9">
        <f t="shared" si="63"/>
        <v>6</v>
      </c>
      <c r="CC74" s="9">
        <f t="shared" si="64"/>
        <v>3</v>
      </c>
      <c r="CD74" s="9">
        <f t="shared" si="65"/>
        <v>8</v>
      </c>
      <c r="CE74" s="9">
        <f t="shared" si="66"/>
        <v>10</v>
      </c>
      <c r="CF74" s="9">
        <f t="shared" si="67"/>
        <v>1</v>
      </c>
      <c r="CG74" s="33"/>
      <c r="CH74" s="9">
        <f t="shared" si="68"/>
        <v>6</v>
      </c>
      <c r="CI74" s="9">
        <f t="shared" si="69"/>
        <v>3</v>
      </c>
      <c r="CJ74" s="9">
        <f t="shared" si="70"/>
        <v>8</v>
      </c>
      <c r="CK74" s="9">
        <f t="shared" si="71"/>
        <v>10</v>
      </c>
      <c r="CL74" s="9">
        <f t="shared" si="72"/>
        <v>1</v>
      </c>
      <c r="CM74" s="32"/>
      <c r="CN74" s="3">
        <f t="shared" si="73"/>
        <v>2</v>
      </c>
      <c r="CO74" s="3">
        <f t="shared" si="74"/>
        <v>1</v>
      </c>
      <c r="CP74" s="3">
        <f t="shared" si="75"/>
        <v>2</v>
      </c>
      <c r="CQ74" s="3">
        <f t="shared" si="76"/>
        <v>2</v>
      </c>
      <c r="CR74" s="3">
        <f t="shared" si="77"/>
        <v>1</v>
      </c>
      <c r="CS74" s="31"/>
      <c r="CT74" s="3" cm="1">
        <f t="array" ref="CT74">SUMPRODUCT(--(MOD(CH74:CL74,2)=1))</f>
        <v>2</v>
      </c>
      <c r="CU74" s="3">
        <f t="shared" si="78"/>
        <v>3</v>
      </c>
      <c r="CV74" s="30"/>
      <c r="CW74" s="3" cm="1">
        <f t="array" ref="CW74">SUMPRODUCT(--(MOD(CH74:CL74,10)&gt;=1), --(MOD(CH74:CL74,10)&lt;=5))</f>
        <v>2</v>
      </c>
      <c r="CX74" s="3">
        <f t="shared" si="79"/>
        <v>3</v>
      </c>
      <c r="CY74" s="30"/>
      <c r="CZ74" s="3" cm="1">
        <f t="array" ref="CZ74">IFERROR(COUNT(_xlfn._xlws.FILTER(CH74:CL74, ISNUMBER(MATCH(CH74:CL74, {2,3,5,7,11,13,17,19,23,29,31,37,41,43}, 0)))), 0)</f>
        <v>1</v>
      </c>
      <c r="DA74" s="3" cm="1">
        <f t="array" ref="DA74">IFERROR(COUNT(_xlfn._xlws.FILTER(CH74:CL74, ISNUMBER(MATCH(CH74:CL74, {1,4,8,10,14,16,20,22,25,26,28,32,34,35,38,40,44}, 0)))), 0)</f>
        <v>3</v>
      </c>
      <c r="DB74" s="3" cm="1">
        <f t="array" ref="DB74">IFERROR(COUNT(_xlfn._xlws.FILTER(CH74:CL74, ISNUMBER(MATCH(CH74:CL74, {6,9,12,15,18,21,24,27,30,33,36,39,42,45}, 0)))), 0)</f>
        <v>1</v>
      </c>
      <c r="DC74" s="29"/>
      <c r="DD74" s="28" t="e">
        <f>#REF!</f>
        <v>#REF!</v>
      </c>
      <c r="DE74" s="28" t="e">
        <f>#REF!*2</f>
        <v>#REF!</v>
      </c>
      <c r="DF74" s="28" t="e">
        <f>#REF!</f>
        <v>#REF!</v>
      </c>
      <c r="DG74" s="28" t="e">
        <f>#REF!*2</f>
        <v>#REF!</v>
      </c>
      <c r="DH74" s="28" t="e">
        <f>#REF!</f>
        <v>#REF!</v>
      </c>
      <c r="DI74" s="28" t="e">
        <f>#REF!*2</f>
        <v>#REF!</v>
      </c>
      <c r="DJ74" s="28" t="e">
        <f>#REF!</f>
        <v>#REF!</v>
      </c>
      <c r="DK74" s="28" t="e">
        <f>#REF!*2</f>
        <v>#REF!</v>
      </c>
      <c r="DL74" s="28" t="e">
        <f>#REF!</f>
        <v>#REF!</v>
      </c>
      <c r="DM74" s="28" t="e">
        <f>#REF!*2</f>
        <v>#REF!</v>
      </c>
      <c r="DN74" s="27"/>
      <c r="DO74" s="26" t="str" cm="1">
        <f t="array" ref="DO74">_xlfn.IFS(
   OR(CH74="",ISBLANK(CH74),CH74=0),0,
   ISNUMBER(MATCH(CH74,{2,3,5,7,11,13,17,19,23,29,31,37,41,43},0)),"소",
   AND(ISNUMBER(CH74),MOD(CH74,3)=0),"배",
   AND(ISNUMBER(CH74),CH74&gt;0),"자"
)</f>
        <v>배</v>
      </c>
      <c r="DP74" s="26" t="str" cm="1">
        <f t="array" ref="DP74">_xlfn.IFS(
   OR(CI74="",ISBLANK(CI74),CI74=0),0,
   ISNUMBER(MATCH(CI74,{2,3,5,7,11,13,17,19,23,29,31,37,41,43},0)),"소",
   AND(ISNUMBER(CI74),MOD(CI74,3)=0),"배",
   AND(ISNUMBER(CI74),CI74&gt;0),"자"
)</f>
        <v>소</v>
      </c>
      <c r="DQ74" s="26" t="str" cm="1">
        <f t="array" ref="DQ74">_xlfn.IFS(
   OR(CJ74="",ISBLANK(CJ74),CJ74=0),0,
   ISNUMBER(MATCH(CJ74,{2,3,5,7,11,13,17,19,23,29,31,37,41,43},0)),"소",
   AND(ISNUMBER(CJ74),MOD(CJ74,3)=0),"배",
   AND(ISNUMBER(CJ74),CJ74&gt;0),"자"
)</f>
        <v>자</v>
      </c>
      <c r="DR74" s="26" t="str" cm="1">
        <f t="array" ref="DR74">_xlfn.IFS(
   OR(CK74="",ISBLANK(CK74),CK74=0),0,
   ISNUMBER(MATCH(CK74,{2,3,5,7,11,13,17,19,23,29,31,37,41,43},0)),"소",
   AND(ISNUMBER(CK74),MOD(CK74,3)=0),"배",
   AND(ISNUMBER(CK74),CK74&gt;0),"자"
)</f>
        <v>자</v>
      </c>
      <c r="DS74" s="26" t="str" cm="1">
        <f t="array" ref="DS74">_xlfn.IFS(
   OR(CL74="",ISBLANK(CL74),CL74=0),0,
   ISNUMBER(MATCH(CL74,{2,3,5,7,11,13,17,19,23,29,31,37,41,43},0)),"소",
   AND(ISNUMBER(CL74),MOD(CL74,3)=0),"배",
   AND(ISNUMBER(CL74),CL74&gt;0),"자"
)</f>
        <v>자</v>
      </c>
      <c r="DT74" s="25"/>
    </row>
    <row r="75" spans="2:124" x14ac:dyDescent="0.3">
      <c r="B75" s="3">
        <v>30</v>
      </c>
      <c r="C75" s="3">
        <v>31</v>
      </c>
      <c r="D75" s="3">
        <v>34</v>
      </c>
      <c r="E75" s="3">
        <v>39</v>
      </c>
      <c r="F75" s="3">
        <v>41</v>
      </c>
      <c r="G75" s="3">
        <v>45</v>
      </c>
      <c r="H75" s="32"/>
      <c r="I75" s="3">
        <f t="shared" si="40"/>
        <v>2</v>
      </c>
      <c r="J75" s="3">
        <f t="shared" si="41"/>
        <v>1</v>
      </c>
      <c r="K75" s="3">
        <f t="shared" si="42"/>
        <v>2</v>
      </c>
      <c r="L75" s="3">
        <f t="shared" si="43"/>
        <v>1</v>
      </c>
      <c r="M75" s="3">
        <f t="shared" si="44"/>
        <v>1</v>
      </c>
      <c r="N75" s="3">
        <f t="shared" si="45"/>
        <v>1</v>
      </c>
      <c r="O75" s="32"/>
      <c r="P75" s="3" cm="1">
        <f t="array" ref="P75">SUMPRODUCT(--(MOD(B75:G75,2)=1))</f>
        <v>4</v>
      </c>
      <c r="Q75" s="3">
        <f t="shared" si="46"/>
        <v>2</v>
      </c>
      <c r="R75" s="34"/>
      <c r="S75" s="3">
        <f t="shared" si="47"/>
        <v>0</v>
      </c>
      <c r="T75" s="3">
        <f t="shared" si="48"/>
        <v>6</v>
      </c>
      <c r="U75" s="34"/>
      <c r="V75" s="3" cm="1">
        <f t="array" ref="V75">SUMPRODUCT(--(MOD(B75:G75,10)&gt;=1), --(MOD(B75:G75,10)&lt;=5))</f>
        <v>4</v>
      </c>
      <c r="W75" s="3">
        <f t="shared" si="49"/>
        <v>2</v>
      </c>
      <c r="X75" s="34"/>
      <c r="Y75" s="3" cm="1">
        <f t="array" ref="Y75">IFERROR(COUNT(_xlfn._xlws.FILTER(B75:G75, ISNUMBER(MATCH(B75:G75, {2,3,5,7,11,13,17,19,23,29,31,37,41,43}, 0)))), 0)</f>
        <v>2</v>
      </c>
      <c r="Z75" s="3" cm="1">
        <f t="array" ref="Z75">IFERROR(COUNT(_xlfn._xlws.FILTER(B75:G75, ISNUMBER(MATCH(B75:G75, {1,4,8,10,14,16,20,22,25,26,28,32,34,35,38,40,44}, 0)))), 0)</f>
        <v>1</v>
      </c>
      <c r="AA75" s="3" cm="1">
        <f t="array" ref="AA75">IFERROR(COUNT(_xlfn._xlws.FILTER(B75:G75, ISNUMBER(MATCH(B75:G75, {6,9,12,15,18,21,24,27,30,33,36,39,42,45}, 0)))), 0)</f>
        <v>3</v>
      </c>
      <c r="AB75" s="30"/>
      <c r="AC75" s="26" t="str" cm="1">
        <f t="array" ref="AC75">_xlfn.IFS(
   OR(B75="",ISBLANK(B75),B75=0),0,
   ISNUMBER(MATCH(B75,{2,3,5,7,11,13,17,19,23,29,31,37,41,43},0)),"소",
   AND(ISNUMBER(B75),MOD(B75,3)=0),"배",
   AND(ISNUMBER(B75),B75&gt;0),"자"
)</f>
        <v>배</v>
      </c>
      <c r="AD75" s="26" t="str" cm="1">
        <f t="array" ref="AD75">_xlfn.IFS(
   OR(C75="",ISBLANK(C75),C75=0),0,
   ISNUMBER(MATCH(C75,{2,3,5,7,11,13,17,19,23,29,31,37,41,43},0)),"소",
   AND(ISNUMBER(C75),MOD(C75,3)=0),"배",
   AND(ISNUMBER(C75),C75&gt;0),"자"
)</f>
        <v>소</v>
      </c>
      <c r="AE75" s="26" t="str" cm="1">
        <f t="array" ref="AE75">_xlfn.IFS(
   OR(D75="",ISBLANK(D75),D75=0),0,
   ISNUMBER(MATCH(D75,{2,3,5,7,11,13,17,19,23,29,31,37,41,43},0)),"소",
   AND(ISNUMBER(D75),MOD(D75,3)=0),"배",
   AND(ISNUMBER(D75),D75&gt;0),"자"
)</f>
        <v>자</v>
      </c>
      <c r="AF75" s="26" t="str" cm="1">
        <f t="array" ref="AF75">_xlfn.IFS(
   OR(E75="",ISBLANK(E75),E75=0),0,
   ISNUMBER(MATCH(E75,{2,3,5,7,11,13,17,19,23,29,31,37,41,43},0)),"소",
   AND(ISNUMBER(E75),MOD(E75,3)=0),"배",
   AND(ISNUMBER(E75),E75&gt;0),"자"
)</f>
        <v>배</v>
      </c>
      <c r="AG75" s="26" t="str" cm="1">
        <f t="array" ref="AG75">_xlfn.IFS(
   OR(F75="",ISBLANK(F75),F75=0),0,
   ISNUMBER(MATCH(F75,{2,3,5,7,11,13,17,19,23,29,31,37,41,43},0)),"소",
   AND(ISNUMBER(F75),MOD(F75,3)=0),"배",
   AND(ISNUMBER(F75),F75&gt;0),"자"
)</f>
        <v>소</v>
      </c>
      <c r="AH75" s="26" t="str" cm="1">
        <f t="array" ref="AH75">_xlfn.IFS(
   OR(G75="",ISBLANK(G75),G75=0),0,
   ISNUMBER(MATCH(G75,{2,3,5,7,11,13,17,19,23,29,31,37,41,43},0)),"소",
   AND(ISNUMBER(G75),MOD(G75,3)=0),"배",
   AND(ISNUMBER(G75),G75&gt;0),"자"
)</f>
        <v>배</v>
      </c>
      <c r="AI75" s="30"/>
      <c r="AJ75" s="3">
        <f t="shared" si="50"/>
        <v>0</v>
      </c>
      <c r="AK75" s="3">
        <f t="shared" si="51"/>
        <v>2</v>
      </c>
      <c r="AL75" s="3">
        <f t="shared" si="52"/>
        <v>4</v>
      </c>
      <c r="AM75" s="33"/>
      <c r="AN75" s="3">
        <f t="shared" si="53"/>
        <v>0</v>
      </c>
      <c r="AO75" s="3">
        <f t="shared" si="54"/>
        <v>0</v>
      </c>
      <c r="AP75" s="3">
        <f t="shared" si="55"/>
        <v>0</v>
      </c>
      <c r="AQ75" s="3">
        <f t="shared" si="56"/>
        <v>3</v>
      </c>
      <c r="AR75" s="3">
        <f t="shared" si="57"/>
        <v>3</v>
      </c>
      <c r="AS75" s="28" t="e">
        <f>#REF!</f>
        <v>#REF!</v>
      </c>
      <c r="AT75" s="28" t="e">
        <f>#REF!*2</f>
        <v>#REF!</v>
      </c>
      <c r="AU75" s="28" t="e">
        <f>#REF!</f>
        <v>#REF!</v>
      </c>
      <c r="AV75" s="28" t="e">
        <f>#REF!*2</f>
        <v>#REF!</v>
      </c>
      <c r="AW75" s="28" t="e">
        <f>#REF!</f>
        <v>#REF!</v>
      </c>
      <c r="AX75" s="28" t="e">
        <f>#REF!*2</f>
        <v>#REF!</v>
      </c>
      <c r="AY75" s="28" t="e">
        <f>#REF!</f>
        <v>#REF!</v>
      </c>
      <c r="AZ75" s="28" t="e">
        <f>#REF!*2</f>
        <v>#REF!</v>
      </c>
      <c r="BA75" s="28" t="e">
        <f>#REF!</f>
        <v>#REF!</v>
      </c>
      <c r="BB75" s="28" t="e">
        <f>#REF!*2</f>
        <v>#REF!</v>
      </c>
      <c r="BC75" s="28" t="e">
        <f>#REF!</f>
        <v>#REF!</v>
      </c>
      <c r="BD75" s="28" t="e">
        <f>#REF!*2</f>
        <v>#REF!</v>
      </c>
      <c r="BE75" s="9" t="e">
        <f>#REF!-#REF!</f>
        <v>#REF!</v>
      </c>
      <c r="BF75" s="9" t="e">
        <f>#REF!-#REF!</f>
        <v>#REF!</v>
      </c>
      <c r="BG75" s="9" t="e">
        <f>#REF!-#REF!</f>
        <v>#REF!</v>
      </c>
      <c r="BH75" s="9" t="e">
        <f>#REF!-#REF!</f>
        <v>#REF!</v>
      </c>
      <c r="BI75" s="9" t="e">
        <f>#REF!-#REF!</f>
        <v>#REF!</v>
      </c>
      <c r="BJ75" s="33"/>
      <c r="BK75" s="3">
        <f t="shared" si="58"/>
        <v>0</v>
      </c>
      <c r="BL75" s="3">
        <f t="shared" si="59"/>
        <v>0</v>
      </c>
      <c r="BM75" s="3">
        <f t="shared" si="60"/>
        <v>0</v>
      </c>
      <c r="BN75" s="3">
        <f t="shared" si="61"/>
        <v>4</v>
      </c>
      <c r="BO75" s="3">
        <f t="shared" si="62"/>
        <v>2</v>
      </c>
      <c r="BP75" s="28" t="e">
        <f>#REF!</f>
        <v>#REF!</v>
      </c>
      <c r="BQ75" s="28" t="e">
        <f>#REF!*2</f>
        <v>#REF!</v>
      </c>
      <c r="BR75" s="28" t="e">
        <f>#REF!</f>
        <v>#REF!</v>
      </c>
      <c r="BS75" s="28" t="e">
        <f>#REF!*2</f>
        <v>#REF!</v>
      </c>
      <c r="BT75" s="28" t="e">
        <f>#REF!</f>
        <v>#REF!</v>
      </c>
      <c r="BU75" s="28" t="e">
        <f>#REF!*2</f>
        <v>#REF!</v>
      </c>
      <c r="BV75" s="28" t="e">
        <f>#REF!</f>
        <v>#REF!</v>
      </c>
      <c r="BW75" s="28" t="e">
        <f>#REF!*2</f>
        <v>#REF!</v>
      </c>
      <c r="BX75" s="28" t="e">
        <f>#REF!</f>
        <v>#REF!</v>
      </c>
      <c r="BY75" s="28" t="e">
        <f>#REF!*2</f>
        <v>#REF!</v>
      </c>
      <c r="BZ75" s="28" t="e">
        <f>#REF!</f>
        <v>#REF!</v>
      </c>
      <c r="CA75" s="28" t="e">
        <f>#REF!*2</f>
        <v>#REF!</v>
      </c>
      <c r="CB75" s="9">
        <f t="shared" si="63"/>
        <v>1</v>
      </c>
      <c r="CC75" s="9">
        <f t="shared" si="64"/>
        <v>3</v>
      </c>
      <c r="CD75" s="9">
        <f t="shared" si="65"/>
        <v>5</v>
      </c>
      <c r="CE75" s="9">
        <f t="shared" si="66"/>
        <v>2</v>
      </c>
      <c r="CF75" s="9">
        <f t="shared" si="67"/>
        <v>4</v>
      </c>
      <c r="CG75" s="33"/>
      <c r="CH75" s="9">
        <f t="shared" si="68"/>
        <v>1</v>
      </c>
      <c r="CI75" s="9">
        <f t="shared" si="69"/>
        <v>3</v>
      </c>
      <c r="CJ75" s="9">
        <f t="shared" si="70"/>
        <v>5</v>
      </c>
      <c r="CK75" s="9">
        <f t="shared" si="71"/>
        <v>2</v>
      </c>
      <c r="CL75" s="9">
        <f t="shared" si="72"/>
        <v>4</v>
      </c>
      <c r="CM75" s="32"/>
      <c r="CN75" s="3">
        <f t="shared" si="73"/>
        <v>1</v>
      </c>
      <c r="CO75" s="3">
        <f t="shared" si="74"/>
        <v>1</v>
      </c>
      <c r="CP75" s="3">
        <f t="shared" si="75"/>
        <v>1</v>
      </c>
      <c r="CQ75" s="3">
        <f t="shared" si="76"/>
        <v>2</v>
      </c>
      <c r="CR75" s="3">
        <f t="shared" si="77"/>
        <v>2</v>
      </c>
      <c r="CS75" s="31"/>
      <c r="CT75" s="3" cm="1">
        <f t="array" ref="CT75">SUMPRODUCT(--(MOD(CH75:CL75,2)=1))</f>
        <v>3</v>
      </c>
      <c r="CU75" s="3">
        <f t="shared" si="78"/>
        <v>2</v>
      </c>
      <c r="CV75" s="30"/>
      <c r="CW75" s="3" cm="1">
        <f t="array" ref="CW75">SUMPRODUCT(--(MOD(CH75:CL75,10)&gt;=1), --(MOD(CH75:CL75,10)&lt;=5))</f>
        <v>5</v>
      </c>
      <c r="CX75" s="3">
        <f t="shared" si="79"/>
        <v>0</v>
      </c>
      <c r="CY75" s="30"/>
      <c r="CZ75" s="3" cm="1">
        <f t="array" ref="CZ75">IFERROR(COUNT(_xlfn._xlws.FILTER(CH75:CL75, ISNUMBER(MATCH(CH75:CL75, {2,3,5,7,11,13,17,19,23,29,31,37,41,43}, 0)))), 0)</f>
        <v>3</v>
      </c>
      <c r="DA75" s="3" cm="1">
        <f t="array" ref="DA75">IFERROR(COUNT(_xlfn._xlws.FILTER(CH75:CL75, ISNUMBER(MATCH(CH75:CL75, {1,4,8,10,14,16,20,22,25,26,28,32,34,35,38,40,44}, 0)))), 0)</f>
        <v>2</v>
      </c>
      <c r="DB75" s="3" cm="1">
        <f t="array" ref="DB75">IFERROR(COUNT(_xlfn._xlws.FILTER(CH75:CL75, ISNUMBER(MATCH(CH75:CL75, {6,9,12,15,18,21,24,27,30,33,36,39,42,45}, 0)))), 0)</f>
        <v>0</v>
      </c>
      <c r="DC75" s="29"/>
      <c r="DD75" s="28" t="e">
        <f>#REF!</f>
        <v>#REF!</v>
      </c>
      <c r="DE75" s="28" t="e">
        <f>#REF!*2</f>
        <v>#REF!</v>
      </c>
      <c r="DF75" s="28" t="e">
        <f>#REF!</f>
        <v>#REF!</v>
      </c>
      <c r="DG75" s="28" t="e">
        <f>#REF!*2</f>
        <v>#REF!</v>
      </c>
      <c r="DH75" s="28" t="e">
        <f>#REF!</f>
        <v>#REF!</v>
      </c>
      <c r="DI75" s="28" t="e">
        <f>#REF!*2</f>
        <v>#REF!</v>
      </c>
      <c r="DJ75" s="28" t="e">
        <f>#REF!</f>
        <v>#REF!</v>
      </c>
      <c r="DK75" s="28" t="e">
        <f>#REF!*2</f>
        <v>#REF!</v>
      </c>
      <c r="DL75" s="28" t="e">
        <f>#REF!</f>
        <v>#REF!</v>
      </c>
      <c r="DM75" s="28" t="e">
        <f>#REF!*2</f>
        <v>#REF!</v>
      </c>
      <c r="DN75" s="27"/>
      <c r="DO75" s="26" t="str" cm="1">
        <f t="array" ref="DO75">_xlfn.IFS(
   OR(CH75="",ISBLANK(CH75),CH75=0),0,
   ISNUMBER(MATCH(CH75,{2,3,5,7,11,13,17,19,23,29,31,37,41,43},0)),"소",
   AND(ISNUMBER(CH75),MOD(CH75,3)=0),"배",
   AND(ISNUMBER(CH75),CH75&gt;0),"자"
)</f>
        <v>자</v>
      </c>
      <c r="DP75" s="26" t="str" cm="1">
        <f t="array" ref="DP75">_xlfn.IFS(
   OR(CI75="",ISBLANK(CI75),CI75=0),0,
   ISNUMBER(MATCH(CI75,{2,3,5,7,11,13,17,19,23,29,31,37,41,43},0)),"소",
   AND(ISNUMBER(CI75),MOD(CI75,3)=0),"배",
   AND(ISNUMBER(CI75),CI75&gt;0),"자"
)</f>
        <v>소</v>
      </c>
      <c r="DQ75" s="26" t="str" cm="1">
        <f t="array" ref="DQ75">_xlfn.IFS(
   OR(CJ75="",ISBLANK(CJ75),CJ75=0),0,
   ISNUMBER(MATCH(CJ75,{2,3,5,7,11,13,17,19,23,29,31,37,41,43},0)),"소",
   AND(ISNUMBER(CJ75),MOD(CJ75,3)=0),"배",
   AND(ISNUMBER(CJ75),CJ75&gt;0),"자"
)</f>
        <v>소</v>
      </c>
      <c r="DR75" s="26" t="str" cm="1">
        <f t="array" ref="DR75">_xlfn.IFS(
   OR(CK75="",ISBLANK(CK75),CK75=0),0,
   ISNUMBER(MATCH(CK75,{2,3,5,7,11,13,17,19,23,29,31,37,41,43},0)),"소",
   AND(ISNUMBER(CK75),MOD(CK75,3)=0),"배",
   AND(ISNUMBER(CK75),CK75&gt;0),"자"
)</f>
        <v>소</v>
      </c>
      <c r="DS75" s="26" t="str" cm="1">
        <f t="array" ref="DS75">_xlfn.IFS(
   OR(CL75="",ISBLANK(CL75),CL75=0),0,
   ISNUMBER(MATCH(CL75,{2,3,5,7,11,13,17,19,23,29,31,37,41,43},0)),"소",
   AND(ISNUMBER(CL75),MOD(CL75,3)=0),"배",
   AND(ISNUMBER(CL75),CL75&gt;0),"자"
)</f>
        <v>자</v>
      </c>
      <c r="DT75" s="25"/>
    </row>
    <row r="76" spans="2:124" x14ac:dyDescent="0.3">
      <c r="B76" s="3">
        <v>5</v>
      </c>
      <c r="C76" s="3">
        <v>7</v>
      </c>
      <c r="D76" s="3">
        <v>12</v>
      </c>
      <c r="E76" s="3">
        <v>20</v>
      </c>
      <c r="F76" s="3">
        <v>25</v>
      </c>
      <c r="G76" s="3">
        <v>26</v>
      </c>
      <c r="H76" s="32"/>
      <c r="I76" s="3">
        <f t="shared" si="40"/>
        <v>1</v>
      </c>
      <c r="J76" s="3">
        <f t="shared" si="41"/>
        <v>1</v>
      </c>
      <c r="K76" s="3">
        <f t="shared" si="42"/>
        <v>2</v>
      </c>
      <c r="L76" s="3">
        <f t="shared" si="43"/>
        <v>2</v>
      </c>
      <c r="M76" s="3">
        <f t="shared" si="44"/>
        <v>1</v>
      </c>
      <c r="N76" s="3">
        <f t="shared" si="45"/>
        <v>2</v>
      </c>
      <c r="O76" s="32"/>
      <c r="P76" s="3" cm="1">
        <f t="array" ref="P76">SUMPRODUCT(--(MOD(B76:G76,2)=1))</f>
        <v>3</v>
      </c>
      <c r="Q76" s="3">
        <f t="shared" si="46"/>
        <v>3</v>
      </c>
      <c r="R76" s="34"/>
      <c r="S76" s="3">
        <f t="shared" si="47"/>
        <v>4</v>
      </c>
      <c r="T76" s="3">
        <f t="shared" si="48"/>
        <v>2</v>
      </c>
      <c r="U76" s="34"/>
      <c r="V76" s="3" cm="1">
        <f t="array" ref="V76">SUMPRODUCT(--(MOD(B76:G76,10)&gt;=1), --(MOD(B76:G76,10)&lt;=5))</f>
        <v>3</v>
      </c>
      <c r="W76" s="3">
        <f t="shared" si="49"/>
        <v>3</v>
      </c>
      <c r="X76" s="34"/>
      <c r="Y76" s="3" cm="1">
        <f t="array" ref="Y76">IFERROR(COUNT(_xlfn._xlws.FILTER(B76:G76, ISNUMBER(MATCH(B76:G76, {2,3,5,7,11,13,17,19,23,29,31,37,41,43}, 0)))), 0)</f>
        <v>2</v>
      </c>
      <c r="Z76" s="3" cm="1">
        <f t="array" ref="Z76">IFERROR(COUNT(_xlfn._xlws.FILTER(B76:G76, ISNUMBER(MATCH(B76:G76, {1,4,8,10,14,16,20,22,25,26,28,32,34,35,38,40,44}, 0)))), 0)</f>
        <v>3</v>
      </c>
      <c r="AA76" s="3" cm="1">
        <f t="array" ref="AA76">IFERROR(COUNT(_xlfn._xlws.FILTER(B76:G76, ISNUMBER(MATCH(B76:G76, {6,9,12,15,18,21,24,27,30,33,36,39,42,45}, 0)))), 0)</f>
        <v>1</v>
      </c>
      <c r="AB76" s="30"/>
      <c r="AC76" s="26" t="str" cm="1">
        <f t="array" ref="AC76">_xlfn.IFS(
   OR(B76="",ISBLANK(B76),B76=0),0,
   ISNUMBER(MATCH(B76,{2,3,5,7,11,13,17,19,23,29,31,37,41,43},0)),"소",
   AND(ISNUMBER(B76),MOD(B76,3)=0),"배",
   AND(ISNUMBER(B76),B76&gt;0),"자"
)</f>
        <v>소</v>
      </c>
      <c r="AD76" s="26" t="str" cm="1">
        <f t="array" ref="AD76">_xlfn.IFS(
   OR(C76="",ISBLANK(C76),C76=0),0,
   ISNUMBER(MATCH(C76,{2,3,5,7,11,13,17,19,23,29,31,37,41,43},0)),"소",
   AND(ISNUMBER(C76),MOD(C76,3)=0),"배",
   AND(ISNUMBER(C76),C76&gt;0),"자"
)</f>
        <v>소</v>
      </c>
      <c r="AE76" s="26" t="str" cm="1">
        <f t="array" ref="AE76">_xlfn.IFS(
   OR(D76="",ISBLANK(D76),D76=0),0,
   ISNUMBER(MATCH(D76,{2,3,5,7,11,13,17,19,23,29,31,37,41,43},0)),"소",
   AND(ISNUMBER(D76),MOD(D76,3)=0),"배",
   AND(ISNUMBER(D76),D76&gt;0),"자"
)</f>
        <v>배</v>
      </c>
      <c r="AF76" s="26" t="str" cm="1">
        <f t="array" ref="AF76">_xlfn.IFS(
   OR(E76="",ISBLANK(E76),E76=0),0,
   ISNUMBER(MATCH(E76,{2,3,5,7,11,13,17,19,23,29,31,37,41,43},0)),"소",
   AND(ISNUMBER(E76),MOD(E76,3)=0),"배",
   AND(ISNUMBER(E76),E76&gt;0),"자"
)</f>
        <v>자</v>
      </c>
      <c r="AG76" s="26" t="str" cm="1">
        <f t="array" ref="AG76">_xlfn.IFS(
   OR(F76="",ISBLANK(F76),F76=0),0,
   ISNUMBER(MATCH(F76,{2,3,5,7,11,13,17,19,23,29,31,37,41,43},0)),"소",
   AND(ISNUMBER(F76),MOD(F76,3)=0),"배",
   AND(ISNUMBER(F76),F76&gt;0),"자"
)</f>
        <v>자</v>
      </c>
      <c r="AH76" s="26" t="str" cm="1">
        <f t="array" ref="AH76">_xlfn.IFS(
   OR(G76="",ISBLANK(G76),G76=0),0,
   ISNUMBER(MATCH(G76,{2,3,5,7,11,13,17,19,23,29,31,37,41,43},0)),"소",
   AND(ISNUMBER(G76),MOD(G76,3)=0),"배",
   AND(ISNUMBER(G76),G76&gt;0),"자"
)</f>
        <v>자</v>
      </c>
      <c r="AI76" s="30"/>
      <c r="AJ76" s="3">
        <f t="shared" si="50"/>
        <v>3</v>
      </c>
      <c r="AK76" s="3">
        <f t="shared" si="51"/>
        <v>3</v>
      </c>
      <c r="AL76" s="3">
        <f t="shared" si="52"/>
        <v>0</v>
      </c>
      <c r="AM76" s="33"/>
      <c r="AN76" s="3">
        <f t="shared" si="53"/>
        <v>2</v>
      </c>
      <c r="AO76" s="3">
        <f t="shared" si="54"/>
        <v>1</v>
      </c>
      <c r="AP76" s="3">
        <f t="shared" si="55"/>
        <v>3</v>
      </c>
      <c r="AQ76" s="3">
        <f t="shared" si="56"/>
        <v>0</v>
      </c>
      <c r="AR76" s="3">
        <f t="shared" si="57"/>
        <v>0</v>
      </c>
      <c r="AS76" s="28" t="e">
        <f>#REF!</f>
        <v>#REF!</v>
      </c>
      <c r="AT76" s="28" t="e">
        <f>#REF!*2</f>
        <v>#REF!</v>
      </c>
      <c r="AU76" s="28" t="e">
        <f>#REF!</f>
        <v>#REF!</v>
      </c>
      <c r="AV76" s="28" t="e">
        <f>#REF!*2</f>
        <v>#REF!</v>
      </c>
      <c r="AW76" s="28" t="e">
        <f>#REF!</f>
        <v>#REF!</v>
      </c>
      <c r="AX76" s="28" t="e">
        <f>#REF!*2</f>
        <v>#REF!</v>
      </c>
      <c r="AY76" s="28" t="e">
        <f>#REF!</f>
        <v>#REF!</v>
      </c>
      <c r="AZ76" s="28" t="e">
        <f>#REF!*2</f>
        <v>#REF!</v>
      </c>
      <c r="BA76" s="28" t="e">
        <f>#REF!</f>
        <v>#REF!</v>
      </c>
      <c r="BB76" s="28" t="e">
        <f>#REF!*2</f>
        <v>#REF!</v>
      </c>
      <c r="BC76" s="28" t="e">
        <f>#REF!</f>
        <v>#REF!</v>
      </c>
      <c r="BD76" s="28" t="e">
        <f>#REF!*2</f>
        <v>#REF!</v>
      </c>
      <c r="BE76" s="9" t="e">
        <f>#REF!-#REF!</f>
        <v>#REF!</v>
      </c>
      <c r="BF76" s="9" t="e">
        <f>#REF!-#REF!</f>
        <v>#REF!</v>
      </c>
      <c r="BG76" s="9" t="e">
        <f>#REF!-#REF!</f>
        <v>#REF!</v>
      </c>
      <c r="BH76" s="9" t="e">
        <f>#REF!-#REF!</f>
        <v>#REF!</v>
      </c>
      <c r="BI76" s="9" t="e">
        <f>#REF!-#REF!</f>
        <v>#REF!</v>
      </c>
      <c r="BJ76" s="33"/>
      <c r="BK76" s="3">
        <f t="shared" si="58"/>
        <v>2</v>
      </c>
      <c r="BL76" s="3">
        <f t="shared" si="59"/>
        <v>1</v>
      </c>
      <c r="BM76" s="3">
        <f t="shared" si="60"/>
        <v>3</v>
      </c>
      <c r="BN76" s="3">
        <f t="shared" si="61"/>
        <v>0</v>
      </c>
      <c r="BO76" s="3">
        <f t="shared" si="62"/>
        <v>0</v>
      </c>
      <c r="BP76" s="28" t="e">
        <f>#REF!</f>
        <v>#REF!</v>
      </c>
      <c r="BQ76" s="28" t="e">
        <f>#REF!*2</f>
        <v>#REF!</v>
      </c>
      <c r="BR76" s="28" t="e">
        <f>#REF!</f>
        <v>#REF!</v>
      </c>
      <c r="BS76" s="28" t="e">
        <f>#REF!*2</f>
        <v>#REF!</v>
      </c>
      <c r="BT76" s="28" t="e">
        <f>#REF!</f>
        <v>#REF!</v>
      </c>
      <c r="BU76" s="28" t="e">
        <f>#REF!*2</f>
        <v>#REF!</v>
      </c>
      <c r="BV76" s="28" t="e">
        <f>#REF!</f>
        <v>#REF!</v>
      </c>
      <c r="BW76" s="28" t="e">
        <f>#REF!*2</f>
        <v>#REF!</v>
      </c>
      <c r="BX76" s="28" t="e">
        <f>#REF!</f>
        <v>#REF!</v>
      </c>
      <c r="BY76" s="28" t="e">
        <f>#REF!*2</f>
        <v>#REF!</v>
      </c>
      <c r="BZ76" s="28" t="e">
        <f>#REF!</f>
        <v>#REF!</v>
      </c>
      <c r="CA76" s="28" t="e">
        <f>#REF!*2</f>
        <v>#REF!</v>
      </c>
      <c r="CB76" s="9">
        <f t="shared" si="63"/>
        <v>2</v>
      </c>
      <c r="CC76" s="9">
        <f t="shared" si="64"/>
        <v>5</v>
      </c>
      <c r="CD76" s="9">
        <f t="shared" si="65"/>
        <v>8</v>
      </c>
      <c r="CE76" s="9">
        <f t="shared" si="66"/>
        <v>5</v>
      </c>
      <c r="CF76" s="9">
        <f t="shared" si="67"/>
        <v>1</v>
      </c>
      <c r="CG76" s="33"/>
      <c r="CH76" s="9">
        <f t="shared" si="68"/>
        <v>2</v>
      </c>
      <c r="CI76" s="9">
        <f t="shared" si="69"/>
        <v>5</v>
      </c>
      <c r="CJ76" s="9">
        <f t="shared" si="70"/>
        <v>8</v>
      </c>
      <c r="CK76" s="9">
        <f t="shared" si="71"/>
        <v>5</v>
      </c>
      <c r="CL76" s="9">
        <f t="shared" si="72"/>
        <v>1</v>
      </c>
      <c r="CM76" s="32"/>
      <c r="CN76" s="3">
        <f t="shared" si="73"/>
        <v>2</v>
      </c>
      <c r="CO76" s="3">
        <f t="shared" si="74"/>
        <v>1</v>
      </c>
      <c r="CP76" s="3">
        <f t="shared" si="75"/>
        <v>2</v>
      </c>
      <c r="CQ76" s="3">
        <f t="shared" si="76"/>
        <v>1</v>
      </c>
      <c r="CR76" s="3">
        <f t="shared" si="77"/>
        <v>1</v>
      </c>
      <c r="CS76" s="31"/>
      <c r="CT76" s="3" cm="1">
        <f t="array" ref="CT76">SUMPRODUCT(--(MOD(CH76:CL76,2)=1))</f>
        <v>3</v>
      </c>
      <c r="CU76" s="3">
        <f t="shared" si="78"/>
        <v>2</v>
      </c>
      <c r="CV76" s="30"/>
      <c r="CW76" s="3" cm="1">
        <f t="array" ref="CW76">SUMPRODUCT(--(MOD(CH76:CL76,10)&gt;=1), --(MOD(CH76:CL76,10)&lt;=5))</f>
        <v>4</v>
      </c>
      <c r="CX76" s="3">
        <f t="shared" si="79"/>
        <v>1</v>
      </c>
      <c r="CY76" s="30"/>
      <c r="CZ76" s="3" cm="1">
        <f t="array" ref="CZ76">IFERROR(COUNT(_xlfn._xlws.FILTER(CH76:CL76, ISNUMBER(MATCH(CH76:CL76, {2,3,5,7,11,13,17,19,23,29,31,37,41,43}, 0)))), 0)</f>
        <v>3</v>
      </c>
      <c r="DA76" s="3" cm="1">
        <f t="array" ref="DA76">IFERROR(COUNT(_xlfn._xlws.FILTER(CH76:CL76, ISNUMBER(MATCH(CH76:CL76, {1,4,8,10,14,16,20,22,25,26,28,32,34,35,38,40,44}, 0)))), 0)</f>
        <v>2</v>
      </c>
      <c r="DB76" s="3" cm="1">
        <f t="array" ref="DB76">IFERROR(COUNT(_xlfn._xlws.FILTER(CH76:CL76, ISNUMBER(MATCH(CH76:CL76, {6,9,12,15,18,21,24,27,30,33,36,39,42,45}, 0)))), 0)</f>
        <v>0</v>
      </c>
      <c r="DC76" s="29"/>
      <c r="DD76" s="28" t="e">
        <f>#REF!</f>
        <v>#REF!</v>
      </c>
      <c r="DE76" s="28" t="e">
        <f>#REF!*2</f>
        <v>#REF!</v>
      </c>
      <c r="DF76" s="28" t="e">
        <f>#REF!</f>
        <v>#REF!</v>
      </c>
      <c r="DG76" s="28" t="e">
        <f>#REF!*2</f>
        <v>#REF!</v>
      </c>
      <c r="DH76" s="28" t="e">
        <f>#REF!</f>
        <v>#REF!</v>
      </c>
      <c r="DI76" s="28" t="e">
        <f>#REF!*2</f>
        <v>#REF!</v>
      </c>
      <c r="DJ76" s="28" t="e">
        <f>#REF!</f>
        <v>#REF!</v>
      </c>
      <c r="DK76" s="28" t="e">
        <f>#REF!*2</f>
        <v>#REF!</v>
      </c>
      <c r="DL76" s="28" t="e">
        <f>#REF!</f>
        <v>#REF!</v>
      </c>
      <c r="DM76" s="28" t="e">
        <f>#REF!*2</f>
        <v>#REF!</v>
      </c>
      <c r="DN76" s="27"/>
      <c r="DO76" s="26" t="str" cm="1">
        <f t="array" ref="DO76">_xlfn.IFS(
   OR(CH76="",ISBLANK(CH76),CH76=0),0,
   ISNUMBER(MATCH(CH76,{2,3,5,7,11,13,17,19,23,29,31,37,41,43},0)),"소",
   AND(ISNUMBER(CH76),MOD(CH76,3)=0),"배",
   AND(ISNUMBER(CH76),CH76&gt;0),"자"
)</f>
        <v>소</v>
      </c>
      <c r="DP76" s="26" t="str" cm="1">
        <f t="array" ref="DP76">_xlfn.IFS(
   OR(CI76="",ISBLANK(CI76),CI76=0),0,
   ISNUMBER(MATCH(CI76,{2,3,5,7,11,13,17,19,23,29,31,37,41,43},0)),"소",
   AND(ISNUMBER(CI76),MOD(CI76,3)=0),"배",
   AND(ISNUMBER(CI76),CI76&gt;0),"자"
)</f>
        <v>소</v>
      </c>
      <c r="DQ76" s="26" t="str" cm="1">
        <f t="array" ref="DQ76">_xlfn.IFS(
   OR(CJ76="",ISBLANK(CJ76),CJ76=0),0,
   ISNUMBER(MATCH(CJ76,{2,3,5,7,11,13,17,19,23,29,31,37,41,43},0)),"소",
   AND(ISNUMBER(CJ76),MOD(CJ76,3)=0),"배",
   AND(ISNUMBER(CJ76),CJ76&gt;0),"자"
)</f>
        <v>자</v>
      </c>
      <c r="DR76" s="26" t="str" cm="1">
        <f t="array" ref="DR76">_xlfn.IFS(
   OR(CK76="",ISBLANK(CK76),CK76=0),0,
   ISNUMBER(MATCH(CK76,{2,3,5,7,11,13,17,19,23,29,31,37,41,43},0)),"소",
   AND(ISNUMBER(CK76),MOD(CK76,3)=0),"배",
   AND(ISNUMBER(CK76),CK76&gt;0),"자"
)</f>
        <v>소</v>
      </c>
      <c r="DS76" s="26" t="str" cm="1">
        <f t="array" ref="DS76">_xlfn.IFS(
   OR(CL76="",ISBLANK(CL76),CL76=0),0,
   ISNUMBER(MATCH(CL76,{2,3,5,7,11,13,17,19,23,29,31,37,41,43},0)),"소",
   AND(ISNUMBER(CL76),MOD(CL76,3)=0),"배",
   AND(ISNUMBER(CL76),CL76&gt;0),"자"
)</f>
        <v>자</v>
      </c>
      <c r="DT76" s="25"/>
    </row>
    <row r="77" spans="2:124" x14ac:dyDescent="0.3">
      <c r="B77" s="3">
        <v>21</v>
      </c>
      <c r="C77" s="3">
        <v>25</v>
      </c>
      <c r="D77" s="3">
        <v>27</v>
      </c>
      <c r="E77" s="3">
        <v>32</v>
      </c>
      <c r="F77" s="3">
        <v>37</v>
      </c>
      <c r="G77" s="3">
        <v>38</v>
      </c>
      <c r="H77" s="32"/>
      <c r="I77" s="3">
        <f t="shared" si="40"/>
        <v>1</v>
      </c>
      <c r="J77" s="3">
        <f t="shared" si="41"/>
        <v>1</v>
      </c>
      <c r="K77" s="3">
        <f t="shared" si="42"/>
        <v>1</v>
      </c>
      <c r="L77" s="3">
        <f t="shared" si="43"/>
        <v>2</v>
      </c>
      <c r="M77" s="3">
        <f t="shared" si="44"/>
        <v>1</v>
      </c>
      <c r="N77" s="3">
        <f t="shared" si="45"/>
        <v>2</v>
      </c>
      <c r="O77" s="32"/>
      <c r="P77" s="3" cm="1">
        <f t="array" ref="P77">SUMPRODUCT(--(MOD(B77:G77,2)=1))</f>
        <v>4</v>
      </c>
      <c r="Q77" s="3">
        <f t="shared" si="46"/>
        <v>2</v>
      </c>
      <c r="R77" s="34"/>
      <c r="S77" s="3">
        <f t="shared" si="47"/>
        <v>1</v>
      </c>
      <c r="T77" s="3">
        <f t="shared" si="48"/>
        <v>5</v>
      </c>
      <c r="U77" s="34"/>
      <c r="V77" s="3" cm="1">
        <f t="array" ref="V77">SUMPRODUCT(--(MOD(B77:G77,10)&gt;=1), --(MOD(B77:G77,10)&lt;=5))</f>
        <v>3</v>
      </c>
      <c r="W77" s="3">
        <f t="shared" si="49"/>
        <v>3</v>
      </c>
      <c r="X77" s="34"/>
      <c r="Y77" s="3" cm="1">
        <f t="array" ref="Y77">IFERROR(COUNT(_xlfn._xlws.FILTER(B77:G77, ISNUMBER(MATCH(B77:G77, {2,3,5,7,11,13,17,19,23,29,31,37,41,43}, 0)))), 0)</f>
        <v>1</v>
      </c>
      <c r="Z77" s="3" cm="1">
        <f t="array" ref="Z77">IFERROR(COUNT(_xlfn._xlws.FILTER(B77:G77, ISNUMBER(MATCH(B77:G77, {1,4,8,10,14,16,20,22,25,26,28,32,34,35,38,40,44}, 0)))), 0)</f>
        <v>3</v>
      </c>
      <c r="AA77" s="3" cm="1">
        <f t="array" ref="AA77">IFERROR(COUNT(_xlfn._xlws.FILTER(B77:G77, ISNUMBER(MATCH(B77:G77, {6,9,12,15,18,21,24,27,30,33,36,39,42,45}, 0)))), 0)</f>
        <v>2</v>
      </c>
      <c r="AB77" s="30"/>
      <c r="AC77" s="26" t="str" cm="1">
        <f t="array" ref="AC77">_xlfn.IFS(
   OR(B77="",ISBLANK(B77),B77=0),0,
   ISNUMBER(MATCH(B77,{2,3,5,7,11,13,17,19,23,29,31,37,41,43},0)),"소",
   AND(ISNUMBER(B77),MOD(B77,3)=0),"배",
   AND(ISNUMBER(B77),B77&gt;0),"자"
)</f>
        <v>배</v>
      </c>
      <c r="AD77" s="26" t="str" cm="1">
        <f t="array" ref="AD77">_xlfn.IFS(
   OR(C77="",ISBLANK(C77),C77=0),0,
   ISNUMBER(MATCH(C77,{2,3,5,7,11,13,17,19,23,29,31,37,41,43},0)),"소",
   AND(ISNUMBER(C77),MOD(C77,3)=0),"배",
   AND(ISNUMBER(C77),C77&gt;0),"자"
)</f>
        <v>자</v>
      </c>
      <c r="AE77" s="26" t="str" cm="1">
        <f t="array" ref="AE77">_xlfn.IFS(
   OR(D77="",ISBLANK(D77),D77=0),0,
   ISNUMBER(MATCH(D77,{2,3,5,7,11,13,17,19,23,29,31,37,41,43},0)),"소",
   AND(ISNUMBER(D77),MOD(D77,3)=0),"배",
   AND(ISNUMBER(D77),D77&gt;0),"자"
)</f>
        <v>배</v>
      </c>
      <c r="AF77" s="26" t="str" cm="1">
        <f t="array" ref="AF77">_xlfn.IFS(
   OR(E77="",ISBLANK(E77),E77=0),0,
   ISNUMBER(MATCH(E77,{2,3,5,7,11,13,17,19,23,29,31,37,41,43},0)),"소",
   AND(ISNUMBER(E77),MOD(E77,3)=0),"배",
   AND(ISNUMBER(E77),E77&gt;0),"자"
)</f>
        <v>자</v>
      </c>
      <c r="AG77" s="26" t="str" cm="1">
        <f t="array" ref="AG77">_xlfn.IFS(
   OR(F77="",ISBLANK(F77),F77=0),0,
   ISNUMBER(MATCH(F77,{2,3,5,7,11,13,17,19,23,29,31,37,41,43},0)),"소",
   AND(ISNUMBER(F77),MOD(F77,3)=0),"배",
   AND(ISNUMBER(F77),F77&gt;0),"자"
)</f>
        <v>소</v>
      </c>
      <c r="AH77" s="26" t="str" cm="1">
        <f t="array" ref="AH77">_xlfn.IFS(
   OR(G77="",ISBLANK(G77),G77=0),0,
   ISNUMBER(MATCH(G77,{2,3,5,7,11,13,17,19,23,29,31,37,41,43},0)),"소",
   AND(ISNUMBER(G77),MOD(G77,3)=0),"배",
   AND(ISNUMBER(G77),G77&gt;0),"자"
)</f>
        <v>자</v>
      </c>
      <c r="AI77" s="30"/>
      <c r="AJ77" s="3">
        <f t="shared" si="50"/>
        <v>0</v>
      </c>
      <c r="AK77" s="3">
        <f t="shared" si="51"/>
        <v>3</v>
      </c>
      <c r="AL77" s="3">
        <f t="shared" si="52"/>
        <v>3</v>
      </c>
      <c r="AM77" s="33"/>
      <c r="AN77" s="3">
        <f t="shared" si="53"/>
        <v>0</v>
      </c>
      <c r="AO77" s="3">
        <f t="shared" si="54"/>
        <v>0</v>
      </c>
      <c r="AP77" s="3">
        <f t="shared" si="55"/>
        <v>3</v>
      </c>
      <c r="AQ77" s="3">
        <f t="shared" si="56"/>
        <v>1</v>
      </c>
      <c r="AR77" s="3">
        <f t="shared" si="57"/>
        <v>2</v>
      </c>
      <c r="AS77" s="28" t="e">
        <f>#REF!</f>
        <v>#REF!</v>
      </c>
      <c r="AT77" s="28" t="e">
        <f>#REF!*2</f>
        <v>#REF!</v>
      </c>
      <c r="AU77" s="28" t="e">
        <f>#REF!</f>
        <v>#REF!</v>
      </c>
      <c r="AV77" s="28" t="e">
        <f>#REF!*2</f>
        <v>#REF!</v>
      </c>
      <c r="AW77" s="28" t="e">
        <f>#REF!</f>
        <v>#REF!</v>
      </c>
      <c r="AX77" s="28" t="e">
        <f>#REF!*2</f>
        <v>#REF!</v>
      </c>
      <c r="AY77" s="28" t="e">
        <f>#REF!</f>
        <v>#REF!</v>
      </c>
      <c r="AZ77" s="28" t="e">
        <f>#REF!*2</f>
        <v>#REF!</v>
      </c>
      <c r="BA77" s="28" t="e">
        <f>#REF!</f>
        <v>#REF!</v>
      </c>
      <c r="BB77" s="28" t="e">
        <f>#REF!*2</f>
        <v>#REF!</v>
      </c>
      <c r="BC77" s="28" t="e">
        <f>#REF!</f>
        <v>#REF!</v>
      </c>
      <c r="BD77" s="28" t="e">
        <f>#REF!*2</f>
        <v>#REF!</v>
      </c>
      <c r="BE77" s="9" t="e">
        <f>#REF!-#REF!</f>
        <v>#REF!</v>
      </c>
      <c r="BF77" s="9" t="e">
        <f>#REF!-#REF!</f>
        <v>#REF!</v>
      </c>
      <c r="BG77" s="9" t="e">
        <f>#REF!-#REF!</f>
        <v>#REF!</v>
      </c>
      <c r="BH77" s="9" t="e">
        <f>#REF!-#REF!</f>
        <v>#REF!</v>
      </c>
      <c r="BI77" s="9" t="e">
        <f>#REF!-#REF!</f>
        <v>#REF!</v>
      </c>
      <c r="BJ77" s="33"/>
      <c r="BK77" s="3">
        <f t="shared" si="58"/>
        <v>0</v>
      </c>
      <c r="BL77" s="3">
        <f t="shared" si="59"/>
        <v>0</v>
      </c>
      <c r="BM77" s="3">
        <f t="shared" si="60"/>
        <v>3</v>
      </c>
      <c r="BN77" s="3">
        <f t="shared" si="61"/>
        <v>3</v>
      </c>
      <c r="BO77" s="3">
        <f t="shared" si="62"/>
        <v>0</v>
      </c>
      <c r="BP77" s="28" t="e">
        <f>#REF!</f>
        <v>#REF!</v>
      </c>
      <c r="BQ77" s="28" t="e">
        <f>#REF!*2</f>
        <v>#REF!</v>
      </c>
      <c r="BR77" s="28" t="e">
        <f>#REF!</f>
        <v>#REF!</v>
      </c>
      <c r="BS77" s="28" t="e">
        <f>#REF!*2</f>
        <v>#REF!</v>
      </c>
      <c r="BT77" s="28" t="e">
        <f>#REF!</f>
        <v>#REF!</v>
      </c>
      <c r="BU77" s="28" t="e">
        <f>#REF!*2</f>
        <v>#REF!</v>
      </c>
      <c r="BV77" s="28" t="e">
        <f>#REF!</f>
        <v>#REF!</v>
      </c>
      <c r="BW77" s="28" t="e">
        <f>#REF!*2</f>
        <v>#REF!</v>
      </c>
      <c r="BX77" s="28" t="e">
        <f>#REF!</f>
        <v>#REF!</v>
      </c>
      <c r="BY77" s="28" t="e">
        <f>#REF!*2</f>
        <v>#REF!</v>
      </c>
      <c r="BZ77" s="28" t="e">
        <f>#REF!</f>
        <v>#REF!</v>
      </c>
      <c r="CA77" s="28" t="e">
        <f>#REF!*2</f>
        <v>#REF!</v>
      </c>
      <c r="CB77" s="9">
        <f t="shared" si="63"/>
        <v>4</v>
      </c>
      <c r="CC77" s="9">
        <f t="shared" si="64"/>
        <v>2</v>
      </c>
      <c r="CD77" s="9">
        <f t="shared" si="65"/>
        <v>5</v>
      </c>
      <c r="CE77" s="9">
        <f t="shared" si="66"/>
        <v>5</v>
      </c>
      <c r="CF77" s="9">
        <f t="shared" si="67"/>
        <v>1</v>
      </c>
      <c r="CG77" s="33"/>
      <c r="CH77" s="9">
        <f t="shared" si="68"/>
        <v>4</v>
      </c>
      <c r="CI77" s="9">
        <f t="shared" si="69"/>
        <v>2</v>
      </c>
      <c r="CJ77" s="9">
        <f t="shared" si="70"/>
        <v>5</v>
      </c>
      <c r="CK77" s="9">
        <f t="shared" si="71"/>
        <v>5</v>
      </c>
      <c r="CL77" s="9">
        <f t="shared" si="72"/>
        <v>1</v>
      </c>
      <c r="CM77" s="32"/>
      <c r="CN77" s="3">
        <f t="shared" si="73"/>
        <v>2</v>
      </c>
      <c r="CO77" s="3">
        <f t="shared" si="74"/>
        <v>2</v>
      </c>
      <c r="CP77" s="3">
        <f t="shared" si="75"/>
        <v>1</v>
      </c>
      <c r="CQ77" s="3">
        <f t="shared" si="76"/>
        <v>1</v>
      </c>
      <c r="CR77" s="3">
        <f t="shared" si="77"/>
        <v>1</v>
      </c>
      <c r="CS77" s="31"/>
      <c r="CT77" s="3" cm="1">
        <f t="array" ref="CT77">SUMPRODUCT(--(MOD(CH77:CL77,2)=1))</f>
        <v>3</v>
      </c>
      <c r="CU77" s="3">
        <f t="shared" si="78"/>
        <v>2</v>
      </c>
      <c r="CV77" s="30"/>
      <c r="CW77" s="3" cm="1">
        <f t="array" ref="CW77">SUMPRODUCT(--(MOD(CH77:CL77,10)&gt;=1), --(MOD(CH77:CL77,10)&lt;=5))</f>
        <v>5</v>
      </c>
      <c r="CX77" s="3">
        <f t="shared" si="79"/>
        <v>0</v>
      </c>
      <c r="CY77" s="30"/>
      <c r="CZ77" s="3" cm="1">
        <f t="array" ref="CZ77">IFERROR(COUNT(_xlfn._xlws.FILTER(CH77:CL77, ISNUMBER(MATCH(CH77:CL77, {2,3,5,7,11,13,17,19,23,29,31,37,41,43}, 0)))), 0)</f>
        <v>3</v>
      </c>
      <c r="DA77" s="3" cm="1">
        <f t="array" ref="DA77">IFERROR(COUNT(_xlfn._xlws.FILTER(CH77:CL77, ISNUMBER(MATCH(CH77:CL77, {1,4,8,10,14,16,20,22,25,26,28,32,34,35,38,40,44}, 0)))), 0)</f>
        <v>2</v>
      </c>
      <c r="DB77" s="3" cm="1">
        <f t="array" ref="DB77">IFERROR(COUNT(_xlfn._xlws.FILTER(CH77:CL77, ISNUMBER(MATCH(CH77:CL77, {6,9,12,15,18,21,24,27,30,33,36,39,42,45}, 0)))), 0)</f>
        <v>0</v>
      </c>
      <c r="DC77" s="29"/>
      <c r="DD77" s="28" t="e">
        <f>#REF!</f>
        <v>#REF!</v>
      </c>
      <c r="DE77" s="28" t="e">
        <f>#REF!*2</f>
        <v>#REF!</v>
      </c>
      <c r="DF77" s="28" t="e">
        <f>#REF!</f>
        <v>#REF!</v>
      </c>
      <c r="DG77" s="28" t="e">
        <f>#REF!*2</f>
        <v>#REF!</v>
      </c>
      <c r="DH77" s="28" t="e">
        <f>#REF!</f>
        <v>#REF!</v>
      </c>
      <c r="DI77" s="28" t="e">
        <f>#REF!*2</f>
        <v>#REF!</v>
      </c>
      <c r="DJ77" s="28" t="e">
        <f>#REF!</f>
        <v>#REF!</v>
      </c>
      <c r="DK77" s="28" t="e">
        <f>#REF!*2</f>
        <v>#REF!</v>
      </c>
      <c r="DL77" s="28" t="e">
        <f>#REF!</f>
        <v>#REF!</v>
      </c>
      <c r="DM77" s="28" t="e">
        <f>#REF!*2</f>
        <v>#REF!</v>
      </c>
      <c r="DN77" s="27"/>
      <c r="DO77" s="26" t="str" cm="1">
        <f t="array" ref="DO77">_xlfn.IFS(
   OR(CH77="",ISBLANK(CH77),CH77=0),0,
   ISNUMBER(MATCH(CH77,{2,3,5,7,11,13,17,19,23,29,31,37,41,43},0)),"소",
   AND(ISNUMBER(CH77),MOD(CH77,3)=0),"배",
   AND(ISNUMBER(CH77),CH77&gt;0),"자"
)</f>
        <v>자</v>
      </c>
      <c r="DP77" s="26" t="str" cm="1">
        <f t="array" ref="DP77">_xlfn.IFS(
   OR(CI77="",ISBLANK(CI77),CI77=0),0,
   ISNUMBER(MATCH(CI77,{2,3,5,7,11,13,17,19,23,29,31,37,41,43},0)),"소",
   AND(ISNUMBER(CI77),MOD(CI77,3)=0),"배",
   AND(ISNUMBER(CI77),CI77&gt;0),"자"
)</f>
        <v>소</v>
      </c>
      <c r="DQ77" s="26" t="str" cm="1">
        <f t="array" ref="DQ77">_xlfn.IFS(
   OR(CJ77="",ISBLANK(CJ77),CJ77=0),0,
   ISNUMBER(MATCH(CJ77,{2,3,5,7,11,13,17,19,23,29,31,37,41,43},0)),"소",
   AND(ISNUMBER(CJ77),MOD(CJ77,3)=0),"배",
   AND(ISNUMBER(CJ77),CJ77&gt;0),"자"
)</f>
        <v>소</v>
      </c>
      <c r="DR77" s="26" t="str" cm="1">
        <f t="array" ref="DR77">_xlfn.IFS(
   OR(CK77="",ISBLANK(CK77),CK77=0),0,
   ISNUMBER(MATCH(CK77,{2,3,5,7,11,13,17,19,23,29,31,37,41,43},0)),"소",
   AND(ISNUMBER(CK77),MOD(CK77,3)=0),"배",
   AND(ISNUMBER(CK77),CK77&gt;0),"자"
)</f>
        <v>소</v>
      </c>
      <c r="DS77" s="26" t="str" cm="1">
        <f t="array" ref="DS77">_xlfn.IFS(
   OR(CL77="",ISBLANK(CL77),CL77=0),0,
   ISNUMBER(MATCH(CL77,{2,3,5,7,11,13,17,19,23,29,31,37,41,43},0)),"소",
   AND(ISNUMBER(CL77),MOD(CL77,3)=0),"배",
   AND(ISNUMBER(CL77),CL77&gt;0),"자"
)</f>
        <v>자</v>
      </c>
      <c r="DT77" s="25"/>
    </row>
    <row r="78" spans="2:124" x14ac:dyDescent="0.3">
      <c r="B78" s="3">
        <v>3</v>
      </c>
      <c r="C78" s="3">
        <v>9</v>
      </c>
      <c r="D78" s="3">
        <v>27</v>
      </c>
      <c r="E78" s="3">
        <v>28</v>
      </c>
      <c r="F78" s="3">
        <v>38</v>
      </c>
      <c r="G78" s="3">
        <v>39</v>
      </c>
      <c r="H78" s="32"/>
      <c r="I78" s="3">
        <f t="shared" si="40"/>
        <v>1</v>
      </c>
      <c r="J78" s="3">
        <f t="shared" si="41"/>
        <v>1</v>
      </c>
      <c r="K78" s="3">
        <f t="shared" si="42"/>
        <v>1</v>
      </c>
      <c r="L78" s="3">
        <f t="shared" si="43"/>
        <v>2</v>
      </c>
      <c r="M78" s="3">
        <f t="shared" si="44"/>
        <v>2</v>
      </c>
      <c r="N78" s="3">
        <f t="shared" si="45"/>
        <v>1</v>
      </c>
      <c r="O78" s="32"/>
      <c r="P78" s="3" cm="1">
        <f t="array" ref="P78">SUMPRODUCT(--(MOD(B78:G78,2)=1))</f>
        <v>4</v>
      </c>
      <c r="Q78" s="3">
        <f t="shared" si="46"/>
        <v>2</v>
      </c>
      <c r="R78" s="34"/>
      <c r="S78" s="3">
        <f t="shared" si="47"/>
        <v>2</v>
      </c>
      <c r="T78" s="3">
        <f t="shared" si="48"/>
        <v>4</v>
      </c>
      <c r="U78" s="34"/>
      <c r="V78" s="3" cm="1">
        <f t="array" ref="V78">SUMPRODUCT(--(MOD(B78:G78,10)&gt;=1), --(MOD(B78:G78,10)&lt;=5))</f>
        <v>1</v>
      </c>
      <c r="W78" s="3">
        <f t="shared" si="49"/>
        <v>5</v>
      </c>
      <c r="X78" s="34"/>
      <c r="Y78" s="3" cm="1">
        <f t="array" ref="Y78">IFERROR(COUNT(_xlfn._xlws.FILTER(B78:G78, ISNUMBER(MATCH(B78:G78, {2,3,5,7,11,13,17,19,23,29,31,37,41,43}, 0)))), 0)</f>
        <v>1</v>
      </c>
      <c r="Z78" s="3" cm="1">
        <f t="array" ref="Z78">IFERROR(COUNT(_xlfn._xlws.FILTER(B78:G78, ISNUMBER(MATCH(B78:G78, {1,4,8,10,14,16,20,22,25,26,28,32,34,35,38,40,44}, 0)))), 0)</f>
        <v>2</v>
      </c>
      <c r="AA78" s="3" cm="1">
        <f t="array" ref="AA78">IFERROR(COUNT(_xlfn._xlws.FILTER(B78:G78, ISNUMBER(MATCH(B78:G78, {6,9,12,15,18,21,24,27,30,33,36,39,42,45}, 0)))), 0)</f>
        <v>3</v>
      </c>
      <c r="AB78" s="30"/>
      <c r="AC78" s="26" t="str" cm="1">
        <f t="array" ref="AC78">_xlfn.IFS(
   OR(B78="",ISBLANK(B78),B78=0),0,
   ISNUMBER(MATCH(B78,{2,3,5,7,11,13,17,19,23,29,31,37,41,43},0)),"소",
   AND(ISNUMBER(B78),MOD(B78,3)=0),"배",
   AND(ISNUMBER(B78),B78&gt;0),"자"
)</f>
        <v>소</v>
      </c>
      <c r="AD78" s="26" t="str" cm="1">
        <f t="array" ref="AD78">_xlfn.IFS(
   OR(C78="",ISBLANK(C78),C78=0),0,
   ISNUMBER(MATCH(C78,{2,3,5,7,11,13,17,19,23,29,31,37,41,43},0)),"소",
   AND(ISNUMBER(C78),MOD(C78,3)=0),"배",
   AND(ISNUMBER(C78),C78&gt;0),"자"
)</f>
        <v>배</v>
      </c>
      <c r="AE78" s="26" t="str" cm="1">
        <f t="array" ref="AE78">_xlfn.IFS(
   OR(D78="",ISBLANK(D78),D78=0),0,
   ISNUMBER(MATCH(D78,{2,3,5,7,11,13,17,19,23,29,31,37,41,43},0)),"소",
   AND(ISNUMBER(D78),MOD(D78,3)=0),"배",
   AND(ISNUMBER(D78),D78&gt;0),"자"
)</f>
        <v>배</v>
      </c>
      <c r="AF78" s="26" t="str" cm="1">
        <f t="array" ref="AF78">_xlfn.IFS(
   OR(E78="",ISBLANK(E78),E78=0),0,
   ISNUMBER(MATCH(E78,{2,3,5,7,11,13,17,19,23,29,31,37,41,43},0)),"소",
   AND(ISNUMBER(E78),MOD(E78,3)=0),"배",
   AND(ISNUMBER(E78),E78&gt;0),"자"
)</f>
        <v>자</v>
      </c>
      <c r="AG78" s="26" t="str" cm="1">
        <f t="array" ref="AG78">_xlfn.IFS(
   OR(F78="",ISBLANK(F78),F78=0),0,
   ISNUMBER(MATCH(F78,{2,3,5,7,11,13,17,19,23,29,31,37,41,43},0)),"소",
   AND(ISNUMBER(F78),MOD(F78,3)=0),"배",
   AND(ISNUMBER(F78),F78&gt;0),"자"
)</f>
        <v>자</v>
      </c>
      <c r="AH78" s="26" t="str" cm="1">
        <f t="array" ref="AH78">_xlfn.IFS(
   OR(G78="",ISBLANK(G78),G78=0),0,
   ISNUMBER(MATCH(G78,{2,3,5,7,11,13,17,19,23,29,31,37,41,43},0)),"소",
   AND(ISNUMBER(G78),MOD(G78,3)=0),"배",
   AND(ISNUMBER(G78),G78&gt;0),"자"
)</f>
        <v>배</v>
      </c>
      <c r="AI78" s="30"/>
      <c r="AJ78" s="3">
        <f t="shared" si="50"/>
        <v>2</v>
      </c>
      <c r="AK78" s="3">
        <f t="shared" si="51"/>
        <v>2</v>
      </c>
      <c r="AL78" s="3">
        <f t="shared" si="52"/>
        <v>2</v>
      </c>
      <c r="AM78" s="33"/>
      <c r="AN78" s="3">
        <f t="shared" si="53"/>
        <v>2</v>
      </c>
      <c r="AO78" s="3">
        <f t="shared" si="54"/>
        <v>0</v>
      </c>
      <c r="AP78" s="3">
        <f t="shared" si="55"/>
        <v>1</v>
      </c>
      <c r="AQ78" s="3">
        <f t="shared" si="56"/>
        <v>1</v>
      </c>
      <c r="AR78" s="3">
        <f t="shared" si="57"/>
        <v>2</v>
      </c>
      <c r="AS78" s="28" t="e">
        <f>#REF!</f>
        <v>#REF!</v>
      </c>
      <c r="AT78" s="28" t="e">
        <f>#REF!*2</f>
        <v>#REF!</v>
      </c>
      <c r="AU78" s="28" t="e">
        <f>#REF!</f>
        <v>#REF!</v>
      </c>
      <c r="AV78" s="28" t="e">
        <f>#REF!*2</f>
        <v>#REF!</v>
      </c>
      <c r="AW78" s="28" t="e">
        <f>#REF!</f>
        <v>#REF!</v>
      </c>
      <c r="AX78" s="28" t="e">
        <f>#REF!*2</f>
        <v>#REF!</v>
      </c>
      <c r="AY78" s="28" t="e">
        <f>#REF!</f>
        <v>#REF!</v>
      </c>
      <c r="AZ78" s="28" t="e">
        <f>#REF!*2</f>
        <v>#REF!</v>
      </c>
      <c r="BA78" s="28" t="e">
        <f>#REF!</f>
        <v>#REF!</v>
      </c>
      <c r="BB78" s="28" t="e">
        <f>#REF!*2</f>
        <v>#REF!</v>
      </c>
      <c r="BC78" s="28" t="e">
        <f>#REF!</f>
        <v>#REF!</v>
      </c>
      <c r="BD78" s="28" t="e">
        <f>#REF!*2</f>
        <v>#REF!</v>
      </c>
      <c r="BE78" s="9" t="e">
        <f>#REF!-#REF!</f>
        <v>#REF!</v>
      </c>
      <c r="BF78" s="9" t="e">
        <f>#REF!-#REF!</f>
        <v>#REF!</v>
      </c>
      <c r="BG78" s="9" t="e">
        <f>#REF!-#REF!</f>
        <v>#REF!</v>
      </c>
      <c r="BH78" s="9" t="e">
        <f>#REF!-#REF!</f>
        <v>#REF!</v>
      </c>
      <c r="BI78" s="9" t="e">
        <f>#REF!-#REF!</f>
        <v>#REF!</v>
      </c>
      <c r="BJ78" s="33"/>
      <c r="BK78" s="3">
        <f t="shared" si="58"/>
        <v>2</v>
      </c>
      <c r="BL78" s="3">
        <f t="shared" si="59"/>
        <v>0</v>
      </c>
      <c r="BM78" s="3">
        <f t="shared" si="60"/>
        <v>2</v>
      </c>
      <c r="BN78" s="3">
        <f t="shared" si="61"/>
        <v>2</v>
      </c>
      <c r="BO78" s="3">
        <f t="shared" si="62"/>
        <v>0</v>
      </c>
      <c r="BP78" s="28" t="e">
        <f>#REF!</f>
        <v>#REF!</v>
      </c>
      <c r="BQ78" s="28" t="e">
        <f>#REF!*2</f>
        <v>#REF!</v>
      </c>
      <c r="BR78" s="28" t="e">
        <f>#REF!</f>
        <v>#REF!</v>
      </c>
      <c r="BS78" s="28" t="e">
        <f>#REF!*2</f>
        <v>#REF!</v>
      </c>
      <c r="BT78" s="28" t="e">
        <f>#REF!</f>
        <v>#REF!</v>
      </c>
      <c r="BU78" s="28" t="e">
        <f>#REF!*2</f>
        <v>#REF!</v>
      </c>
      <c r="BV78" s="28" t="e">
        <f>#REF!</f>
        <v>#REF!</v>
      </c>
      <c r="BW78" s="28" t="e">
        <f>#REF!*2</f>
        <v>#REF!</v>
      </c>
      <c r="BX78" s="28" t="e">
        <f>#REF!</f>
        <v>#REF!</v>
      </c>
      <c r="BY78" s="28" t="e">
        <f>#REF!*2</f>
        <v>#REF!</v>
      </c>
      <c r="BZ78" s="28" t="e">
        <f>#REF!</f>
        <v>#REF!</v>
      </c>
      <c r="CA78" s="28" t="e">
        <f>#REF!*2</f>
        <v>#REF!</v>
      </c>
      <c r="CB78" s="9">
        <f t="shared" si="63"/>
        <v>6</v>
      </c>
      <c r="CC78" s="9">
        <f t="shared" si="64"/>
        <v>18</v>
      </c>
      <c r="CD78" s="9">
        <f t="shared" si="65"/>
        <v>1</v>
      </c>
      <c r="CE78" s="9">
        <f t="shared" si="66"/>
        <v>10</v>
      </c>
      <c r="CF78" s="9">
        <f t="shared" si="67"/>
        <v>1</v>
      </c>
      <c r="CG78" s="33"/>
      <c r="CH78" s="9">
        <f t="shared" si="68"/>
        <v>6</v>
      </c>
      <c r="CI78" s="9">
        <f t="shared" si="69"/>
        <v>18</v>
      </c>
      <c r="CJ78" s="9">
        <f t="shared" si="70"/>
        <v>1</v>
      </c>
      <c r="CK78" s="9">
        <f t="shared" si="71"/>
        <v>10</v>
      </c>
      <c r="CL78" s="9">
        <f t="shared" si="72"/>
        <v>1</v>
      </c>
      <c r="CM78" s="32"/>
      <c r="CN78" s="3">
        <f t="shared" si="73"/>
        <v>2</v>
      </c>
      <c r="CO78" s="3">
        <f t="shared" si="74"/>
        <v>2</v>
      </c>
      <c r="CP78" s="3">
        <f t="shared" si="75"/>
        <v>1</v>
      </c>
      <c r="CQ78" s="3">
        <f t="shared" si="76"/>
        <v>2</v>
      </c>
      <c r="CR78" s="3">
        <f t="shared" si="77"/>
        <v>1</v>
      </c>
      <c r="CS78" s="31"/>
      <c r="CT78" s="3" cm="1">
        <f t="array" ref="CT78">SUMPRODUCT(--(MOD(CH78:CL78,2)=1))</f>
        <v>2</v>
      </c>
      <c r="CU78" s="3">
        <f t="shared" si="78"/>
        <v>3</v>
      </c>
      <c r="CV78" s="30"/>
      <c r="CW78" s="3" cm="1">
        <f t="array" ref="CW78">SUMPRODUCT(--(MOD(CH78:CL78,10)&gt;=1), --(MOD(CH78:CL78,10)&lt;=5))</f>
        <v>2</v>
      </c>
      <c r="CX78" s="3">
        <f t="shared" si="79"/>
        <v>3</v>
      </c>
      <c r="CY78" s="30"/>
      <c r="CZ78" s="3" cm="1">
        <f t="array" ref="CZ78">IFERROR(COUNT(_xlfn._xlws.FILTER(CH78:CL78, ISNUMBER(MATCH(CH78:CL78, {2,3,5,7,11,13,17,19,23,29,31,37,41,43}, 0)))), 0)</f>
        <v>0</v>
      </c>
      <c r="DA78" s="3" cm="1">
        <f t="array" ref="DA78">IFERROR(COUNT(_xlfn._xlws.FILTER(CH78:CL78, ISNUMBER(MATCH(CH78:CL78, {1,4,8,10,14,16,20,22,25,26,28,32,34,35,38,40,44}, 0)))), 0)</f>
        <v>3</v>
      </c>
      <c r="DB78" s="3" cm="1">
        <f t="array" ref="DB78">IFERROR(COUNT(_xlfn._xlws.FILTER(CH78:CL78, ISNUMBER(MATCH(CH78:CL78, {6,9,12,15,18,21,24,27,30,33,36,39,42,45}, 0)))), 0)</f>
        <v>2</v>
      </c>
      <c r="DC78" s="29"/>
      <c r="DD78" s="28" t="e">
        <f>#REF!</f>
        <v>#REF!</v>
      </c>
      <c r="DE78" s="28" t="e">
        <f>#REF!*2</f>
        <v>#REF!</v>
      </c>
      <c r="DF78" s="28" t="e">
        <f>#REF!</f>
        <v>#REF!</v>
      </c>
      <c r="DG78" s="28" t="e">
        <f>#REF!*2</f>
        <v>#REF!</v>
      </c>
      <c r="DH78" s="28" t="e">
        <f>#REF!</f>
        <v>#REF!</v>
      </c>
      <c r="DI78" s="28" t="e">
        <f>#REF!*2</f>
        <v>#REF!</v>
      </c>
      <c r="DJ78" s="28" t="e">
        <f>#REF!</f>
        <v>#REF!</v>
      </c>
      <c r="DK78" s="28" t="e">
        <f>#REF!*2</f>
        <v>#REF!</v>
      </c>
      <c r="DL78" s="28" t="e">
        <f>#REF!</f>
        <v>#REF!</v>
      </c>
      <c r="DM78" s="28" t="e">
        <f>#REF!*2</f>
        <v>#REF!</v>
      </c>
      <c r="DN78" s="27"/>
      <c r="DO78" s="26" t="str" cm="1">
        <f t="array" ref="DO78">_xlfn.IFS(
   OR(CH78="",ISBLANK(CH78),CH78=0),0,
   ISNUMBER(MATCH(CH78,{2,3,5,7,11,13,17,19,23,29,31,37,41,43},0)),"소",
   AND(ISNUMBER(CH78),MOD(CH78,3)=0),"배",
   AND(ISNUMBER(CH78),CH78&gt;0),"자"
)</f>
        <v>배</v>
      </c>
      <c r="DP78" s="26" t="str" cm="1">
        <f t="array" ref="DP78">_xlfn.IFS(
   OR(CI78="",ISBLANK(CI78),CI78=0),0,
   ISNUMBER(MATCH(CI78,{2,3,5,7,11,13,17,19,23,29,31,37,41,43},0)),"소",
   AND(ISNUMBER(CI78),MOD(CI78,3)=0),"배",
   AND(ISNUMBER(CI78),CI78&gt;0),"자"
)</f>
        <v>배</v>
      </c>
      <c r="DQ78" s="26" t="str" cm="1">
        <f t="array" ref="DQ78">_xlfn.IFS(
   OR(CJ78="",ISBLANK(CJ78),CJ78=0),0,
   ISNUMBER(MATCH(CJ78,{2,3,5,7,11,13,17,19,23,29,31,37,41,43},0)),"소",
   AND(ISNUMBER(CJ78),MOD(CJ78,3)=0),"배",
   AND(ISNUMBER(CJ78),CJ78&gt;0),"자"
)</f>
        <v>자</v>
      </c>
      <c r="DR78" s="26" t="str" cm="1">
        <f t="array" ref="DR78">_xlfn.IFS(
   OR(CK78="",ISBLANK(CK78),CK78=0),0,
   ISNUMBER(MATCH(CK78,{2,3,5,7,11,13,17,19,23,29,31,37,41,43},0)),"소",
   AND(ISNUMBER(CK78),MOD(CK78,3)=0),"배",
   AND(ISNUMBER(CK78),CK78&gt;0),"자"
)</f>
        <v>자</v>
      </c>
      <c r="DS78" s="26" t="str" cm="1">
        <f t="array" ref="DS78">_xlfn.IFS(
   OR(CL78="",ISBLANK(CL78),CL78=0),0,
   ISNUMBER(MATCH(CL78,{2,3,5,7,11,13,17,19,23,29,31,37,41,43},0)),"소",
   AND(ISNUMBER(CL78),MOD(CL78,3)=0),"배",
   AND(ISNUMBER(CL78),CL78&gt;0),"자"
)</f>
        <v>자</v>
      </c>
      <c r="DT78" s="25"/>
    </row>
    <row r="79" spans="2:124" x14ac:dyDescent="0.3">
      <c r="B79" s="3">
        <v>7</v>
      </c>
      <c r="C79" s="3">
        <v>13</v>
      </c>
      <c r="D79" s="3">
        <v>18</v>
      </c>
      <c r="E79" s="3">
        <v>36</v>
      </c>
      <c r="F79" s="3">
        <v>39</v>
      </c>
      <c r="G79" s="3">
        <v>45</v>
      </c>
      <c r="H79" s="32"/>
      <c r="I79" s="3">
        <f t="shared" si="40"/>
        <v>1</v>
      </c>
      <c r="J79" s="3">
        <f t="shared" si="41"/>
        <v>1</v>
      </c>
      <c r="K79" s="3">
        <f t="shared" si="42"/>
        <v>2</v>
      </c>
      <c r="L79" s="3">
        <f t="shared" si="43"/>
        <v>2</v>
      </c>
      <c r="M79" s="3">
        <f t="shared" si="44"/>
        <v>1</v>
      </c>
      <c r="N79" s="3">
        <f t="shared" si="45"/>
        <v>1</v>
      </c>
      <c r="O79" s="32"/>
      <c r="P79" s="3" cm="1">
        <f t="array" ref="P79">SUMPRODUCT(--(MOD(B79:G79,2)=1))</f>
        <v>4</v>
      </c>
      <c r="Q79" s="3">
        <f t="shared" si="46"/>
        <v>2</v>
      </c>
      <c r="R79" s="34"/>
      <c r="S79" s="3">
        <f t="shared" si="47"/>
        <v>3</v>
      </c>
      <c r="T79" s="3">
        <f t="shared" si="48"/>
        <v>3</v>
      </c>
      <c r="U79" s="34"/>
      <c r="V79" s="3" cm="1">
        <f t="array" ref="V79">SUMPRODUCT(--(MOD(B79:G79,10)&gt;=1), --(MOD(B79:G79,10)&lt;=5))</f>
        <v>2</v>
      </c>
      <c r="W79" s="3">
        <f t="shared" si="49"/>
        <v>4</v>
      </c>
      <c r="X79" s="34"/>
      <c r="Y79" s="3" cm="1">
        <f t="array" ref="Y79">IFERROR(COUNT(_xlfn._xlws.FILTER(B79:G79, ISNUMBER(MATCH(B79:G79, {2,3,5,7,11,13,17,19,23,29,31,37,41,43}, 0)))), 0)</f>
        <v>2</v>
      </c>
      <c r="Z79" s="3" cm="1">
        <f t="array" ref="Z79">IFERROR(COUNT(_xlfn._xlws.FILTER(B79:G79, ISNUMBER(MATCH(B79:G79, {1,4,8,10,14,16,20,22,25,26,28,32,34,35,38,40,44}, 0)))), 0)</f>
        <v>0</v>
      </c>
      <c r="AA79" s="3" cm="1">
        <f t="array" ref="AA79">IFERROR(COUNT(_xlfn._xlws.FILTER(B79:G79, ISNUMBER(MATCH(B79:G79, {6,9,12,15,18,21,24,27,30,33,36,39,42,45}, 0)))), 0)</f>
        <v>4</v>
      </c>
      <c r="AB79" s="30"/>
      <c r="AC79" s="26" t="str" cm="1">
        <f t="array" ref="AC79">_xlfn.IFS(
   OR(B79="",ISBLANK(B79),B79=0),0,
   ISNUMBER(MATCH(B79,{2,3,5,7,11,13,17,19,23,29,31,37,41,43},0)),"소",
   AND(ISNUMBER(B79),MOD(B79,3)=0),"배",
   AND(ISNUMBER(B79),B79&gt;0),"자"
)</f>
        <v>소</v>
      </c>
      <c r="AD79" s="26" t="str" cm="1">
        <f t="array" ref="AD79">_xlfn.IFS(
   OR(C79="",ISBLANK(C79),C79=0),0,
   ISNUMBER(MATCH(C79,{2,3,5,7,11,13,17,19,23,29,31,37,41,43},0)),"소",
   AND(ISNUMBER(C79),MOD(C79,3)=0),"배",
   AND(ISNUMBER(C79),C79&gt;0),"자"
)</f>
        <v>소</v>
      </c>
      <c r="AE79" s="26" t="str" cm="1">
        <f t="array" ref="AE79">_xlfn.IFS(
   OR(D79="",ISBLANK(D79),D79=0),0,
   ISNUMBER(MATCH(D79,{2,3,5,7,11,13,17,19,23,29,31,37,41,43},0)),"소",
   AND(ISNUMBER(D79),MOD(D79,3)=0),"배",
   AND(ISNUMBER(D79),D79&gt;0),"자"
)</f>
        <v>배</v>
      </c>
      <c r="AF79" s="26" t="str" cm="1">
        <f t="array" ref="AF79">_xlfn.IFS(
   OR(E79="",ISBLANK(E79),E79=0),0,
   ISNUMBER(MATCH(E79,{2,3,5,7,11,13,17,19,23,29,31,37,41,43},0)),"소",
   AND(ISNUMBER(E79),MOD(E79,3)=0),"배",
   AND(ISNUMBER(E79),E79&gt;0),"자"
)</f>
        <v>배</v>
      </c>
      <c r="AG79" s="26" t="str" cm="1">
        <f t="array" ref="AG79">_xlfn.IFS(
   OR(F79="",ISBLANK(F79),F79=0),0,
   ISNUMBER(MATCH(F79,{2,3,5,7,11,13,17,19,23,29,31,37,41,43},0)),"소",
   AND(ISNUMBER(F79),MOD(F79,3)=0),"배",
   AND(ISNUMBER(F79),F79&gt;0),"자"
)</f>
        <v>배</v>
      </c>
      <c r="AH79" s="26" t="str" cm="1">
        <f t="array" ref="AH79">_xlfn.IFS(
   OR(G79="",ISBLANK(G79),G79=0),0,
   ISNUMBER(MATCH(G79,{2,3,5,7,11,13,17,19,23,29,31,37,41,43},0)),"소",
   AND(ISNUMBER(G79),MOD(G79,3)=0),"배",
   AND(ISNUMBER(G79),G79&gt;0),"자"
)</f>
        <v>배</v>
      </c>
      <c r="AI79" s="30"/>
      <c r="AJ79" s="3">
        <f t="shared" si="50"/>
        <v>2</v>
      </c>
      <c r="AK79" s="3">
        <f t="shared" si="51"/>
        <v>1</v>
      </c>
      <c r="AL79" s="3">
        <f t="shared" si="52"/>
        <v>3</v>
      </c>
      <c r="AM79" s="33"/>
      <c r="AN79" s="3">
        <f t="shared" si="53"/>
        <v>1</v>
      </c>
      <c r="AO79" s="3">
        <f t="shared" si="54"/>
        <v>2</v>
      </c>
      <c r="AP79" s="3">
        <f t="shared" si="55"/>
        <v>0</v>
      </c>
      <c r="AQ79" s="3">
        <f t="shared" si="56"/>
        <v>1</v>
      </c>
      <c r="AR79" s="3">
        <f t="shared" si="57"/>
        <v>2</v>
      </c>
      <c r="AS79" s="28" t="e">
        <f>#REF!</f>
        <v>#REF!</v>
      </c>
      <c r="AT79" s="28" t="e">
        <f>#REF!*2</f>
        <v>#REF!</v>
      </c>
      <c r="AU79" s="28" t="e">
        <f>#REF!</f>
        <v>#REF!</v>
      </c>
      <c r="AV79" s="28" t="e">
        <f>#REF!*2</f>
        <v>#REF!</v>
      </c>
      <c r="AW79" s="28" t="e">
        <f>#REF!</f>
        <v>#REF!</v>
      </c>
      <c r="AX79" s="28" t="e">
        <f>#REF!*2</f>
        <v>#REF!</v>
      </c>
      <c r="AY79" s="28" t="e">
        <f>#REF!</f>
        <v>#REF!</v>
      </c>
      <c r="AZ79" s="28" t="e">
        <f>#REF!*2</f>
        <v>#REF!</v>
      </c>
      <c r="BA79" s="28" t="e">
        <f>#REF!</f>
        <v>#REF!</v>
      </c>
      <c r="BB79" s="28" t="e">
        <f>#REF!*2</f>
        <v>#REF!</v>
      </c>
      <c r="BC79" s="28" t="e">
        <f>#REF!</f>
        <v>#REF!</v>
      </c>
      <c r="BD79" s="28" t="e">
        <f>#REF!*2</f>
        <v>#REF!</v>
      </c>
      <c r="BE79" s="9" t="e">
        <f>#REF!-#REF!</f>
        <v>#REF!</v>
      </c>
      <c r="BF79" s="9" t="e">
        <f>#REF!-#REF!</f>
        <v>#REF!</v>
      </c>
      <c r="BG79" s="9" t="e">
        <f>#REF!-#REF!</f>
        <v>#REF!</v>
      </c>
      <c r="BH79" s="9" t="e">
        <f>#REF!-#REF!</f>
        <v>#REF!</v>
      </c>
      <c r="BI79" s="9" t="e">
        <f>#REF!-#REF!</f>
        <v>#REF!</v>
      </c>
      <c r="BJ79" s="33"/>
      <c r="BK79" s="3">
        <f t="shared" si="58"/>
        <v>1</v>
      </c>
      <c r="BL79" s="3">
        <f t="shared" si="59"/>
        <v>2</v>
      </c>
      <c r="BM79" s="3">
        <f t="shared" si="60"/>
        <v>0</v>
      </c>
      <c r="BN79" s="3">
        <f t="shared" si="61"/>
        <v>2</v>
      </c>
      <c r="BO79" s="3">
        <f t="shared" si="62"/>
        <v>1</v>
      </c>
      <c r="BP79" s="28" t="e">
        <f>#REF!</f>
        <v>#REF!</v>
      </c>
      <c r="BQ79" s="28" t="e">
        <f>#REF!*2</f>
        <v>#REF!</v>
      </c>
      <c r="BR79" s="28" t="e">
        <f>#REF!</f>
        <v>#REF!</v>
      </c>
      <c r="BS79" s="28" t="e">
        <f>#REF!*2</f>
        <v>#REF!</v>
      </c>
      <c r="BT79" s="28" t="e">
        <f>#REF!</f>
        <v>#REF!</v>
      </c>
      <c r="BU79" s="28" t="e">
        <f>#REF!*2</f>
        <v>#REF!</v>
      </c>
      <c r="BV79" s="28" t="e">
        <f>#REF!</f>
        <v>#REF!</v>
      </c>
      <c r="BW79" s="28" t="e">
        <f>#REF!*2</f>
        <v>#REF!</v>
      </c>
      <c r="BX79" s="28" t="e">
        <f>#REF!</f>
        <v>#REF!</v>
      </c>
      <c r="BY79" s="28" t="e">
        <f>#REF!*2</f>
        <v>#REF!</v>
      </c>
      <c r="BZ79" s="28" t="e">
        <f>#REF!</f>
        <v>#REF!</v>
      </c>
      <c r="CA79" s="28" t="e">
        <f>#REF!*2</f>
        <v>#REF!</v>
      </c>
      <c r="CB79" s="9">
        <f t="shared" si="63"/>
        <v>6</v>
      </c>
      <c r="CC79" s="9">
        <f t="shared" si="64"/>
        <v>5</v>
      </c>
      <c r="CD79" s="9">
        <f t="shared" si="65"/>
        <v>18</v>
      </c>
      <c r="CE79" s="9">
        <f t="shared" si="66"/>
        <v>3</v>
      </c>
      <c r="CF79" s="9">
        <f t="shared" si="67"/>
        <v>6</v>
      </c>
      <c r="CG79" s="33"/>
      <c r="CH79" s="9">
        <f t="shared" si="68"/>
        <v>6</v>
      </c>
      <c r="CI79" s="9">
        <f t="shared" si="69"/>
        <v>5</v>
      </c>
      <c r="CJ79" s="9">
        <f t="shared" si="70"/>
        <v>18</v>
      </c>
      <c r="CK79" s="9">
        <f t="shared" si="71"/>
        <v>3</v>
      </c>
      <c r="CL79" s="9">
        <f t="shared" si="72"/>
        <v>6</v>
      </c>
      <c r="CM79" s="32"/>
      <c r="CN79" s="3">
        <f t="shared" si="73"/>
        <v>2</v>
      </c>
      <c r="CO79" s="3">
        <f t="shared" si="74"/>
        <v>1</v>
      </c>
      <c r="CP79" s="3">
        <f t="shared" si="75"/>
        <v>2</v>
      </c>
      <c r="CQ79" s="3">
        <f t="shared" si="76"/>
        <v>1</v>
      </c>
      <c r="CR79" s="3">
        <f t="shared" si="77"/>
        <v>2</v>
      </c>
      <c r="CS79" s="31"/>
      <c r="CT79" s="3" cm="1">
        <f t="array" ref="CT79">SUMPRODUCT(--(MOD(CH79:CL79,2)=1))</f>
        <v>2</v>
      </c>
      <c r="CU79" s="3">
        <f t="shared" si="78"/>
        <v>3</v>
      </c>
      <c r="CV79" s="30"/>
      <c r="CW79" s="3" cm="1">
        <f t="array" ref="CW79">SUMPRODUCT(--(MOD(CH79:CL79,10)&gt;=1), --(MOD(CH79:CL79,10)&lt;=5))</f>
        <v>2</v>
      </c>
      <c r="CX79" s="3">
        <f t="shared" si="79"/>
        <v>3</v>
      </c>
      <c r="CY79" s="30"/>
      <c r="CZ79" s="3" cm="1">
        <f t="array" ref="CZ79">IFERROR(COUNT(_xlfn._xlws.FILTER(CH79:CL79, ISNUMBER(MATCH(CH79:CL79, {2,3,5,7,11,13,17,19,23,29,31,37,41,43}, 0)))), 0)</f>
        <v>2</v>
      </c>
      <c r="DA79" s="3" cm="1">
        <f t="array" ref="DA79">IFERROR(COUNT(_xlfn._xlws.FILTER(CH79:CL79, ISNUMBER(MATCH(CH79:CL79, {1,4,8,10,14,16,20,22,25,26,28,32,34,35,38,40,44}, 0)))), 0)</f>
        <v>0</v>
      </c>
      <c r="DB79" s="3" cm="1">
        <f t="array" ref="DB79">IFERROR(COUNT(_xlfn._xlws.FILTER(CH79:CL79, ISNUMBER(MATCH(CH79:CL79, {6,9,12,15,18,21,24,27,30,33,36,39,42,45}, 0)))), 0)</f>
        <v>3</v>
      </c>
      <c r="DC79" s="29"/>
      <c r="DD79" s="28" t="e">
        <f>#REF!</f>
        <v>#REF!</v>
      </c>
      <c r="DE79" s="28" t="e">
        <f>#REF!*2</f>
        <v>#REF!</v>
      </c>
      <c r="DF79" s="28" t="e">
        <f>#REF!</f>
        <v>#REF!</v>
      </c>
      <c r="DG79" s="28" t="e">
        <f>#REF!*2</f>
        <v>#REF!</v>
      </c>
      <c r="DH79" s="28" t="e">
        <f>#REF!</f>
        <v>#REF!</v>
      </c>
      <c r="DI79" s="28" t="e">
        <f>#REF!*2</f>
        <v>#REF!</v>
      </c>
      <c r="DJ79" s="28" t="e">
        <f>#REF!</f>
        <v>#REF!</v>
      </c>
      <c r="DK79" s="28" t="e">
        <f>#REF!*2</f>
        <v>#REF!</v>
      </c>
      <c r="DL79" s="28" t="e">
        <f>#REF!</f>
        <v>#REF!</v>
      </c>
      <c r="DM79" s="28" t="e">
        <f>#REF!*2</f>
        <v>#REF!</v>
      </c>
      <c r="DN79" s="27"/>
      <c r="DO79" s="26" t="str" cm="1">
        <f t="array" ref="DO79">_xlfn.IFS(
   OR(CH79="",ISBLANK(CH79),CH79=0),0,
   ISNUMBER(MATCH(CH79,{2,3,5,7,11,13,17,19,23,29,31,37,41,43},0)),"소",
   AND(ISNUMBER(CH79),MOD(CH79,3)=0),"배",
   AND(ISNUMBER(CH79),CH79&gt;0),"자"
)</f>
        <v>배</v>
      </c>
      <c r="DP79" s="26" t="str" cm="1">
        <f t="array" ref="DP79">_xlfn.IFS(
   OR(CI79="",ISBLANK(CI79),CI79=0),0,
   ISNUMBER(MATCH(CI79,{2,3,5,7,11,13,17,19,23,29,31,37,41,43},0)),"소",
   AND(ISNUMBER(CI79),MOD(CI79,3)=0),"배",
   AND(ISNUMBER(CI79),CI79&gt;0),"자"
)</f>
        <v>소</v>
      </c>
      <c r="DQ79" s="26" t="str" cm="1">
        <f t="array" ref="DQ79">_xlfn.IFS(
   OR(CJ79="",ISBLANK(CJ79),CJ79=0),0,
   ISNUMBER(MATCH(CJ79,{2,3,5,7,11,13,17,19,23,29,31,37,41,43},0)),"소",
   AND(ISNUMBER(CJ79),MOD(CJ79,3)=0),"배",
   AND(ISNUMBER(CJ79),CJ79&gt;0),"자"
)</f>
        <v>배</v>
      </c>
      <c r="DR79" s="26" t="str" cm="1">
        <f t="array" ref="DR79">_xlfn.IFS(
   OR(CK79="",ISBLANK(CK79),CK79=0),0,
   ISNUMBER(MATCH(CK79,{2,3,5,7,11,13,17,19,23,29,31,37,41,43},0)),"소",
   AND(ISNUMBER(CK79),MOD(CK79,3)=0),"배",
   AND(ISNUMBER(CK79),CK79&gt;0),"자"
)</f>
        <v>소</v>
      </c>
      <c r="DS79" s="26" t="str" cm="1">
        <f t="array" ref="DS79">_xlfn.IFS(
   OR(CL79="",ISBLANK(CL79),CL79=0),0,
   ISNUMBER(MATCH(CL79,{2,3,5,7,11,13,17,19,23,29,31,37,41,43},0)),"소",
   AND(ISNUMBER(CL79),MOD(CL79,3)=0),"배",
   AND(ISNUMBER(CL79),CL79&gt;0),"자"
)</f>
        <v>배</v>
      </c>
      <c r="DT79" s="25"/>
    </row>
    <row r="80" spans="2:124" ht="14.25" thickBot="1" x14ac:dyDescent="0.35">
      <c r="B80" s="3">
        <v>2</v>
      </c>
      <c r="C80" s="3">
        <v>12</v>
      </c>
      <c r="D80" s="3">
        <v>20</v>
      </c>
      <c r="E80" s="3">
        <v>24</v>
      </c>
      <c r="F80" s="3">
        <v>34</v>
      </c>
      <c r="G80" s="3">
        <v>42</v>
      </c>
      <c r="H80" s="32"/>
      <c r="I80" s="3">
        <f t="shared" si="40"/>
        <v>2</v>
      </c>
      <c r="J80" s="3">
        <f t="shared" si="41"/>
        <v>2</v>
      </c>
      <c r="K80" s="3">
        <f t="shared" si="42"/>
        <v>2</v>
      </c>
      <c r="L80" s="3">
        <f t="shared" si="43"/>
        <v>2</v>
      </c>
      <c r="M80" s="3">
        <f t="shared" si="44"/>
        <v>2</v>
      </c>
      <c r="N80" s="3">
        <f t="shared" si="45"/>
        <v>2</v>
      </c>
      <c r="O80" s="32"/>
      <c r="P80" s="3" cm="1">
        <f t="array" ref="P80">SUMPRODUCT(--(MOD(B80:G80,2)=1))</f>
        <v>0</v>
      </c>
      <c r="Q80" s="3">
        <f t="shared" si="46"/>
        <v>6</v>
      </c>
      <c r="R80" s="34"/>
      <c r="S80" s="3">
        <f t="shared" si="47"/>
        <v>3</v>
      </c>
      <c r="T80" s="3">
        <f t="shared" si="48"/>
        <v>3</v>
      </c>
      <c r="U80" s="34"/>
      <c r="V80" s="3" cm="1">
        <f t="array" ref="V80">SUMPRODUCT(--(MOD(B80:G80,10)&gt;=1), --(MOD(B80:G80,10)&lt;=5))</f>
        <v>5</v>
      </c>
      <c r="W80" s="3">
        <f t="shared" si="49"/>
        <v>1</v>
      </c>
      <c r="X80" s="34"/>
      <c r="Y80" s="3" cm="1">
        <f t="array" ref="Y80">IFERROR(COUNT(_xlfn._xlws.FILTER(B80:G80, ISNUMBER(MATCH(B80:G80, {2,3,5,7,11,13,17,19,23,29,31,37,41,43}, 0)))), 0)</f>
        <v>1</v>
      </c>
      <c r="Z80" s="3" cm="1">
        <f t="array" ref="Z80">IFERROR(COUNT(_xlfn._xlws.FILTER(B80:G80, ISNUMBER(MATCH(B80:G80, {1,4,8,10,14,16,20,22,25,26,28,32,34,35,38,40,44}, 0)))), 0)</f>
        <v>2</v>
      </c>
      <c r="AA80" s="3" cm="1">
        <f t="array" ref="AA80">IFERROR(COUNT(_xlfn._xlws.FILTER(B80:G80, ISNUMBER(MATCH(B80:G80, {6,9,12,15,18,21,24,27,30,33,36,39,42,45}, 0)))), 0)</f>
        <v>3</v>
      </c>
      <c r="AB80" s="30"/>
      <c r="AC80" s="26" t="str" cm="1">
        <f t="array" ref="AC80">_xlfn.IFS(
   OR(B80="",ISBLANK(B80),B80=0),0,
   ISNUMBER(MATCH(B80,{2,3,5,7,11,13,17,19,23,29,31,37,41,43},0)),"소",
   AND(ISNUMBER(B80),MOD(B80,3)=0),"배",
   AND(ISNUMBER(B80),B80&gt;0),"자"
)</f>
        <v>소</v>
      </c>
      <c r="AD80" s="26" t="str" cm="1">
        <f t="array" ref="AD80">_xlfn.IFS(
   OR(C80="",ISBLANK(C80),C80=0),0,
   ISNUMBER(MATCH(C80,{2,3,5,7,11,13,17,19,23,29,31,37,41,43},0)),"소",
   AND(ISNUMBER(C80),MOD(C80,3)=0),"배",
   AND(ISNUMBER(C80),C80&gt;0),"자"
)</f>
        <v>배</v>
      </c>
      <c r="AE80" s="26" t="str" cm="1">
        <f t="array" ref="AE80">_xlfn.IFS(
   OR(D80="",ISBLANK(D80),D80=0),0,
   ISNUMBER(MATCH(D80,{2,3,5,7,11,13,17,19,23,29,31,37,41,43},0)),"소",
   AND(ISNUMBER(D80),MOD(D80,3)=0),"배",
   AND(ISNUMBER(D80),D80&gt;0),"자"
)</f>
        <v>자</v>
      </c>
      <c r="AF80" s="26" t="str" cm="1">
        <f t="array" ref="AF80">_xlfn.IFS(
   OR(E80="",ISBLANK(E80),E80=0),0,
   ISNUMBER(MATCH(E80,{2,3,5,7,11,13,17,19,23,29,31,37,41,43},0)),"소",
   AND(ISNUMBER(E80),MOD(E80,3)=0),"배",
   AND(ISNUMBER(E80),E80&gt;0),"자"
)</f>
        <v>배</v>
      </c>
      <c r="AG80" s="26" t="str" cm="1">
        <f t="array" ref="AG80">_xlfn.IFS(
   OR(F80="",ISBLANK(F80),F80=0),0,
   ISNUMBER(MATCH(F80,{2,3,5,7,11,13,17,19,23,29,31,37,41,43},0)),"소",
   AND(ISNUMBER(F80),MOD(F80,3)=0),"배",
   AND(ISNUMBER(F80),F80&gt;0),"자"
)</f>
        <v>자</v>
      </c>
      <c r="AH80" s="26" t="str" cm="1">
        <f t="array" ref="AH80">_xlfn.IFS(
   OR(G80="",ISBLANK(G80),G80=0),0,
   ISNUMBER(MATCH(G80,{2,3,5,7,11,13,17,19,23,29,31,37,41,43},0)),"소",
   AND(ISNUMBER(G80),MOD(G80,3)=0),"배",
   AND(ISNUMBER(G80),G80&gt;0),"자"
)</f>
        <v>배</v>
      </c>
      <c r="AI80" s="30"/>
      <c r="AJ80" s="3">
        <f t="shared" si="50"/>
        <v>2</v>
      </c>
      <c r="AK80" s="3">
        <f t="shared" si="51"/>
        <v>2</v>
      </c>
      <c r="AL80" s="3">
        <f t="shared" si="52"/>
        <v>2</v>
      </c>
      <c r="AM80" s="33"/>
      <c r="AN80" s="3">
        <f t="shared" si="53"/>
        <v>1</v>
      </c>
      <c r="AO80" s="3">
        <f t="shared" si="54"/>
        <v>1</v>
      </c>
      <c r="AP80" s="3">
        <f t="shared" si="55"/>
        <v>2</v>
      </c>
      <c r="AQ80" s="3">
        <f t="shared" si="56"/>
        <v>1</v>
      </c>
      <c r="AR80" s="3">
        <f t="shared" si="57"/>
        <v>1</v>
      </c>
      <c r="AS80" s="28" t="e">
        <f>#REF!</f>
        <v>#REF!</v>
      </c>
      <c r="AT80" s="28" t="e">
        <f>#REF!*2</f>
        <v>#REF!</v>
      </c>
      <c r="AU80" s="28" t="e">
        <f>#REF!</f>
        <v>#REF!</v>
      </c>
      <c r="AV80" s="28" t="e">
        <f>#REF!*2</f>
        <v>#REF!</v>
      </c>
      <c r="AW80" s="28" t="e">
        <f>#REF!</f>
        <v>#REF!</v>
      </c>
      <c r="AX80" s="28" t="e">
        <f>#REF!*2</f>
        <v>#REF!</v>
      </c>
      <c r="AY80" s="28" t="e">
        <f>#REF!</f>
        <v>#REF!</v>
      </c>
      <c r="AZ80" s="28" t="e">
        <f>#REF!*2</f>
        <v>#REF!</v>
      </c>
      <c r="BA80" s="28" t="e">
        <f>#REF!</f>
        <v>#REF!</v>
      </c>
      <c r="BB80" s="28" t="e">
        <f>#REF!*2</f>
        <v>#REF!</v>
      </c>
      <c r="BC80" s="28" t="e">
        <f>#REF!</f>
        <v>#REF!</v>
      </c>
      <c r="BD80" s="28" t="e">
        <f>#REF!*2</f>
        <v>#REF!</v>
      </c>
      <c r="BE80" s="9" t="e">
        <f>#REF!-#REF!</f>
        <v>#REF!</v>
      </c>
      <c r="BF80" s="9" t="e">
        <f>#REF!-#REF!</f>
        <v>#REF!</v>
      </c>
      <c r="BG80" s="9" t="e">
        <f>#REF!-#REF!</f>
        <v>#REF!</v>
      </c>
      <c r="BH80" s="9" t="e">
        <f>#REF!-#REF!</f>
        <v>#REF!</v>
      </c>
      <c r="BI80" s="9" t="e">
        <f>#REF!-#REF!</f>
        <v>#REF!</v>
      </c>
      <c r="BJ80" s="33"/>
      <c r="BK80" s="3">
        <f t="shared" si="58"/>
        <v>1</v>
      </c>
      <c r="BL80" s="3">
        <f t="shared" si="59"/>
        <v>1</v>
      </c>
      <c r="BM80" s="3">
        <f t="shared" si="60"/>
        <v>2</v>
      </c>
      <c r="BN80" s="3">
        <f t="shared" si="61"/>
        <v>1</v>
      </c>
      <c r="BO80" s="3">
        <f t="shared" si="62"/>
        <v>1</v>
      </c>
      <c r="BP80" s="28" t="e">
        <f>#REF!</f>
        <v>#REF!</v>
      </c>
      <c r="BQ80" s="28" t="e">
        <f>#REF!*2</f>
        <v>#REF!</v>
      </c>
      <c r="BR80" s="28" t="e">
        <f>#REF!</f>
        <v>#REF!</v>
      </c>
      <c r="BS80" s="28" t="e">
        <f>#REF!*2</f>
        <v>#REF!</v>
      </c>
      <c r="BT80" s="28" t="e">
        <f>#REF!</f>
        <v>#REF!</v>
      </c>
      <c r="BU80" s="28" t="e">
        <f>#REF!*2</f>
        <v>#REF!</v>
      </c>
      <c r="BV80" s="28" t="e">
        <f>#REF!</f>
        <v>#REF!</v>
      </c>
      <c r="BW80" s="28" t="e">
        <f>#REF!*2</f>
        <v>#REF!</v>
      </c>
      <c r="BX80" s="28" t="e">
        <f>#REF!</f>
        <v>#REF!</v>
      </c>
      <c r="BY80" s="28" t="e">
        <f>#REF!*2</f>
        <v>#REF!</v>
      </c>
      <c r="BZ80" s="28" t="e">
        <f>#REF!</f>
        <v>#REF!</v>
      </c>
      <c r="CA80" s="28" t="e">
        <f>#REF!*2</f>
        <v>#REF!</v>
      </c>
      <c r="CB80" s="9">
        <f t="shared" si="63"/>
        <v>10</v>
      </c>
      <c r="CC80" s="9">
        <f t="shared" si="64"/>
        <v>8</v>
      </c>
      <c r="CD80" s="9">
        <f t="shared" si="65"/>
        <v>4</v>
      </c>
      <c r="CE80" s="9">
        <f t="shared" si="66"/>
        <v>10</v>
      </c>
      <c r="CF80" s="9">
        <f t="shared" si="67"/>
        <v>8</v>
      </c>
      <c r="CG80" s="33"/>
      <c r="CH80" s="9">
        <f t="shared" si="68"/>
        <v>10</v>
      </c>
      <c r="CI80" s="9">
        <f t="shared" si="69"/>
        <v>8</v>
      </c>
      <c r="CJ80" s="9">
        <f t="shared" si="70"/>
        <v>4</v>
      </c>
      <c r="CK80" s="9">
        <f t="shared" si="71"/>
        <v>10</v>
      </c>
      <c r="CL80" s="9">
        <f t="shared" si="72"/>
        <v>8</v>
      </c>
      <c r="CM80" s="32"/>
      <c r="CN80" s="3">
        <f t="shared" si="73"/>
        <v>2</v>
      </c>
      <c r="CO80" s="3">
        <f t="shared" si="74"/>
        <v>2</v>
      </c>
      <c r="CP80" s="3">
        <f t="shared" si="75"/>
        <v>2</v>
      </c>
      <c r="CQ80" s="3">
        <f t="shared" si="76"/>
        <v>2</v>
      </c>
      <c r="CR80" s="3">
        <f t="shared" si="77"/>
        <v>2</v>
      </c>
      <c r="CS80" s="31"/>
      <c r="CT80" s="3" cm="1">
        <f t="array" ref="CT80">SUMPRODUCT(--(MOD(CH80:CL80,2)=1))</f>
        <v>0</v>
      </c>
      <c r="CU80" s="3">
        <f t="shared" si="78"/>
        <v>5</v>
      </c>
      <c r="CV80" s="30"/>
      <c r="CW80" s="3" cm="1">
        <f t="array" ref="CW80">SUMPRODUCT(--(MOD(CH80:CL80,10)&gt;=1), --(MOD(CH80:CL80,10)&lt;=5))</f>
        <v>1</v>
      </c>
      <c r="CX80" s="3">
        <f t="shared" si="79"/>
        <v>4</v>
      </c>
      <c r="CY80" s="30"/>
      <c r="CZ80" s="3" cm="1">
        <f t="array" ref="CZ80">IFERROR(COUNT(_xlfn._xlws.FILTER(CH80:CL80, ISNUMBER(MATCH(CH80:CL80, {2,3,5,7,11,13,17,19,23,29,31,37,41,43}, 0)))), 0)</f>
        <v>0</v>
      </c>
      <c r="DA80" s="3" cm="1">
        <f t="array" ref="DA80">IFERROR(COUNT(_xlfn._xlws.FILTER(CH80:CL80, ISNUMBER(MATCH(CH80:CL80, {1,4,8,10,14,16,20,22,25,26,28,32,34,35,38,40,44}, 0)))), 0)</f>
        <v>5</v>
      </c>
      <c r="DB80" s="3" cm="1">
        <f t="array" ref="DB80">IFERROR(COUNT(_xlfn._xlws.FILTER(CH80:CL80, ISNUMBER(MATCH(CH80:CL80, {6,9,12,15,18,21,24,27,30,33,36,39,42,45}, 0)))), 0)</f>
        <v>0</v>
      </c>
      <c r="DC80" s="29"/>
      <c r="DD80" s="28" t="e">
        <f>#REF!</f>
        <v>#REF!</v>
      </c>
      <c r="DE80" s="28" t="e">
        <f>#REF!*2</f>
        <v>#REF!</v>
      </c>
      <c r="DF80" s="28" t="e">
        <f>#REF!</f>
        <v>#REF!</v>
      </c>
      <c r="DG80" s="28" t="e">
        <f>#REF!*2</f>
        <v>#REF!</v>
      </c>
      <c r="DH80" s="28" t="e">
        <f>#REF!</f>
        <v>#REF!</v>
      </c>
      <c r="DI80" s="28" t="e">
        <f>#REF!*2</f>
        <v>#REF!</v>
      </c>
      <c r="DJ80" s="28" t="e">
        <f>#REF!</f>
        <v>#REF!</v>
      </c>
      <c r="DK80" s="28" t="e">
        <f>#REF!*2</f>
        <v>#REF!</v>
      </c>
      <c r="DL80" s="28" t="e">
        <f>#REF!</f>
        <v>#REF!</v>
      </c>
      <c r="DM80" s="28" t="e">
        <f>#REF!*2</f>
        <v>#REF!</v>
      </c>
      <c r="DN80" s="27"/>
      <c r="DO80" s="26" t="str" cm="1">
        <f t="array" ref="DO80">_xlfn.IFS(
   OR(CH80="",ISBLANK(CH80),CH80=0),0,
   ISNUMBER(MATCH(CH80,{2,3,5,7,11,13,17,19,23,29,31,37,41,43},0)),"소",
   AND(ISNUMBER(CH80),MOD(CH80,3)=0),"배",
   AND(ISNUMBER(CH80),CH80&gt;0),"자"
)</f>
        <v>자</v>
      </c>
      <c r="DP80" s="26" t="str" cm="1">
        <f t="array" ref="DP80">_xlfn.IFS(
   OR(CI80="",ISBLANK(CI80),CI80=0),0,
   ISNUMBER(MATCH(CI80,{2,3,5,7,11,13,17,19,23,29,31,37,41,43},0)),"소",
   AND(ISNUMBER(CI80),MOD(CI80,3)=0),"배",
   AND(ISNUMBER(CI80),CI80&gt;0),"자"
)</f>
        <v>자</v>
      </c>
      <c r="DQ80" s="26" t="str" cm="1">
        <f t="array" ref="DQ80">_xlfn.IFS(
   OR(CJ80="",ISBLANK(CJ80),CJ80=0),0,
   ISNUMBER(MATCH(CJ80,{2,3,5,7,11,13,17,19,23,29,31,37,41,43},0)),"소",
   AND(ISNUMBER(CJ80),MOD(CJ80,3)=0),"배",
   AND(ISNUMBER(CJ80),CJ80&gt;0),"자"
)</f>
        <v>자</v>
      </c>
      <c r="DR80" s="26" t="str" cm="1">
        <f t="array" ref="DR80">_xlfn.IFS(
   OR(CK80="",ISBLANK(CK80),CK80=0),0,
   ISNUMBER(MATCH(CK80,{2,3,5,7,11,13,17,19,23,29,31,37,41,43},0)),"소",
   AND(ISNUMBER(CK80),MOD(CK80,3)=0),"배",
   AND(ISNUMBER(CK80),CK80&gt;0),"자"
)</f>
        <v>자</v>
      </c>
      <c r="DS80" s="26" t="str" cm="1">
        <f t="array" ref="DS80">_xlfn.IFS(
   OR(CL80="",ISBLANK(CL80),CL80=0),0,
   ISNUMBER(MATCH(CL80,{2,3,5,7,11,13,17,19,23,29,31,37,41,43},0)),"소",
   AND(ISNUMBER(CL80),MOD(CL80,3)=0),"배",
   AND(ISNUMBER(CL80),CL80&gt;0),"자"
)</f>
        <v>자</v>
      </c>
      <c r="DT80" s="25"/>
    </row>
    <row r="81" spans="1:124" ht="14.25" thickBot="1" x14ac:dyDescent="0.35">
      <c r="A81" s="49"/>
      <c r="B81" s="17">
        <v>20</v>
      </c>
      <c r="C81" s="18">
        <v>21</v>
      </c>
      <c r="D81" s="18">
        <v>22</v>
      </c>
      <c r="E81" s="18">
        <v>25</v>
      </c>
      <c r="F81" s="18">
        <v>28</v>
      </c>
      <c r="G81" s="15">
        <v>29</v>
      </c>
      <c r="H81" s="32"/>
      <c r="I81" s="3">
        <f t="shared" si="40"/>
        <v>2</v>
      </c>
      <c r="J81" s="3">
        <f t="shared" si="41"/>
        <v>1</v>
      </c>
      <c r="K81" s="3">
        <f t="shared" si="42"/>
        <v>2</v>
      </c>
      <c r="L81" s="3">
        <f t="shared" si="43"/>
        <v>1</v>
      </c>
      <c r="M81" s="3">
        <f t="shared" si="44"/>
        <v>2</v>
      </c>
      <c r="N81" s="3">
        <f t="shared" si="45"/>
        <v>1</v>
      </c>
      <c r="O81" s="32"/>
      <c r="P81" s="3" cm="1">
        <f t="array" ref="P81">SUMPRODUCT(--(MOD(B81:G81,2)=1))</f>
        <v>3</v>
      </c>
      <c r="Q81" s="3">
        <f t="shared" si="46"/>
        <v>3</v>
      </c>
      <c r="R81" s="34"/>
      <c r="S81" s="3">
        <f t="shared" si="47"/>
        <v>3</v>
      </c>
      <c r="T81" s="3">
        <f t="shared" si="48"/>
        <v>3</v>
      </c>
      <c r="U81" s="34"/>
      <c r="V81" s="3" cm="1">
        <f t="array" ref="V81">SUMPRODUCT(--(MOD(B81:G81,10)&gt;=1), --(MOD(B81:G81,10)&lt;=5))</f>
        <v>3</v>
      </c>
      <c r="W81" s="3">
        <f t="shared" si="49"/>
        <v>3</v>
      </c>
      <c r="X81" s="34"/>
      <c r="Y81" s="3" cm="1">
        <f t="array" ref="Y81">IFERROR(COUNT(_xlfn._xlws.FILTER(B81:G81, ISNUMBER(MATCH(B81:G81, {2,3,5,7,11,13,17,19,23,29,31,37,41,43}, 0)))), 0)</f>
        <v>1</v>
      </c>
      <c r="Z81" s="3" cm="1">
        <f t="array" ref="Z81">IFERROR(COUNT(_xlfn._xlws.FILTER(B81:G81, ISNUMBER(MATCH(B81:G81, {1,4,8,10,14,16,20,22,25,26,28,32,34,35,38,40,44}, 0)))), 0)</f>
        <v>4</v>
      </c>
      <c r="AA81" s="3" cm="1">
        <f t="array" ref="AA81">IFERROR(COUNT(_xlfn._xlws.FILTER(B81:G81, ISNUMBER(MATCH(B81:G81, {6,9,12,15,18,21,24,27,30,33,36,39,42,45}, 0)))), 0)</f>
        <v>1</v>
      </c>
      <c r="AB81" s="30"/>
      <c r="AC81" s="26" t="str" cm="1">
        <f t="array" ref="AC81">_xlfn.IFS(
   OR(B81="",ISBLANK(B81),B81=0),0,
   ISNUMBER(MATCH(B81,{2,3,5,7,11,13,17,19,23,29,31,37,41,43},0)),"소",
   AND(ISNUMBER(B81),MOD(B81,3)=0),"배",
   AND(ISNUMBER(B81),B81&gt;0),"자"
)</f>
        <v>자</v>
      </c>
      <c r="AD81" s="26" t="str" cm="1">
        <f t="array" ref="AD81">_xlfn.IFS(
   OR(C81="",ISBLANK(C81),C81=0),0,
   ISNUMBER(MATCH(C81,{2,3,5,7,11,13,17,19,23,29,31,37,41,43},0)),"소",
   AND(ISNUMBER(C81),MOD(C81,3)=0),"배",
   AND(ISNUMBER(C81),C81&gt;0),"자"
)</f>
        <v>배</v>
      </c>
      <c r="AE81" s="26" t="str" cm="1">
        <f t="array" ref="AE81">_xlfn.IFS(
   OR(D81="",ISBLANK(D81),D81=0),0,
   ISNUMBER(MATCH(D81,{2,3,5,7,11,13,17,19,23,29,31,37,41,43},0)),"소",
   AND(ISNUMBER(D81),MOD(D81,3)=0),"배",
   AND(ISNUMBER(D81),D81&gt;0),"자"
)</f>
        <v>자</v>
      </c>
      <c r="AF81" s="26" t="str" cm="1">
        <f t="array" ref="AF81">_xlfn.IFS(
   OR(E81="",ISBLANK(E81),E81=0),0,
   ISNUMBER(MATCH(E81,{2,3,5,7,11,13,17,19,23,29,31,37,41,43},0)),"소",
   AND(ISNUMBER(E81),MOD(E81,3)=0),"배",
   AND(ISNUMBER(E81),E81&gt;0),"자"
)</f>
        <v>자</v>
      </c>
      <c r="AG81" s="26" t="str" cm="1">
        <f t="array" ref="AG81">_xlfn.IFS(
   OR(F81="",ISBLANK(F81),F81=0),0,
   ISNUMBER(MATCH(F81,{2,3,5,7,11,13,17,19,23,29,31,37,41,43},0)),"소",
   AND(ISNUMBER(F81),MOD(F81,3)=0),"배",
   AND(ISNUMBER(F81),F81&gt;0),"자"
)</f>
        <v>자</v>
      </c>
      <c r="AH81" s="26" t="str" cm="1">
        <f t="array" ref="AH81">_xlfn.IFS(
   OR(G81="",ISBLANK(G81),G81=0),0,
   ISNUMBER(MATCH(G81,{2,3,5,7,11,13,17,19,23,29,31,37,41,43},0)),"소",
   AND(ISNUMBER(G81),MOD(G81,3)=0),"배",
   AND(ISNUMBER(G81),G81&gt;0),"자"
)</f>
        <v>소</v>
      </c>
      <c r="AI81" s="30"/>
      <c r="AJ81" s="3">
        <f t="shared" si="50"/>
        <v>0</v>
      </c>
      <c r="AK81" s="3">
        <f t="shared" si="51"/>
        <v>6</v>
      </c>
      <c r="AL81" s="3">
        <f t="shared" si="52"/>
        <v>0</v>
      </c>
      <c r="AM81" s="33"/>
      <c r="AN81" s="3">
        <f t="shared" si="53"/>
        <v>0</v>
      </c>
      <c r="AO81" s="3">
        <f t="shared" si="54"/>
        <v>0</v>
      </c>
      <c r="AP81" s="3">
        <f t="shared" si="55"/>
        <v>4</v>
      </c>
      <c r="AQ81" s="3">
        <f t="shared" si="56"/>
        <v>2</v>
      </c>
      <c r="AR81" s="3">
        <f t="shared" si="57"/>
        <v>0</v>
      </c>
      <c r="AS81" s="28" t="e">
        <f>#REF!</f>
        <v>#REF!</v>
      </c>
      <c r="AT81" s="28" t="e">
        <f>#REF!*2</f>
        <v>#REF!</v>
      </c>
      <c r="AU81" s="28" t="e">
        <f>#REF!</f>
        <v>#REF!</v>
      </c>
      <c r="AV81" s="28" t="e">
        <f>#REF!*2</f>
        <v>#REF!</v>
      </c>
      <c r="AW81" s="28" t="e">
        <f>#REF!</f>
        <v>#REF!</v>
      </c>
      <c r="AX81" s="28" t="e">
        <f>#REF!*2</f>
        <v>#REF!</v>
      </c>
      <c r="AY81" s="28" t="e">
        <f>#REF!</f>
        <v>#REF!</v>
      </c>
      <c r="AZ81" s="28" t="e">
        <f>#REF!*2</f>
        <v>#REF!</v>
      </c>
      <c r="BA81" s="28" t="e">
        <f>#REF!</f>
        <v>#REF!</v>
      </c>
      <c r="BB81" s="28" t="e">
        <f>#REF!*2</f>
        <v>#REF!</v>
      </c>
      <c r="BC81" s="28" t="e">
        <f>#REF!</f>
        <v>#REF!</v>
      </c>
      <c r="BD81" s="28" t="e">
        <f>#REF!*2</f>
        <v>#REF!</v>
      </c>
      <c r="BE81" s="9" t="e">
        <f>#REF!-#REF!</f>
        <v>#REF!</v>
      </c>
      <c r="BF81" s="9" t="e">
        <f>#REF!-#REF!</f>
        <v>#REF!</v>
      </c>
      <c r="BG81" s="9" t="e">
        <f>#REF!-#REF!</f>
        <v>#REF!</v>
      </c>
      <c r="BH81" s="9" t="e">
        <f>#REF!-#REF!</f>
        <v>#REF!</v>
      </c>
      <c r="BI81" s="9" t="e">
        <f>#REF!-#REF!</f>
        <v>#REF!</v>
      </c>
      <c r="BJ81" s="33"/>
      <c r="BK81" s="3">
        <f t="shared" si="58"/>
        <v>0</v>
      </c>
      <c r="BL81" s="3">
        <f t="shared" si="59"/>
        <v>0</v>
      </c>
      <c r="BM81" s="3">
        <f t="shared" si="60"/>
        <v>6</v>
      </c>
      <c r="BN81" s="3">
        <f t="shared" si="61"/>
        <v>0</v>
      </c>
      <c r="BO81" s="3">
        <f t="shared" si="62"/>
        <v>0</v>
      </c>
      <c r="BP81" s="28" t="e">
        <f>#REF!</f>
        <v>#REF!</v>
      </c>
      <c r="BQ81" s="28" t="e">
        <f>#REF!*2</f>
        <v>#REF!</v>
      </c>
      <c r="BR81" s="28" t="e">
        <f>#REF!</f>
        <v>#REF!</v>
      </c>
      <c r="BS81" s="28" t="e">
        <f>#REF!*2</f>
        <v>#REF!</v>
      </c>
      <c r="BT81" s="28" t="e">
        <f>#REF!</f>
        <v>#REF!</v>
      </c>
      <c r="BU81" s="28" t="e">
        <f>#REF!*2</f>
        <v>#REF!</v>
      </c>
      <c r="BV81" s="28" t="e">
        <f>#REF!</f>
        <v>#REF!</v>
      </c>
      <c r="BW81" s="28" t="e">
        <f>#REF!*2</f>
        <v>#REF!</v>
      </c>
      <c r="BX81" s="28" t="e">
        <f>#REF!</f>
        <v>#REF!</v>
      </c>
      <c r="BY81" s="28" t="e">
        <f>#REF!*2</f>
        <v>#REF!</v>
      </c>
      <c r="BZ81" s="28" t="e">
        <f>#REF!</f>
        <v>#REF!</v>
      </c>
      <c r="CA81" s="28" t="e">
        <f>#REF!*2</f>
        <v>#REF!</v>
      </c>
      <c r="CB81" s="9">
        <f t="shared" si="63"/>
        <v>1</v>
      </c>
      <c r="CC81" s="9">
        <f t="shared" si="64"/>
        <v>1</v>
      </c>
      <c r="CD81" s="9">
        <f t="shared" si="65"/>
        <v>3</v>
      </c>
      <c r="CE81" s="9">
        <f t="shared" si="66"/>
        <v>3</v>
      </c>
      <c r="CF81" s="9">
        <f t="shared" si="67"/>
        <v>1</v>
      </c>
      <c r="CG81" s="33"/>
      <c r="CH81" s="9">
        <f t="shared" si="68"/>
        <v>1</v>
      </c>
      <c r="CI81" s="9">
        <f t="shared" si="69"/>
        <v>1</v>
      </c>
      <c r="CJ81" s="9">
        <f t="shared" si="70"/>
        <v>3</v>
      </c>
      <c r="CK81" s="9">
        <f t="shared" si="71"/>
        <v>3</v>
      </c>
      <c r="CL81" s="9">
        <f t="shared" si="72"/>
        <v>1</v>
      </c>
      <c r="CM81" s="32"/>
      <c r="CN81" s="3">
        <f t="shared" si="73"/>
        <v>1</v>
      </c>
      <c r="CO81" s="3">
        <f t="shared" si="74"/>
        <v>1</v>
      </c>
      <c r="CP81" s="3">
        <f t="shared" si="75"/>
        <v>1</v>
      </c>
      <c r="CQ81" s="3">
        <f t="shared" si="76"/>
        <v>1</v>
      </c>
      <c r="CR81" s="3">
        <f t="shared" si="77"/>
        <v>1</v>
      </c>
      <c r="CS81" s="31"/>
      <c r="CT81" s="3" cm="1">
        <f t="array" ref="CT81">SUMPRODUCT(--(MOD(CH81:CL81,2)=1))</f>
        <v>5</v>
      </c>
      <c r="CU81" s="3">
        <f t="shared" si="78"/>
        <v>0</v>
      </c>
      <c r="CV81" s="30"/>
      <c r="CW81" s="3" cm="1">
        <f t="array" ref="CW81">SUMPRODUCT(--(MOD(CH81:CL81,10)&gt;=1), --(MOD(CH81:CL81,10)&lt;=5))</f>
        <v>5</v>
      </c>
      <c r="CX81" s="3">
        <f t="shared" si="79"/>
        <v>0</v>
      </c>
      <c r="CY81" s="30"/>
      <c r="CZ81" s="3" cm="1">
        <f t="array" ref="CZ81">IFERROR(COUNT(_xlfn._xlws.FILTER(CH81:CL81, ISNUMBER(MATCH(CH81:CL81, {2,3,5,7,11,13,17,19,23,29,31,37,41,43}, 0)))), 0)</f>
        <v>2</v>
      </c>
      <c r="DA81" s="3" cm="1">
        <f t="array" ref="DA81">IFERROR(COUNT(_xlfn._xlws.FILTER(CH81:CL81, ISNUMBER(MATCH(CH81:CL81, {1,4,8,10,14,16,20,22,25,26,28,32,34,35,38,40,44}, 0)))), 0)</f>
        <v>3</v>
      </c>
      <c r="DB81" s="3" cm="1">
        <f t="array" ref="DB81">IFERROR(COUNT(_xlfn._xlws.FILTER(CH81:CL81, ISNUMBER(MATCH(CH81:CL81, {6,9,12,15,18,21,24,27,30,33,36,39,42,45}, 0)))), 0)</f>
        <v>0</v>
      </c>
      <c r="DC81" s="29"/>
      <c r="DD81" s="28" t="e">
        <f>#REF!</f>
        <v>#REF!</v>
      </c>
      <c r="DE81" s="28" t="e">
        <f>#REF!*2</f>
        <v>#REF!</v>
      </c>
      <c r="DF81" s="28" t="e">
        <f>#REF!</f>
        <v>#REF!</v>
      </c>
      <c r="DG81" s="28" t="e">
        <f>#REF!*2</f>
        <v>#REF!</v>
      </c>
      <c r="DH81" s="28" t="e">
        <f>#REF!</f>
        <v>#REF!</v>
      </c>
      <c r="DI81" s="28" t="e">
        <f>#REF!*2</f>
        <v>#REF!</v>
      </c>
      <c r="DJ81" s="28" t="e">
        <f>#REF!</f>
        <v>#REF!</v>
      </c>
      <c r="DK81" s="28" t="e">
        <f>#REF!*2</f>
        <v>#REF!</v>
      </c>
      <c r="DL81" s="28" t="e">
        <f>#REF!</f>
        <v>#REF!</v>
      </c>
      <c r="DM81" s="28" t="e">
        <f>#REF!*2</f>
        <v>#REF!</v>
      </c>
      <c r="DN81" s="27"/>
      <c r="DO81" s="26" t="str" cm="1">
        <f t="array" ref="DO81">_xlfn.IFS(
   OR(CH81="",ISBLANK(CH81),CH81=0),0,
   ISNUMBER(MATCH(CH81,{2,3,5,7,11,13,17,19,23,29,31,37,41,43},0)),"소",
   AND(ISNUMBER(CH81),MOD(CH81,3)=0),"배",
   AND(ISNUMBER(CH81),CH81&gt;0),"자"
)</f>
        <v>자</v>
      </c>
      <c r="DP81" s="26" t="str" cm="1">
        <f t="array" ref="DP81">_xlfn.IFS(
   OR(CI81="",ISBLANK(CI81),CI81=0),0,
   ISNUMBER(MATCH(CI81,{2,3,5,7,11,13,17,19,23,29,31,37,41,43},0)),"소",
   AND(ISNUMBER(CI81),MOD(CI81,3)=0),"배",
   AND(ISNUMBER(CI81),CI81&gt;0),"자"
)</f>
        <v>자</v>
      </c>
      <c r="DQ81" s="26" t="str" cm="1">
        <f t="array" ref="DQ81">_xlfn.IFS(
   OR(CJ81="",ISBLANK(CJ81),CJ81=0),0,
   ISNUMBER(MATCH(CJ81,{2,3,5,7,11,13,17,19,23,29,31,37,41,43},0)),"소",
   AND(ISNUMBER(CJ81),MOD(CJ81,3)=0),"배",
   AND(ISNUMBER(CJ81),CJ81&gt;0),"자"
)</f>
        <v>소</v>
      </c>
      <c r="DR81" s="26" t="str" cm="1">
        <f t="array" ref="DR81">_xlfn.IFS(
   OR(CK81="",ISBLANK(CK81),CK81=0),0,
   ISNUMBER(MATCH(CK81,{2,3,5,7,11,13,17,19,23,29,31,37,41,43},0)),"소",
   AND(ISNUMBER(CK81),MOD(CK81,3)=0),"배",
   AND(ISNUMBER(CK81),CK81&gt;0),"자"
)</f>
        <v>소</v>
      </c>
      <c r="DS81" s="26" t="str" cm="1">
        <f t="array" ref="DS81">_xlfn.IFS(
   OR(CL81="",ISBLANK(CL81),CL81=0),0,
   ISNUMBER(MATCH(CL81,{2,3,5,7,11,13,17,19,23,29,31,37,41,43},0)),"소",
   AND(ISNUMBER(CL81),MOD(CL81,3)=0),"배",
   AND(ISNUMBER(CL81),CL81&gt;0),"자"
)</f>
        <v>자</v>
      </c>
      <c r="DT81" s="25"/>
    </row>
    <row r="82" spans="1:124" x14ac:dyDescent="0.3">
      <c r="B82" s="3">
        <v>2</v>
      </c>
      <c r="C82" s="3">
        <v>13</v>
      </c>
      <c r="D82" s="3">
        <v>15</v>
      </c>
      <c r="E82" s="3">
        <v>16</v>
      </c>
      <c r="F82" s="3">
        <v>33</v>
      </c>
      <c r="G82" s="3">
        <v>43</v>
      </c>
      <c r="H82" s="32"/>
      <c r="I82" s="3">
        <f t="shared" si="40"/>
        <v>2</v>
      </c>
      <c r="J82" s="3">
        <f t="shared" si="41"/>
        <v>1</v>
      </c>
      <c r="K82" s="3">
        <f t="shared" si="42"/>
        <v>1</v>
      </c>
      <c r="L82" s="3">
        <f t="shared" si="43"/>
        <v>2</v>
      </c>
      <c r="M82" s="3">
        <f t="shared" si="44"/>
        <v>1</v>
      </c>
      <c r="N82" s="3">
        <f t="shared" si="45"/>
        <v>1</v>
      </c>
      <c r="O82" s="32"/>
      <c r="P82" s="3" cm="1">
        <f t="array" ref="P82">SUMPRODUCT(--(MOD(B82:G82,2)=1))</f>
        <v>4</v>
      </c>
      <c r="Q82" s="3">
        <f t="shared" si="46"/>
        <v>2</v>
      </c>
      <c r="R82" s="34"/>
      <c r="S82" s="3">
        <f t="shared" si="47"/>
        <v>4</v>
      </c>
      <c r="T82" s="3">
        <f t="shared" si="48"/>
        <v>2</v>
      </c>
      <c r="U82" s="34"/>
      <c r="V82" s="3" cm="1">
        <f t="array" ref="V82">SUMPRODUCT(--(MOD(B82:G82,10)&gt;=1), --(MOD(B82:G82,10)&lt;=5))</f>
        <v>5</v>
      </c>
      <c r="W82" s="3">
        <f t="shared" si="49"/>
        <v>1</v>
      </c>
      <c r="X82" s="34"/>
      <c r="Y82" s="3" cm="1">
        <f t="array" ref="Y82">IFERROR(COUNT(_xlfn._xlws.FILTER(B82:G82, ISNUMBER(MATCH(B82:G82, {2,3,5,7,11,13,17,19,23,29,31,37,41,43}, 0)))), 0)</f>
        <v>3</v>
      </c>
      <c r="Z82" s="3" cm="1">
        <f t="array" ref="Z82">IFERROR(COUNT(_xlfn._xlws.FILTER(B82:G82, ISNUMBER(MATCH(B82:G82, {1,4,8,10,14,16,20,22,25,26,28,32,34,35,38,40,44}, 0)))), 0)</f>
        <v>1</v>
      </c>
      <c r="AA82" s="3" cm="1">
        <f t="array" ref="AA82">IFERROR(COUNT(_xlfn._xlws.FILTER(B82:G82, ISNUMBER(MATCH(B82:G82, {6,9,12,15,18,21,24,27,30,33,36,39,42,45}, 0)))), 0)</f>
        <v>2</v>
      </c>
      <c r="AB82" s="30"/>
      <c r="AC82" s="26" t="str" cm="1">
        <f t="array" ref="AC82">_xlfn.IFS(
   OR(B82="",ISBLANK(B82),B82=0),0,
   ISNUMBER(MATCH(B82,{2,3,5,7,11,13,17,19,23,29,31,37,41,43},0)),"소",
   AND(ISNUMBER(B82),MOD(B82,3)=0),"배",
   AND(ISNUMBER(B82),B82&gt;0),"자"
)</f>
        <v>소</v>
      </c>
      <c r="AD82" s="26" t="str" cm="1">
        <f t="array" ref="AD82">_xlfn.IFS(
   OR(C82="",ISBLANK(C82),C82=0),0,
   ISNUMBER(MATCH(C82,{2,3,5,7,11,13,17,19,23,29,31,37,41,43},0)),"소",
   AND(ISNUMBER(C82),MOD(C82,3)=0),"배",
   AND(ISNUMBER(C82),C82&gt;0),"자"
)</f>
        <v>소</v>
      </c>
      <c r="AE82" s="26" t="str" cm="1">
        <f t="array" ref="AE82">_xlfn.IFS(
   OR(D82="",ISBLANK(D82),D82=0),0,
   ISNUMBER(MATCH(D82,{2,3,5,7,11,13,17,19,23,29,31,37,41,43},0)),"소",
   AND(ISNUMBER(D82),MOD(D82,3)=0),"배",
   AND(ISNUMBER(D82),D82&gt;0),"자"
)</f>
        <v>배</v>
      </c>
      <c r="AF82" s="26" t="str" cm="1">
        <f t="array" ref="AF82">_xlfn.IFS(
   OR(E82="",ISBLANK(E82),E82=0),0,
   ISNUMBER(MATCH(E82,{2,3,5,7,11,13,17,19,23,29,31,37,41,43},0)),"소",
   AND(ISNUMBER(E82),MOD(E82,3)=0),"배",
   AND(ISNUMBER(E82),E82&gt;0),"자"
)</f>
        <v>자</v>
      </c>
      <c r="AG82" s="26" t="str" cm="1">
        <f t="array" ref="AG82">_xlfn.IFS(
   OR(F82="",ISBLANK(F82),F82=0),0,
   ISNUMBER(MATCH(F82,{2,3,5,7,11,13,17,19,23,29,31,37,41,43},0)),"소",
   AND(ISNUMBER(F82),MOD(F82,3)=0),"배",
   AND(ISNUMBER(F82),F82&gt;0),"자"
)</f>
        <v>배</v>
      </c>
      <c r="AH82" s="26" t="str" cm="1">
        <f t="array" ref="AH82">_xlfn.IFS(
   OR(G82="",ISBLANK(G82),G82=0),0,
   ISNUMBER(MATCH(G82,{2,3,5,7,11,13,17,19,23,29,31,37,41,43},0)),"소",
   AND(ISNUMBER(G82),MOD(G82,3)=0),"배",
   AND(ISNUMBER(G82),G82&gt;0),"자"
)</f>
        <v>소</v>
      </c>
      <c r="AI82" s="30"/>
      <c r="AJ82" s="3">
        <f t="shared" si="50"/>
        <v>2</v>
      </c>
      <c r="AK82" s="3">
        <f t="shared" si="51"/>
        <v>2</v>
      </c>
      <c r="AL82" s="3">
        <f t="shared" si="52"/>
        <v>2</v>
      </c>
      <c r="AM82" s="33"/>
      <c r="AN82" s="3">
        <f t="shared" si="53"/>
        <v>1</v>
      </c>
      <c r="AO82" s="3">
        <f t="shared" si="54"/>
        <v>3</v>
      </c>
      <c r="AP82" s="3">
        <f t="shared" si="55"/>
        <v>0</v>
      </c>
      <c r="AQ82" s="3">
        <f t="shared" si="56"/>
        <v>1</v>
      </c>
      <c r="AR82" s="3">
        <f t="shared" si="57"/>
        <v>1</v>
      </c>
      <c r="AS82" s="28" t="e">
        <f>#REF!</f>
        <v>#REF!</v>
      </c>
      <c r="AT82" s="28" t="e">
        <f>#REF!*2</f>
        <v>#REF!</v>
      </c>
      <c r="AU82" s="28" t="e">
        <f>#REF!</f>
        <v>#REF!</v>
      </c>
      <c r="AV82" s="28" t="e">
        <f>#REF!*2</f>
        <v>#REF!</v>
      </c>
      <c r="AW82" s="28" t="e">
        <f>#REF!</f>
        <v>#REF!</v>
      </c>
      <c r="AX82" s="28" t="e">
        <f>#REF!*2</f>
        <v>#REF!</v>
      </c>
      <c r="AY82" s="28" t="e">
        <f>#REF!</f>
        <v>#REF!</v>
      </c>
      <c r="AZ82" s="28" t="e">
        <f>#REF!*2</f>
        <v>#REF!</v>
      </c>
      <c r="BA82" s="28" t="e">
        <f>#REF!</f>
        <v>#REF!</v>
      </c>
      <c r="BB82" s="28" t="e">
        <f>#REF!*2</f>
        <v>#REF!</v>
      </c>
      <c r="BC82" s="28" t="e">
        <f>#REF!</f>
        <v>#REF!</v>
      </c>
      <c r="BD82" s="28" t="e">
        <f>#REF!*2</f>
        <v>#REF!</v>
      </c>
      <c r="BE82" s="9" t="e">
        <f>#REF!-#REF!</f>
        <v>#REF!</v>
      </c>
      <c r="BF82" s="9" t="e">
        <f>#REF!-#REF!</f>
        <v>#REF!</v>
      </c>
      <c r="BG82" s="9" t="e">
        <f>#REF!-#REF!</f>
        <v>#REF!</v>
      </c>
      <c r="BH82" s="9" t="e">
        <f>#REF!-#REF!</f>
        <v>#REF!</v>
      </c>
      <c r="BI82" s="9" t="e">
        <f>#REF!-#REF!</f>
        <v>#REF!</v>
      </c>
      <c r="BJ82" s="33"/>
      <c r="BK82" s="3">
        <f t="shared" si="58"/>
        <v>1</v>
      </c>
      <c r="BL82" s="3">
        <f t="shared" si="59"/>
        <v>3</v>
      </c>
      <c r="BM82" s="3">
        <f t="shared" si="60"/>
        <v>0</v>
      </c>
      <c r="BN82" s="3">
        <f t="shared" si="61"/>
        <v>1</v>
      </c>
      <c r="BO82" s="3">
        <f t="shared" si="62"/>
        <v>1</v>
      </c>
      <c r="BP82" s="28" t="e">
        <f>#REF!</f>
        <v>#REF!</v>
      </c>
      <c r="BQ82" s="28" t="e">
        <f>#REF!*2</f>
        <v>#REF!</v>
      </c>
      <c r="BR82" s="28" t="e">
        <f>#REF!</f>
        <v>#REF!</v>
      </c>
      <c r="BS82" s="28" t="e">
        <f>#REF!*2</f>
        <v>#REF!</v>
      </c>
      <c r="BT82" s="28" t="e">
        <f>#REF!</f>
        <v>#REF!</v>
      </c>
      <c r="BU82" s="28" t="e">
        <f>#REF!*2</f>
        <v>#REF!</v>
      </c>
      <c r="BV82" s="28" t="e">
        <f>#REF!</f>
        <v>#REF!</v>
      </c>
      <c r="BW82" s="28" t="e">
        <f>#REF!*2</f>
        <v>#REF!</v>
      </c>
      <c r="BX82" s="28" t="e">
        <f>#REF!</f>
        <v>#REF!</v>
      </c>
      <c r="BY82" s="28" t="e">
        <f>#REF!*2</f>
        <v>#REF!</v>
      </c>
      <c r="BZ82" s="28" t="e">
        <f>#REF!</f>
        <v>#REF!</v>
      </c>
      <c r="CA82" s="28" t="e">
        <f>#REF!*2</f>
        <v>#REF!</v>
      </c>
      <c r="CB82" s="9">
        <f t="shared" si="63"/>
        <v>11</v>
      </c>
      <c r="CC82" s="9">
        <f t="shared" si="64"/>
        <v>2</v>
      </c>
      <c r="CD82" s="9">
        <f t="shared" si="65"/>
        <v>1</v>
      </c>
      <c r="CE82" s="9">
        <f t="shared" si="66"/>
        <v>17</v>
      </c>
      <c r="CF82" s="9">
        <f t="shared" si="67"/>
        <v>10</v>
      </c>
      <c r="CG82" s="33"/>
      <c r="CH82" s="9">
        <f t="shared" si="68"/>
        <v>11</v>
      </c>
      <c r="CI82" s="9">
        <f t="shared" si="69"/>
        <v>2</v>
      </c>
      <c r="CJ82" s="9">
        <f t="shared" si="70"/>
        <v>1</v>
      </c>
      <c r="CK82" s="9">
        <f t="shared" si="71"/>
        <v>17</v>
      </c>
      <c r="CL82" s="9">
        <f t="shared" si="72"/>
        <v>10</v>
      </c>
      <c r="CM82" s="32"/>
      <c r="CN82" s="3">
        <f t="shared" si="73"/>
        <v>1</v>
      </c>
      <c r="CO82" s="3">
        <f t="shared" si="74"/>
        <v>2</v>
      </c>
      <c r="CP82" s="3">
        <f t="shared" si="75"/>
        <v>1</v>
      </c>
      <c r="CQ82" s="3">
        <f t="shared" si="76"/>
        <v>1</v>
      </c>
      <c r="CR82" s="3">
        <f t="shared" si="77"/>
        <v>2</v>
      </c>
      <c r="CS82" s="31"/>
      <c r="CT82" s="3" cm="1">
        <f t="array" ref="CT82">SUMPRODUCT(--(MOD(CH82:CL82,2)=1))</f>
        <v>3</v>
      </c>
      <c r="CU82" s="3">
        <f t="shared" si="78"/>
        <v>2</v>
      </c>
      <c r="CV82" s="30"/>
      <c r="CW82" s="3" cm="1">
        <f t="array" ref="CW82">SUMPRODUCT(--(MOD(CH82:CL82,10)&gt;=1), --(MOD(CH82:CL82,10)&lt;=5))</f>
        <v>3</v>
      </c>
      <c r="CX82" s="3">
        <f t="shared" si="79"/>
        <v>2</v>
      </c>
      <c r="CY82" s="30"/>
      <c r="CZ82" s="3" cm="1">
        <f t="array" ref="CZ82">IFERROR(COUNT(_xlfn._xlws.FILTER(CH82:CL82, ISNUMBER(MATCH(CH82:CL82, {2,3,5,7,11,13,17,19,23,29,31,37,41,43}, 0)))), 0)</f>
        <v>3</v>
      </c>
      <c r="DA82" s="3" cm="1">
        <f t="array" ref="DA82">IFERROR(COUNT(_xlfn._xlws.FILTER(CH82:CL82, ISNUMBER(MATCH(CH82:CL82, {1,4,8,10,14,16,20,22,25,26,28,32,34,35,38,40,44}, 0)))), 0)</f>
        <v>2</v>
      </c>
      <c r="DB82" s="3" cm="1">
        <f t="array" ref="DB82">IFERROR(COUNT(_xlfn._xlws.FILTER(CH82:CL82, ISNUMBER(MATCH(CH82:CL82, {6,9,12,15,18,21,24,27,30,33,36,39,42,45}, 0)))), 0)</f>
        <v>0</v>
      </c>
      <c r="DC82" s="29"/>
      <c r="DD82" s="28" t="e">
        <f>#REF!</f>
        <v>#REF!</v>
      </c>
      <c r="DE82" s="28" t="e">
        <f>#REF!*2</f>
        <v>#REF!</v>
      </c>
      <c r="DF82" s="28" t="e">
        <f>#REF!</f>
        <v>#REF!</v>
      </c>
      <c r="DG82" s="28" t="e">
        <f>#REF!*2</f>
        <v>#REF!</v>
      </c>
      <c r="DH82" s="28" t="e">
        <f>#REF!</f>
        <v>#REF!</v>
      </c>
      <c r="DI82" s="28" t="e">
        <f>#REF!*2</f>
        <v>#REF!</v>
      </c>
      <c r="DJ82" s="28" t="e">
        <f>#REF!</f>
        <v>#REF!</v>
      </c>
      <c r="DK82" s="28" t="e">
        <f>#REF!*2</f>
        <v>#REF!</v>
      </c>
      <c r="DL82" s="28" t="e">
        <f>#REF!</f>
        <v>#REF!</v>
      </c>
      <c r="DM82" s="28" t="e">
        <f>#REF!*2</f>
        <v>#REF!</v>
      </c>
      <c r="DN82" s="27"/>
      <c r="DO82" s="26" t="str" cm="1">
        <f t="array" ref="DO82">_xlfn.IFS(
   OR(CH82="",ISBLANK(CH82),CH82=0),0,
   ISNUMBER(MATCH(CH82,{2,3,5,7,11,13,17,19,23,29,31,37,41,43},0)),"소",
   AND(ISNUMBER(CH82),MOD(CH82,3)=0),"배",
   AND(ISNUMBER(CH82),CH82&gt;0),"자"
)</f>
        <v>소</v>
      </c>
      <c r="DP82" s="26" t="str" cm="1">
        <f t="array" ref="DP82">_xlfn.IFS(
   OR(CI82="",ISBLANK(CI82),CI82=0),0,
   ISNUMBER(MATCH(CI82,{2,3,5,7,11,13,17,19,23,29,31,37,41,43},0)),"소",
   AND(ISNUMBER(CI82),MOD(CI82,3)=0),"배",
   AND(ISNUMBER(CI82),CI82&gt;0),"자"
)</f>
        <v>소</v>
      </c>
      <c r="DQ82" s="26" t="str" cm="1">
        <f t="array" ref="DQ82">_xlfn.IFS(
   OR(CJ82="",ISBLANK(CJ82),CJ82=0),0,
   ISNUMBER(MATCH(CJ82,{2,3,5,7,11,13,17,19,23,29,31,37,41,43},0)),"소",
   AND(ISNUMBER(CJ82),MOD(CJ82,3)=0),"배",
   AND(ISNUMBER(CJ82),CJ82&gt;0),"자"
)</f>
        <v>자</v>
      </c>
      <c r="DR82" s="26" t="str" cm="1">
        <f t="array" ref="DR82">_xlfn.IFS(
   OR(CK82="",ISBLANK(CK82),CK82=0),0,
   ISNUMBER(MATCH(CK82,{2,3,5,7,11,13,17,19,23,29,31,37,41,43},0)),"소",
   AND(ISNUMBER(CK82),MOD(CK82,3)=0),"배",
   AND(ISNUMBER(CK82),CK82&gt;0),"자"
)</f>
        <v>소</v>
      </c>
      <c r="DS82" s="26" t="str" cm="1">
        <f t="array" ref="DS82">_xlfn.IFS(
   OR(CL82="",ISBLANK(CL82),CL82=0),0,
   ISNUMBER(MATCH(CL82,{2,3,5,7,11,13,17,19,23,29,31,37,41,43},0)),"소",
   AND(ISNUMBER(CL82),MOD(CL82,3)=0),"배",
   AND(ISNUMBER(CL82),CL82&gt;0),"자"
)</f>
        <v>자</v>
      </c>
      <c r="DT82" s="25"/>
    </row>
    <row r="83" spans="1:124" x14ac:dyDescent="0.3">
      <c r="B83" s="3">
        <v>17</v>
      </c>
      <c r="C83" s="3">
        <v>18</v>
      </c>
      <c r="D83" s="3">
        <v>23</v>
      </c>
      <c r="E83" s="3">
        <v>25</v>
      </c>
      <c r="F83" s="3">
        <v>38</v>
      </c>
      <c r="G83" s="3">
        <v>39</v>
      </c>
      <c r="H83" s="32"/>
      <c r="I83" s="3">
        <f t="shared" si="40"/>
        <v>1</v>
      </c>
      <c r="J83" s="3">
        <f t="shared" si="41"/>
        <v>2</v>
      </c>
      <c r="K83" s="3">
        <f t="shared" si="42"/>
        <v>1</v>
      </c>
      <c r="L83" s="3">
        <f t="shared" si="43"/>
        <v>1</v>
      </c>
      <c r="M83" s="3">
        <f t="shared" si="44"/>
        <v>2</v>
      </c>
      <c r="N83" s="3">
        <f t="shared" si="45"/>
        <v>1</v>
      </c>
      <c r="O83" s="32"/>
      <c r="P83" s="3" cm="1">
        <f t="array" ref="P83">SUMPRODUCT(--(MOD(B83:G83,2)=1))</f>
        <v>4</v>
      </c>
      <c r="Q83" s="3">
        <f t="shared" si="46"/>
        <v>2</v>
      </c>
      <c r="R83" s="34"/>
      <c r="S83" s="3">
        <f t="shared" si="47"/>
        <v>3</v>
      </c>
      <c r="T83" s="3">
        <f t="shared" si="48"/>
        <v>3</v>
      </c>
      <c r="U83" s="34"/>
      <c r="V83" s="3" cm="1">
        <f t="array" ref="V83">SUMPRODUCT(--(MOD(B83:G83,10)&gt;=1), --(MOD(B83:G83,10)&lt;=5))</f>
        <v>2</v>
      </c>
      <c r="W83" s="3">
        <f t="shared" si="49"/>
        <v>4</v>
      </c>
      <c r="X83" s="34"/>
      <c r="Y83" s="3" cm="1">
        <f t="array" ref="Y83">IFERROR(COUNT(_xlfn._xlws.FILTER(B83:G83, ISNUMBER(MATCH(B83:G83, {2,3,5,7,11,13,17,19,23,29,31,37,41,43}, 0)))), 0)</f>
        <v>2</v>
      </c>
      <c r="Z83" s="3" cm="1">
        <f t="array" ref="Z83">IFERROR(COUNT(_xlfn._xlws.FILTER(B83:G83, ISNUMBER(MATCH(B83:G83, {1,4,8,10,14,16,20,22,25,26,28,32,34,35,38,40,44}, 0)))), 0)</f>
        <v>2</v>
      </c>
      <c r="AA83" s="3" cm="1">
        <f t="array" ref="AA83">IFERROR(COUNT(_xlfn._xlws.FILTER(B83:G83, ISNUMBER(MATCH(B83:G83, {6,9,12,15,18,21,24,27,30,33,36,39,42,45}, 0)))), 0)</f>
        <v>2</v>
      </c>
      <c r="AB83" s="30"/>
      <c r="AC83" s="26" t="str" cm="1">
        <f t="array" ref="AC83">_xlfn.IFS(
   OR(B83="",ISBLANK(B83),B83=0),0,
   ISNUMBER(MATCH(B83,{2,3,5,7,11,13,17,19,23,29,31,37,41,43},0)),"소",
   AND(ISNUMBER(B83),MOD(B83,3)=0),"배",
   AND(ISNUMBER(B83),B83&gt;0),"자"
)</f>
        <v>소</v>
      </c>
      <c r="AD83" s="26" t="str" cm="1">
        <f t="array" ref="AD83">_xlfn.IFS(
   OR(C83="",ISBLANK(C83),C83=0),0,
   ISNUMBER(MATCH(C83,{2,3,5,7,11,13,17,19,23,29,31,37,41,43},0)),"소",
   AND(ISNUMBER(C83),MOD(C83,3)=0),"배",
   AND(ISNUMBER(C83),C83&gt;0),"자"
)</f>
        <v>배</v>
      </c>
      <c r="AE83" s="26" t="str" cm="1">
        <f t="array" ref="AE83">_xlfn.IFS(
   OR(D83="",ISBLANK(D83),D83=0),0,
   ISNUMBER(MATCH(D83,{2,3,5,7,11,13,17,19,23,29,31,37,41,43},0)),"소",
   AND(ISNUMBER(D83),MOD(D83,3)=0),"배",
   AND(ISNUMBER(D83),D83&gt;0),"자"
)</f>
        <v>소</v>
      </c>
      <c r="AF83" s="26" t="str" cm="1">
        <f t="array" ref="AF83">_xlfn.IFS(
   OR(E83="",ISBLANK(E83),E83=0),0,
   ISNUMBER(MATCH(E83,{2,3,5,7,11,13,17,19,23,29,31,37,41,43},0)),"소",
   AND(ISNUMBER(E83),MOD(E83,3)=0),"배",
   AND(ISNUMBER(E83),E83&gt;0),"자"
)</f>
        <v>자</v>
      </c>
      <c r="AG83" s="26" t="str" cm="1">
        <f t="array" ref="AG83">_xlfn.IFS(
   OR(F83="",ISBLANK(F83),F83=0),0,
   ISNUMBER(MATCH(F83,{2,3,5,7,11,13,17,19,23,29,31,37,41,43},0)),"소",
   AND(ISNUMBER(F83),MOD(F83,3)=0),"배",
   AND(ISNUMBER(F83),F83&gt;0),"자"
)</f>
        <v>자</v>
      </c>
      <c r="AH83" s="26" t="str" cm="1">
        <f t="array" ref="AH83">_xlfn.IFS(
   OR(G83="",ISBLANK(G83),G83=0),0,
   ISNUMBER(MATCH(G83,{2,3,5,7,11,13,17,19,23,29,31,37,41,43},0)),"소",
   AND(ISNUMBER(G83),MOD(G83,3)=0),"배",
   AND(ISNUMBER(G83),G83&gt;0),"자"
)</f>
        <v>배</v>
      </c>
      <c r="AI83" s="30"/>
      <c r="AJ83" s="3">
        <f t="shared" si="50"/>
        <v>0</v>
      </c>
      <c r="AK83" s="3">
        <f t="shared" si="51"/>
        <v>4</v>
      </c>
      <c r="AL83" s="3">
        <f t="shared" si="52"/>
        <v>2</v>
      </c>
      <c r="AM83" s="33"/>
      <c r="AN83" s="3">
        <f t="shared" si="53"/>
        <v>0</v>
      </c>
      <c r="AO83" s="3">
        <f t="shared" si="54"/>
        <v>2</v>
      </c>
      <c r="AP83" s="3">
        <f t="shared" si="55"/>
        <v>2</v>
      </c>
      <c r="AQ83" s="3">
        <f t="shared" si="56"/>
        <v>0</v>
      </c>
      <c r="AR83" s="3">
        <f t="shared" si="57"/>
        <v>2</v>
      </c>
      <c r="AS83" s="28" t="e">
        <f>#REF!</f>
        <v>#REF!</v>
      </c>
      <c r="AT83" s="28" t="e">
        <f>#REF!*2</f>
        <v>#REF!</v>
      </c>
      <c r="AU83" s="28" t="e">
        <f>#REF!</f>
        <v>#REF!</v>
      </c>
      <c r="AV83" s="28" t="e">
        <f>#REF!*2</f>
        <v>#REF!</v>
      </c>
      <c r="AW83" s="28" t="e">
        <f>#REF!</f>
        <v>#REF!</v>
      </c>
      <c r="AX83" s="28" t="e">
        <f>#REF!*2</f>
        <v>#REF!</v>
      </c>
      <c r="AY83" s="28" t="e">
        <f>#REF!</f>
        <v>#REF!</v>
      </c>
      <c r="AZ83" s="28" t="e">
        <f>#REF!*2</f>
        <v>#REF!</v>
      </c>
      <c r="BA83" s="28" t="e">
        <f>#REF!</f>
        <v>#REF!</v>
      </c>
      <c r="BB83" s="28" t="e">
        <f>#REF!*2</f>
        <v>#REF!</v>
      </c>
      <c r="BC83" s="28" t="e">
        <f>#REF!</f>
        <v>#REF!</v>
      </c>
      <c r="BD83" s="28" t="e">
        <f>#REF!*2</f>
        <v>#REF!</v>
      </c>
      <c r="BE83" s="9" t="e">
        <f>#REF!-#REF!</f>
        <v>#REF!</v>
      </c>
      <c r="BF83" s="9" t="e">
        <f>#REF!-#REF!</f>
        <v>#REF!</v>
      </c>
      <c r="BG83" s="9" t="e">
        <f>#REF!-#REF!</f>
        <v>#REF!</v>
      </c>
      <c r="BH83" s="9" t="e">
        <f>#REF!-#REF!</f>
        <v>#REF!</v>
      </c>
      <c r="BI83" s="9" t="e">
        <f>#REF!-#REF!</f>
        <v>#REF!</v>
      </c>
      <c r="BJ83" s="33"/>
      <c r="BK83" s="3">
        <f t="shared" si="58"/>
        <v>0</v>
      </c>
      <c r="BL83" s="3">
        <f t="shared" si="59"/>
        <v>2</v>
      </c>
      <c r="BM83" s="3">
        <f t="shared" si="60"/>
        <v>2</v>
      </c>
      <c r="BN83" s="3">
        <f t="shared" si="61"/>
        <v>2</v>
      </c>
      <c r="BO83" s="3">
        <f t="shared" si="62"/>
        <v>0</v>
      </c>
      <c r="BP83" s="28" t="e">
        <f>#REF!</f>
        <v>#REF!</v>
      </c>
      <c r="BQ83" s="28" t="e">
        <f>#REF!*2</f>
        <v>#REF!</v>
      </c>
      <c r="BR83" s="28" t="e">
        <f>#REF!</f>
        <v>#REF!</v>
      </c>
      <c r="BS83" s="28" t="e">
        <f>#REF!*2</f>
        <v>#REF!</v>
      </c>
      <c r="BT83" s="28" t="e">
        <f>#REF!</f>
        <v>#REF!</v>
      </c>
      <c r="BU83" s="28" t="e">
        <f>#REF!*2</f>
        <v>#REF!</v>
      </c>
      <c r="BV83" s="28" t="e">
        <f>#REF!</f>
        <v>#REF!</v>
      </c>
      <c r="BW83" s="28" t="e">
        <f>#REF!*2</f>
        <v>#REF!</v>
      </c>
      <c r="BX83" s="28" t="e">
        <f>#REF!</f>
        <v>#REF!</v>
      </c>
      <c r="BY83" s="28" t="e">
        <f>#REF!*2</f>
        <v>#REF!</v>
      </c>
      <c r="BZ83" s="28" t="e">
        <f>#REF!</f>
        <v>#REF!</v>
      </c>
      <c r="CA83" s="28" t="e">
        <f>#REF!*2</f>
        <v>#REF!</v>
      </c>
      <c r="CB83" s="9">
        <f t="shared" si="63"/>
        <v>1</v>
      </c>
      <c r="CC83" s="9">
        <f t="shared" si="64"/>
        <v>5</v>
      </c>
      <c r="CD83" s="9">
        <f t="shared" si="65"/>
        <v>2</v>
      </c>
      <c r="CE83" s="9">
        <f t="shared" si="66"/>
        <v>13</v>
      </c>
      <c r="CF83" s="9">
        <f t="shared" si="67"/>
        <v>1</v>
      </c>
      <c r="CG83" s="33"/>
      <c r="CH83" s="9">
        <f t="shared" si="68"/>
        <v>1</v>
      </c>
      <c r="CI83" s="9">
        <f t="shared" si="69"/>
        <v>5</v>
      </c>
      <c r="CJ83" s="9">
        <f t="shared" si="70"/>
        <v>2</v>
      </c>
      <c r="CK83" s="9">
        <f t="shared" si="71"/>
        <v>13</v>
      </c>
      <c r="CL83" s="9">
        <f t="shared" si="72"/>
        <v>1</v>
      </c>
      <c r="CM83" s="32"/>
      <c r="CN83" s="3">
        <f t="shared" si="73"/>
        <v>1</v>
      </c>
      <c r="CO83" s="3">
        <f t="shared" si="74"/>
        <v>1</v>
      </c>
      <c r="CP83" s="3">
        <f t="shared" si="75"/>
        <v>2</v>
      </c>
      <c r="CQ83" s="3">
        <f t="shared" si="76"/>
        <v>1</v>
      </c>
      <c r="CR83" s="3">
        <f t="shared" si="77"/>
        <v>1</v>
      </c>
      <c r="CS83" s="31"/>
      <c r="CT83" s="3" cm="1">
        <f t="array" ref="CT83">SUMPRODUCT(--(MOD(CH83:CL83,2)=1))</f>
        <v>4</v>
      </c>
      <c r="CU83" s="3">
        <f t="shared" si="78"/>
        <v>1</v>
      </c>
      <c r="CV83" s="30"/>
      <c r="CW83" s="3" cm="1">
        <f t="array" ref="CW83">SUMPRODUCT(--(MOD(CH83:CL83,10)&gt;=1), --(MOD(CH83:CL83,10)&lt;=5))</f>
        <v>5</v>
      </c>
      <c r="CX83" s="3">
        <f t="shared" si="79"/>
        <v>0</v>
      </c>
      <c r="CY83" s="30"/>
      <c r="CZ83" s="3" cm="1">
        <f t="array" ref="CZ83">IFERROR(COUNT(_xlfn._xlws.FILTER(CH83:CL83, ISNUMBER(MATCH(CH83:CL83, {2,3,5,7,11,13,17,19,23,29,31,37,41,43}, 0)))), 0)</f>
        <v>3</v>
      </c>
      <c r="DA83" s="3" cm="1">
        <f t="array" ref="DA83">IFERROR(COUNT(_xlfn._xlws.FILTER(CH83:CL83, ISNUMBER(MATCH(CH83:CL83, {1,4,8,10,14,16,20,22,25,26,28,32,34,35,38,40,44}, 0)))), 0)</f>
        <v>2</v>
      </c>
      <c r="DB83" s="3" cm="1">
        <f t="array" ref="DB83">IFERROR(COUNT(_xlfn._xlws.FILTER(CH83:CL83, ISNUMBER(MATCH(CH83:CL83, {6,9,12,15,18,21,24,27,30,33,36,39,42,45}, 0)))), 0)</f>
        <v>0</v>
      </c>
      <c r="DC83" s="29"/>
      <c r="DD83" s="28" t="e">
        <f>#REF!</f>
        <v>#REF!</v>
      </c>
      <c r="DE83" s="28" t="e">
        <f>#REF!*2</f>
        <v>#REF!</v>
      </c>
      <c r="DF83" s="28" t="e">
        <f>#REF!</f>
        <v>#REF!</v>
      </c>
      <c r="DG83" s="28" t="e">
        <f>#REF!*2</f>
        <v>#REF!</v>
      </c>
      <c r="DH83" s="28" t="e">
        <f>#REF!</f>
        <v>#REF!</v>
      </c>
      <c r="DI83" s="28" t="e">
        <f>#REF!*2</f>
        <v>#REF!</v>
      </c>
      <c r="DJ83" s="28" t="e">
        <f>#REF!</f>
        <v>#REF!</v>
      </c>
      <c r="DK83" s="28" t="e">
        <f>#REF!*2</f>
        <v>#REF!</v>
      </c>
      <c r="DL83" s="28" t="e">
        <f>#REF!</f>
        <v>#REF!</v>
      </c>
      <c r="DM83" s="28" t="e">
        <f>#REF!*2</f>
        <v>#REF!</v>
      </c>
      <c r="DN83" s="27"/>
      <c r="DO83" s="26" t="str" cm="1">
        <f t="array" ref="DO83">_xlfn.IFS(
   OR(CH83="",ISBLANK(CH83),CH83=0),0,
   ISNUMBER(MATCH(CH83,{2,3,5,7,11,13,17,19,23,29,31,37,41,43},0)),"소",
   AND(ISNUMBER(CH83),MOD(CH83,3)=0),"배",
   AND(ISNUMBER(CH83),CH83&gt;0),"자"
)</f>
        <v>자</v>
      </c>
      <c r="DP83" s="26" t="str" cm="1">
        <f t="array" ref="DP83">_xlfn.IFS(
   OR(CI83="",ISBLANK(CI83),CI83=0),0,
   ISNUMBER(MATCH(CI83,{2,3,5,7,11,13,17,19,23,29,31,37,41,43},0)),"소",
   AND(ISNUMBER(CI83),MOD(CI83,3)=0),"배",
   AND(ISNUMBER(CI83),CI83&gt;0),"자"
)</f>
        <v>소</v>
      </c>
      <c r="DQ83" s="26" t="str" cm="1">
        <f t="array" ref="DQ83">_xlfn.IFS(
   OR(CJ83="",ISBLANK(CJ83),CJ83=0),0,
   ISNUMBER(MATCH(CJ83,{2,3,5,7,11,13,17,19,23,29,31,37,41,43},0)),"소",
   AND(ISNUMBER(CJ83),MOD(CJ83,3)=0),"배",
   AND(ISNUMBER(CJ83),CJ83&gt;0),"자"
)</f>
        <v>소</v>
      </c>
      <c r="DR83" s="26" t="str" cm="1">
        <f t="array" ref="DR83">_xlfn.IFS(
   OR(CK83="",ISBLANK(CK83),CK83=0),0,
   ISNUMBER(MATCH(CK83,{2,3,5,7,11,13,17,19,23,29,31,37,41,43},0)),"소",
   AND(ISNUMBER(CK83),MOD(CK83,3)=0),"배",
   AND(ISNUMBER(CK83),CK83&gt;0),"자"
)</f>
        <v>소</v>
      </c>
      <c r="DS83" s="26" t="str" cm="1">
        <f t="array" ref="DS83">_xlfn.IFS(
   OR(CL83="",ISBLANK(CL83),CL83=0),0,
   ISNUMBER(MATCH(CL83,{2,3,5,7,11,13,17,19,23,29,31,37,41,43},0)),"소",
   AND(ISNUMBER(CL83),MOD(CL83,3)=0),"배",
   AND(ISNUMBER(CL83),CL83&gt;0),"자"
)</f>
        <v>자</v>
      </c>
      <c r="DT83" s="25"/>
    </row>
    <row r="84" spans="1:124" x14ac:dyDescent="0.3">
      <c r="B84" s="3">
        <v>6</v>
      </c>
      <c r="C84" s="3">
        <v>7</v>
      </c>
      <c r="D84" s="3">
        <v>27</v>
      </c>
      <c r="E84" s="3">
        <v>29</v>
      </c>
      <c r="F84" s="3">
        <v>38</v>
      </c>
      <c r="G84" s="3">
        <v>45</v>
      </c>
      <c r="H84" s="32"/>
      <c r="I84" s="3">
        <f t="shared" si="40"/>
        <v>2</v>
      </c>
      <c r="J84" s="3">
        <f t="shared" si="41"/>
        <v>1</v>
      </c>
      <c r="K84" s="3">
        <f t="shared" si="42"/>
        <v>1</v>
      </c>
      <c r="L84" s="3">
        <f t="shared" si="43"/>
        <v>1</v>
      </c>
      <c r="M84" s="3">
        <f t="shared" si="44"/>
        <v>2</v>
      </c>
      <c r="N84" s="3">
        <f t="shared" si="45"/>
        <v>1</v>
      </c>
      <c r="O84" s="32"/>
      <c r="P84" s="3" cm="1">
        <f t="array" ref="P84">SUMPRODUCT(--(MOD(B84:G84,2)=1))</f>
        <v>4</v>
      </c>
      <c r="Q84" s="3">
        <f t="shared" si="46"/>
        <v>2</v>
      </c>
      <c r="R84" s="34"/>
      <c r="S84" s="3">
        <f t="shared" si="47"/>
        <v>2</v>
      </c>
      <c r="T84" s="3">
        <f t="shared" si="48"/>
        <v>4</v>
      </c>
      <c r="U84" s="34"/>
      <c r="V84" s="3" cm="1">
        <f t="array" ref="V84">SUMPRODUCT(--(MOD(B84:G84,10)&gt;=1), --(MOD(B84:G84,10)&lt;=5))</f>
        <v>1</v>
      </c>
      <c r="W84" s="3">
        <f t="shared" si="49"/>
        <v>5</v>
      </c>
      <c r="X84" s="34"/>
      <c r="Y84" s="3" cm="1">
        <f t="array" ref="Y84">IFERROR(COUNT(_xlfn._xlws.FILTER(B84:G84, ISNUMBER(MATCH(B84:G84, {2,3,5,7,11,13,17,19,23,29,31,37,41,43}, 0)))), 0)</f>
        <v>2</v>
      </c>
      <c r="Z84" s="3" cm="1">
        <f t="array" ref="Z84">IFERROR(COUNT(_xlfn._xlws.FILTER(B84:G84, ISNUMBER(MATCH(B84:G84, {1,4,8,10,14,16,20,22,25,26,28,32,34,35,38,40,44}, 0)))), 0)</f>
        <v>1</v>
      </c>
      <c r="AA84" s="3" cm="1">
        <f t="array" ref="AA84">IFERROR(COUNT(_xlfn._xlws.FILTER(B84:G84, ISNUMBER(MATCH(B84:G84, {6,9,12,15,18,21,24,27,30,33,36,39,42,45}, 0)))), 0)</f>
        <v>3</v>
      </c>
      <c r="AB84" s="30"/>
      <c r="AC84" s="26" t="str" cm="1">
        <f t="array" ref="AC84">_xlfn.IFS(
   OR(B84="",ISBLANK(B84),B84=0),0,
   ISNUMBER(MATCH(B84,{2,3,5,7,11,13,17,19,23,29,31,37,41,43},0)),"소",
   AND(ISNUMBER(B84),MOD(B84,3)=0),"배",
   AND(ISNUMBER(B84),B84&gt;0),"자"
)</f>
        <v>배</v>
      </c>
      <c r="AD84" s="26" t="str" cm="1">
        <f t="array" ref="AD84">_xlfn.IFS(
   OR(C84="",ISBLANK(C84),C84=0),0,
   ISNUMBER(MATCH(C84,{2,3,5,7,11,13,17,19,23,29,31,37,41,43},0)),"소",
   AND(ISNUMBER(C84),MOD(C84,3)=0),"배",
   AND(ISNUMBER(C84),C84&gt;0),"자"
)</f>
        <v>소</v>
      </c>
      <c r="AE84" s="26" t="str" cm="1">
        <f t="array" ref="AE84">_xlfn.IFS(
   OR(D84="",ISBLANK(D84),D84=0),0,
   ISNUMBER(MATCH(D84,{2,3,5,7,11,13,17,19,23,29,31,37,41,43},0)),"소",
   AND(ISNUMBER(D84),MOD(D84,3)=0),"배",
   AND(ISNUMBER(D84),D84&gt;0),"자"
)</f>
        <v>배</v>
      </c>
      <c r="AF84" s="26" t="str" cm="1">
        <f t="array" ref="AF84">_xlfn.IFS(
   OR(E84="",ISBLANK(E84),E84=0),0,
   ISNUMBER(MATCH(E84,{2,3,5,7,11,13,17,19,23,29,31,37,41,43},0)),"소",
   AND(ISNUMBER(E84),MOD(E84,3)=0),"배",
   AND(ISNUMBER(E84),E84&gt;0),"자"
)</f>
        <v>소</v>
      </c>
      <c r="AG84" s="26" t="str" cm="1">
        <f t="array" ref="AG84">_xlfn.IFS(
   OR(F84="",ISBLANK(F84),F84=0),0,
   ISNUMBER(MATCH(F84,{2,3,5,7,11,13,17,19,23,29,31,37,41,43},0)),"소",
   AND(ISNUMBER(F84),MOD(F84,3)=0),"배",
   AND(ISNUMBER(F84),F84&gt;0),"자"
)</f>
        <v>자</v>
      </c>
      <c r="AH84" s="26" t="str" cm="1">
        <f t="array" ref="AH84">_xlfn.IFS(
   OR(G84="",ISBLANK(G84),G84=0),0,
   ISNUMBER(MATCH(G84,{2,3,5,7,11,13,17,19,23,29,31,37,41,43},0)),"소",
   AND(ISNUMBER(G84),MOD(G84,3)=0),"배",
   AND(ISNUMBER(G84),G84&gt;0),"자"
)</f>
        <v>배</v>
      </c>
      <c r="AI84" s="30"/>
      <c r="AJ84" s="3">
        <f t="shared" si="50"/>
        <v>2</v>
      </c>
      <c r="AK84" s="3">
        <f t="shared" si="51"/>
        <v>2</v>
      </c>
      <c r="AL84" s="3">
        <f t="shared" si="52"/>
        <v>2</v>
      </c>
      <c r="AM84" s="33"/>
      <c r="AN84" s="3">
        <f t="shared" si="53"/>
        <v>2</v>
      </c>
      <c r="AO84" s="3">
        <f t="shared" si="54"/>
        <v>0</v>
      </c>
      <c r="AP84" s="3">
        <f t="shared" si="55"/>
        <v>1</v>
      </c>
      <c r="AQ84" s="3">
        <f t="shared" si="56"/>
        <v>1</v>
      </c>
      <c r="AR84" s="3">
        <f t="shared" si="57"/>
        <v>2</v>
      </c>
      <c r="AS84" s="28" t="e">
        <f>#REF!</f>
        <v>#REF!</v>
      </c>
      <c r="AT84" s="28" t="e">
        <f>#REF!*2</f>
        <v>#REF!</v>
      </c>
      <c r="AU84" s="28" t="e">
        <f>#REF!</f>
        <v>#REF!</v>
      </c>
      <c r="AV84" s="28" t="e">
        <f>#REF!*2</f>
        <v>#REF!</v>
      </c>
      <c r="AW84" s="28" t="e">
        <f>#REF!</f>
        <v>#REF!</v>
      </c>
      <c r="AX84" s="28" t="e">
        <f>#REF!*2</f>
        <v>#REF!</v>
      </c>
      <c r="AY84" s="28" t="e">
        <f>#REF!</f>
        <v>#REF!</v>
      </c>
      <c r="AZ84" s="28" t="e">
        <f>#REF!*2</f>
        <v>#REF!</v>
      </c>
      <c r="BA84" s="28" t="e">
        <f>#REF!</f>
        <v>#REF!</v>
      </c>
      <c r="BB84" s="28" t="e">
        <f>#REF!*2</f>
        <v>#REF!</v>
      </c>
      <c r="BC84" s="28" t="e">
        <f>#REF!</f>
        <v>#REF!</v>
      </c>
      <c r="BD84" s="28" t="e">
        <f>#REF!*2</f>
        <v>#REF!</v>
      </c>
      <c r="BE84" s="9" t="e">
        <f>#REF!-#REF!</f>
        <v>#REF!</v>
      </c>
      <c r="BF84" s="9" t="e">
        <f>#REF!-#REF!</f>
        <v>#REF!</v>
      </c>
      <c r="BG84" s="9" t="e">
        <f>#REF!-#REF!</f>
        <v>#REF!</v>
      </c>
      <c r="BH84" s="9" t="e">
        <f>#REF!-#REF!</f>
        <v>#REF!</v>
      </c>
      <c r="BI84" s="9" t="e">
        <f>#REF!-#REF!</f>
        <v>#REF!</v>
      </c>
      <c r="BJ84" s="33"/>
      <c r="BK84" s="3">
        <f t="shared" si="58"/>
        <v>2</v>
      </c>
      <c r="BL84" s="3">
        <f t="shared" si="59"/>
        <v>0</v>
      </c>
      <c r="BM84" s="3">
        <f t="shared" si="60"/>
        <v>2</v>
      </c>
      <c r="BN84" s="3">
        <f t="shared" si="61"/>
        <v>1</v>
      </c>
      <c r="BO84" s="3">
        <f t="shared" si="62"/>
        <v>1</v>
      </c>
      <c r="BP84" s="28" t="e">
        <f>#REF!</f>
        <v>#REF!</v>
      </c>
      <c r="BQ84" s="28" t="e">
        <f>#REF!*2</f>
        <v>#REF!</v>
      </c>
      <c r="BR84" s="28" t="e">
        <f>#REF!</f>
        <v>#REF!</v>
      </c>
      <c r="BS84" s="28" t="e">
        <f>#REF!*2</f>
        <v>#REF!</v>
      </c>
      <c r="BT84" s="28" t="e">
        <f>#REF!</f>
        <v>#REF!</v>
      </c>
      <c r="BU84" s="28" t="e">
        <f>#REF!*2</f>
        <v>#REF!</v>
      </c>
      <c r="BV84" s="28" t="e">
        <f>#REF!</f>
        <v>#REF!</v>
      </c>
      <c r="BW84" s="28" t="e">
        <f>#REF!*2</f>
        <v>#REF!</v>
      </c>
      <c r="BX84" s="28" t="e">
        <f>#REF!</f>
        <v>#REF!</v>
      </c>
      <c r="BY84" s="28" t="e">
        <f>#REF!*2</f>
        <v>#REF!</v>
      </c>
      <c r="BZ84" s="28" t="e">
        <f>#REF!</f>
        <v>#REF!</v>
      </c>
      <c r="CA84" s="28" t="e">
        <f>#REF!*2</f>
        <v>#REF!</v>
      </c>
      <c r="CB84" s="9">
        <f t="shared" si="63"/>
        <v>1</v>
      </c>
      <c r="CC84" s="9">
        <f t="shared" si="64"/>
        <v>20</v>
      </c>
      <c r="CD84" s="9">
        <f t="shared" si="65"/>
        <v>2</v>
      </c>
      <c r="CE84" s="9">
        <f t="shared" si="66"/>
        <v>9</v>
      </c>
      <c r="CF84" s="9">
        <f t="shared" si="67"/>
        <v>7</v>
      </c>
      <c r="CG84" s="33"/>
      <c r="CH84" s="9">
        <f t="shared" si="68"/>
        <v>1</v>
      </c>
      <c r="CI84" s="9">
        <f t="shared" si="69"/>
        <v>20</v>
      </c>
      <c r="CJ84" s="9">
        <f t="shared" si="70"/>
        <v>2</v>
      </c>
      <c r="CK84" s="9">
        <f t="shared" si="71"/>
        <v>9</v>
      </c>
      <c r="CL84" s="9">
        <f t="shared" si="72"/>
        <v>7</v>
      </c>
      <c r="CM84" s="32"/>
      <c r="CN84" s="3">
        <f t="shared" si="73"/>
        <v>1</v>
      </c>
      <c r="CO84" s="3">
        <f t="shared" si="74"/>
        <v>2</v>
      </c>
      <c r="CP84" s="3">
        <f t="shared" si="75"/>
        <v>2</v>
      </c>
      <c r="CQ84" s="3">
        <f t="shared" si="76"/>
        <v>1</v>
      </c>
      <c r="CR84" s="3">
        <f t="shared" si="77"/>
        <v>1</v>
      </c>
      <c r="CS84" s="31"/>
      <c r="CT84" s="3" cm="1">
        <f t="array" ref="CT84">SUMPRODUCT(--(MOD(CH84:CL84,2)=1))</f>
        <v>3</v>
      </c>
      <c r="CU84" s="3">
        <f t="shared" si="78"/>
        <v>2</v>
      </c>
      <c r="CV84" s="30"/>
      <c r="CW84" s="3" cm="1">
        <f t="array" ref="CW84">SUMPRODUCT(--(MOD(CH84:CL84,10)&gt;=1), --(MOD(CH84:CL84,10)&lt;=5))</f>
        <v>2</v>
      </c>
      <c r="CX84" s="3">
        <f t="shared" si="79"/>
        <v>3</v>
      </c>
      <c r="CY84" s="30"/>
      <c r="CZ84" s="3" cm="1">
        <f t="array" ref="CZ84">IFERROR(COUNT(_xlfn._xlws.FILTER(CH84:CL84, ISNUMBER(MATCH(CH84:CL84, {2,3,5,7,11,13,17,19,23,29,31,37,41,43}, 0)))), 0)</f>
        <v>2</v>
      </c>
      <c r="DA84" s="3" cm="1">
        <f t="array" ref="DA84">IFERROR(COUNT(_xlfn._xlws.FILTER(CH84:CL84, ISNUMBER(MATCH(CH84:CL84, {1,4,8,10,14,16,20,22,25,26,28,32,34,35,38,40,44}, 0)))), 0)</f>
        <v>2</v>
      </c>
      <c r="DB84" s="3" cm="1">
        <f t="array" ref="DB84">IFERROR(COUNT(_xlfn._xlws.FILTER(CH84:CL84, ISNUMBER(MATCH(CH84:CL84, {6,9,12,15,18,21,24,27,30,33,36,39,42,45}, 0)))), 0)</f>
        <v>1</v>
      </c>
      <c r="DC84" s="29"/>
      <c r="DD84" s="28" t="e">
        <f>#REF!</f>
        <v>#REF!</v>
      </c>
      <c r="DE84" s="28" t="e">
        <f>#REF!*2</f>
        <v>#REF!</v>
      </c>
      <c r="DF84" s="28" t="e">
        <f>#REF!</f>
        <v>#REF!</v>
      </c>
      <c r="DG84" s="28" t="e">
        <f>#REF!*2</f>
        <v>#REF!</v>
      </c>
      <c r="DH84" s="28" t="e">
        <f>#REF!</f>
        <v>#REF!</v>
      </c>
      <c r="DI84" s="28" t="e">
        <f>#REF!*2</f>
        <v>#REF!</v>
      </c>
      <c r="DJ84" s="28" t="e">
        <f>#REF!</f>
        <v>#REF!</v>
      </c>
      <c r="DK84" s="28" t="e">
        <f>#REF!*2</f>
        <v>#REF!</v>
      </c>
      <c r="DL84" s="28" t="e">
        <f>#REF!</f>
        <v>#REF!</v>
      </c>
      <c r="DM84" s="28" t="e">
        <f>#REF!*2</f>
        <v>#REF!</v>
      </c>
      <c r="DN84" s="27"/>
      <c r="DO84" s="26" t="str" cm="1">
        <f t="array" ref="DO84">_xlfn.IFS(
   OR(CH84="",ISBLANK(CH84),CH84=0),0,
   ISNUMBER(MATCH(CH84,{2,3,5,7,11,13,17,19,23,29,31,37,41,43},0)),"소",
   AND(ISNUMBER(CH84),MOD(CH84,3)=0),"배",
   AND(ISNUMBER(CH84),CH84&gt;0),"자"
)</f>
        <v>자</v>
      </c>
      <c r="DP84" s="26" t="str" cm="1">
        <f t="array" ref="DP84">_xlfn.IFS(
   OR(CI84="",ISBLANK(CI84),CI84=0),0,
   ISNUMBER(MATCH(CI84,{2,3,5,7,11,13,17,19,23,29,31,37,41,43},0)),"소",
   AND(ISNUMBER(CI84),MOD(CI84,3)=0),"배",
   AND(ISNUMBER(CI84),CI84&gt;0),"자"
)</f>
        <v>자</v>
      </c>
      <c r="DQ84" s="26" t="str" cm="1">
        <f t="array" ref="DQ84">_xlfn.IFS(
   OR(CJ84="",ISBLANK(CJ84),CJ84=0),0,
   ISNUMBER(MATCH(CJ84,{2,3,5,7,11,13,17,19,23,29,31,37,41,43},0)),"소",
   AND(ISNUMBER(CJ84),MOD(CJ84,3)=0),"배",
   AND(ISNUMBER(CJ84),CJ84&gt;0),"자"
)</f>
        <v>소</v>
      </c>
      <c r="DR84" s="26" t="str" cm="1">
        <f t="array" ref="DR84">_xlfn.IFS(
   OR(CK84="",ISBLANK(CK84),CK84=0),0,
   ISNUMBER(MATCH(CK84,{2,3,5,7,11,13,17,19,23,29,31,37,41,43},0)),"소",
   AND(ISNUMBER(CK84),MOD(CK84,3)=0),"배",
   AND(ISNUMBER(CK84),CK84&gt;0),"자"
)</f>
        <v>배</v>
      </c>
      <c r="DS84" s="26" t="str" cm="1">
        <f t="array" ref="DS84">_xlfn.IFS(
   OR(CL84="",ISBLANK(CL84),CL84=0),0,
   ISNUMBER(MATCH(CL84,{2,3,5,7,11,13,17,19,23,29,31,37,41,43},0)),"소",
   AND(ISNUMBER(CL84),MOD(CL84,3)=0),"배",
   AND(ISNUMBER(CL84),CL84&gt;0),"자"
)</f>
        <v>소</v>
      </c>
      <c r="DT84" s="25"/>
    </row>
    <row r="85" spans="1:124" x14ac:dyDescent="0.3">
      <c r="B85" s="3">
        <v>14</v>
      </c>
      <c r="C85" s="3">
        <v>23</v>
      </c>
      <c r="D85" s="3">
        <v>25</v>
      </c>
      <c r="E85" s="3">
        <v>27</v>
      </c>
      <c r="F85" s="3">
        <v>29</v>
      </c>
      <c r="G85" s="3">
        <v>42</v>
      </c>
      <c r="H85" s="32"/>
      <c r="I85" s="3">
        <f t="shared" si="40"/>
        <v>2</v>
      </c>
      <c r="J85" s="3">
        <f t="shared" si="41"/>
        <v>1</v>
      </c>
      <c r="K85" s="3">
        <f t="shared" si="42"/>
        <v>1</v>
      </c>
      <c r="L85" s="3">
        <f t="shared" si="43"/>
        <v>1</v>
      </c>
      <c r="M85" s="3">
        <f t="shared" si="44"/>
        <v>1</v>
      </c>
      <c r="N85" s="3">
        <f t="shared" si="45"/>
        <v>2</v>
      </c>
      <c r="O85" s="32"/>
      <c r="P85" s="3" cm="1">
        <f t="array" ref="P85">SUMPRODUCT(--(MOD(B85:G85,2)=1))</f>
        <v>4</v>
      </c>
      <c r="Q85" s="3">
        <f t="shared" si="46"/>
        <v>2</v>
      </c>
      <c r="R85" s="34"/>
      <c r="S85" s="3">
        <f t="shared" si="47"/>
        <v>2</v>
      </c>
      <c r="T85" s="3">
        <f t="shared" si="48"/>
        <v>4</v>
      </c>
      <c r="U85" s="34"/>
      <c r="V85" s="3" cm="1">
        <f t="array" ref="V85">SUMPRODUCT(--(MOD(B85:G85,10)&gt;=1), --(MOD(B85:G85,10)&lt;=5))</f>
        <v>4</v>
      </c>
      <c r="W85" s="3">
        <f t="shared" si="49"/>
        <v>2</v>
      </c>
      <c r="X85" s="34"/>
      <c r="Y85" s="3" cm="1">
        <f t="array" ref="Y85">IFERROR(COUNT(_xlfn._xlws.FILTER(B85:G85, ISNUMBER(MATCH(B85:G85, {2,3,5,7,11,13,17,19,23,29,31,37,41,43}, 0)))), 0)</f>
        <v>2</v>
      </c>
      <c r="Z85" s="3" cm="1">
        <f t="array" ref="Z85">IFERROR(COUNT(_xlfn._xlws.FILTER(B85:G85, ISNUMBER(MATCH(B85:G85, {1,4,8,10,14,16,20,22,25,26,28,32,34,35,38,40,44}, 0)))), 0)</f>
        <v>2</v>
      </c>
      <c r="AA85" s="3" cm="1">
        <f t="array" ref="AA85">IFERROR(COUNT(_xlfn._xlws.FILTER(B85:G85, ISNUMBER(MATCH(B85:G85, {6,9,12,15,18,21,24,27,30,33,36,39,42,45}, 0)))), 0)</f>
        <v>2</v>
      </c>
      <c r="AB85" s="30"/>
      <c r="AC85" s="26" t="str" cm="1">
        <f t="array" ref="AC85">_xlfn.IFS(
   OR(B85="",ISBLANK(B85),B85=0),0,
   ISNUMBER(MATCH(B85,{2,3,5,7,11,13,17,19,23,29,31,37,41,43},0)),"소",
   AND(ISNUMBER(B85),MOD(B85,3)=0),"배",
   AND(ISNUMBER(B85),B85&gt;0),"자"
)</f>
        <v>자</v>
      </c>
      <c r="AD85" s="26" t="str" cm="1">
        <f t="array" ref="AD85">_xlfn.IFS(
   OR(C85="",ISBLANK(C85),C85=0),0,
   ISNUMBER(MATCH(C85,{2,3,5,7,11,13,17,19,23,29,31,37,41,43},0)),"소",
   AND(ISNUMBER(C85),MOD(C85,3)=0),"배",
   AND(ISNUMBER(C85),C85&gt;0),"자"
)</f>
        <v>소</v>
      </c>
      <c r="AE85" s="26" t="str" cm="1">
        <f t="array" ref="AE85">_xlfn.IFS(
   OR(D85="",ISBLANK(D85),D85=0),0,
   ISNUMBER(MATCH(D85,{2,3,5,7,11,13,17,19,23,29,31,37,41,43},0)),"소",
   AND(ISNUMBER(D85),MOD(D85,3)=0),"배",
   AND(ISNUMBER(D85),D85&gt;0),"자"
)</f>
        <v>자</v>
      </c>
      <c r="AF85" s="26" t="str" cm="1">
        <f t="array" ref="AF85">_xlfn.IFS(
   OR(E85="",ISBLANK(E85),E85=0),0,
   ISNUMBER(MATCH(E85,{2,3,5,7,11,13,17,19,23,29,31,37,41,43},0)),"소",
   AND(ISNUMBER(E85),MOD(E85,3)=0),"배",
   AND(ISNUMBER(E85),E85&gt;0),"자"
)</f>
        <v>배</v>
      </c>
      <c r="AG85" s="26" t="str" cm="1">
        <f t="array" ref="AG85">_xlfn.IFS(
   OR(F85="",ISBLANK(F85),F85=0),0,
   ISNUMBER(MATCH(F85,{2,3,5,7,11,13,17,19,23,29,31,37,41,43},0)),"소",
   AND(ISNUMBER(F85),MOD(F85,3)=0),"배",
   AND(ISNUMBER(F85),F85&gt;0),"자"
)</f>
        <v>소</v>
      </c>
      <c r="AH85" s="26" t="str" cm="1">
        <f t="array" ref="AH85">_xlfn.IFS(
   OR(G85="",ISBLANK(G85),G85=0),0,
   ISNUMBER(MATCH(G85,{2,3,5,7,11,13,17,19,23,29,31,37,41,43},0)),"소",
   AND(ISNUMBER(G85),MOD(G85,3)=0),"배",
   AND(ISNUMBER(G85),G85&gt;0),"자"
)</f>
        <v>배</v>
      </c>
      <c r="AI85" s="30"/>
      <c r="AJ85" s="3">
        <f t="shared" si="50"/>
        <v>1</v>
      </c>
      <c r="AK85" s="3">
        <f t="shared" si="51"/>
        <v>4</v>
      </c>
      <c r="AL85" s="3">
        <f t="shared" si="52"/>
        <v>1</v>
      </c>
      <c r="AM85" s="33"/>
      <c r="AN85" s="3">
        <f t="shared" si="53"/>
        <v>0</v>
      </c>
      <c r="AO85" s="3">
        <f t="shared" si="54"/>
        <v>1</v>
      </c>
      <c r="AP85" s="3">
        <f t="shared" si="55"/>
        <v>3</v>
      </c>
      <c r="AQ85" s="3">
        <f t="shared" si="56"/>
        <v>1</v>
      </c>
      <c r="AR85" s="3">
        <f t="shared" si="57"/>
        <v>1</v>
      </c>
      <c r="AS85" s="28" t="e">
        <f>#REF!</f>
        <v>#REF!</v>
      </c>
      <c r="AT85" s="28" t="e">
        <f>#REF!*2</f>
        <v>#REF!</v>
      </c>
      <c r="AU85" s="28" t="e">
        <f>#REF!</f>
        <v>#REF!</v>
      </c>
      <c r="AV85" s="28" t="e">
        <f>#REF!*2</f>
        <v>#REF!</v>
      </c>
      <c r="AW85" s="28" t="e">
        <f>#REF!</f>
        <v>#REF!</v>
      </c>
      <c r="AX85" s="28" t="e">
        <f>#REF!*2</f>
        <v>#REF!</v>
      </c>
      <c r="AY85" s="28" t="e">
        <f>#REF!</f>
        <v>#REF!</v>
      </c>
      <c r="AZ85" s="28" t="e">
        <f>#REF!*2</f>
        <v>#REF!</v>
      </c>
      <c r="BA85" s="28" t="e">
        <f>#REF!</f>
        <v>#REF!</v>
      </c>
      <c r="BB85" s="28" t="e">
        <f>#REF!*2</f>
        <v>#REF!</v>
      </c>
      <c r="BC85" s="28" t="e">
        <f>#REF!</f>
        <v>#REF!</v>
      </c>
      <c r="BD85" s="28" t="e">
        <f>#REF!*2</f>
        <v>#REF!</v>
      </c>
      <c r="BE85" s="9" t="e">
        <f>#REF!-#REF!</f>
        <v>#REF!</v>
      </c>
      <c r="BF85" s="9" t="e">
        <f>#REF!-#REF!</f>
        <v>#REF!</v>
      </c>
      <c r="BG85" s="9" t="e">
        <f>#REF!-#REF!</f>
        <v>#REF!</v>
      </c>
      <c r="BH85" s="9" t="e">
        <f>#REF!-#REF!</f>
        <v>#REF!</v>
      </c>
      <c r="BI85" s="9" t="e">
        <f>#REF!-#REF!</f>
        <v>#REF!</v>
      </c>
      <c r="BJ85" s="33"/>
      <c r="BK85" s="3">
        <f t="shared" si="58"/>
        <v>0</v>
      </c>
      <c r="BL85" s="3">
        <f t="shared" si="59"/>
        <v>1</v>
      </c>
      <c r="BM85" s="3">
        <f t="shared" si="60"/>
        <v>4</v>
      </c>
      <c r="BN85" s="3">
        <f t="shared" si="61"/>
        <v>0</v>
      </c>
      <c r="BO85" s="3">
        <f t="shared" si="62"/>
        <v>1</v>
      </c>
      <c r="BP85" s="28" t="e">
        <f>#REF!</f>
        <v>#REF!</v>
      </c>
      <c r="BQ85" s="28" t="e">
        <f>#REF!*2</f>
        <v>#REF!</v>
      </c>
      <c r="BR85" s="28" t="e">
        <f>#REF!</f>
        <v>#REF!</v>
      </c>
      <c r="BS85" s="28" t="e">
        <f>#REF!*2</f>
        <v>#REF!</v>
      </c>
      <c r="BT85" s="28" t="e">
        <f>#REF!</f>
        <v>#REF!</v>
      </c>
      <c r="BU85" s="28" t="e">
        <f>#REF!*2</f>
        <v>#REF!</v>
      </c>
      <c r="BV85" s="28" t="e">
        <f>#REF!</f>
        <v>#REF!</v>
      </c>
      <c r="BW85" s="28" t="e">
        <f>#REF!*2</f>
        <v>#REF!</v>
      </c>
      <c r="BX85" s="28" t="e">
        <f>#REF!</f>
        <v>#REF!</v>
      </c>
      <c r="BY85" s="28" t="e">
        <f>#REF!*2</f>
        <v>#REF!</v>
      </c>
      <c r="BZ85" s="28" t="e">
        <f>#REF!</f>
        <v>#REF!</v>
      </c>
      <c r="CA85" s="28" t="e">
        <f>#REF!*2</f>
        <v>#REF!</v>
      </c>
      <c r="CB85" s="9">
        <f t="shared" si="63"/>
        <v>9</v>
      </c>
      <c r="CC85" s="9">
        <f t="shared" si="64"/>
        <v>2</v>
      </c>
      <c r="CD85" s="9">
        <f t="shared" si="65"/>
        <v>2</v>
      </c>
      <c r="CE85" s="9">
        <f t="shared" si="66"/>
        <v>2</v>
      </c>
      <c r="CF85" s="9">
        <f t="shared" si="67"/>
        <v>13</v>
      </c>
      <c r="CG85" s="33"/>
      <c r="CH85" s="9">
        <f t="shared" si="68"/>
        <v>9</v>
      </c>
      <c r="CI85" s="9">
        <f t="shared" si="69"/>
        <v>2</v>
      </c>
      <c r="CJ85" s="9">
        <f t="shared" si="70"/>
        <v>2</v>
      </c>
      <c r="CK85" s="9">
        <f t="shared" si="71"/>
        <v>2</v>
      </c>
      <c r="CL85" s="9">
        <f t="shared" si="72"/>
        <v>13</v>
      </c>
      <c r="CM85" s="32"/>
      <c r="CN85" s="3">
        <f t="shared" si="73"/>
        <v>1</v>
      </c>
      <c r="CO85" s="3">
        <f t="shared" si="74"/>
        <v>2</v>
      </c>
      <c r="CP85" s="3">
        <f t="shared" si="75"/>
        <v>2</v>
      </c>
      <c r="CQ85" s="3">
        <f t="shared" si="76"/>
        <v>2</v>
      </c>
      <c r="CR85" s="3">
        <f t="shared" si="77"/>
        <v>1</v>
      </c>
      <c r="CS85" s="31"/>
      <c r="CT85" s="3" cm="1">
        <f t="array" ref="CT85">SUMPRODUCT(--(MOD(CH85:CL85,2)=1))</f>
        <v>2</v>
      </c>
      <c r="CU85" s="3">
        <f t="shared" si="78"/>
        <v>3</v>
      </c>
      <c r="CV85" s="30"/>
      <c r="CW85" s="3" cm="1">
        <f t="array" ref="CW85">SUMPRODUCT(--(MOD(CH85:CL85,10)&gt;=1), --(MOD(CH85:CL85,10)&lt;=5))</f>
        <v>4</v>
      </c>
      <c r="CX85" s="3">
        <f t="shared" si="79"/>
        <v>1</v>
      </c>
      <c r="CY85" s="30"/>
      <c r="CZ85" s="3" cm="1">
        <f t="array" ref="CZ85">IFERROR(COUNT(_xlfn._xlws.FILTER(CH85:CL85, ISNUMBER(MATCH(CH85:CL85, {2,3,5,7,11,13,17,19,23,29,31,37,41,43}, 0)))), 0)</f>
        <v>4</v>
      </c>
      <c r="DA85" s="3" cm="1">
        <f t="array" ref="DA85">IFERROR(COUNT(_xlfn._xlws.FILTER(CH85:CL85, ISNUMBER(MATCH(CH85:CL85, {1,4,8,10,14,16,20,22,25,26,28,32,34,35,38,40,44}, 0)))), 0)</f>
        <v>0</v>
      </c>
      <c r="DB85" s="3" cm="1">
        <f t="array" ref="DB85">IFERROR(COUNT(_xlfn._xlws.FILTER(CH85:CL85, ISNUMBER(MATCH(CH85:CL85, {6,9,12,15,18,21,24,27,30,33,36,39,42,45}, 0)))), 0)</f>
        <v>1</v>
      </c>
      <c r="DC85" s="29"/>
      <c r="DD85" s="28" t="e">
        <f>#REF!</f>
        <v>#REF!</v>
      </c>
      <c r="DE85" s="28" t="e">
        <f>#REF!*2</f>
        <v>#REF!</v>
      </c>
      <c r="DF85" s="28" t="e">
        <f>#REF!</f>
        <v>#REF!</v>
      </c>
      <c r="DG85" s="28" t="e">
        <f>#REF!*2</f>
        <v>#REF!</v>
      </c>
      <c r="DH85" s="28" t="e">
        <f>#REF!</f>
        <v>#REF!</v>
      </c>
      <c r="DI85" s="28" t="e">
        <f>#REF!*2</f>
        <v>#REF!</v>
      </c>
      <c r="DJ85" s="28" t="e">
        <f>#REF!</f>
        <v>#REF!</v>
      </c>
      <c r="DK85" s="28" t="e">
        <f>#REF!*2</f>
        <v>#REF!</v>
      </c>
      <c r="DL85" s="28" t="e">
        <f>#REF!</f>
        <v>#REF!</v>
      </c>
      <c r="DM85" s="28" t="e">
        <f>#REF!*2</f>
        <v>#REF!</v>
      </c>
      <c r="DN85" s="27"/>
      <c r="DO85" s="26" t="str" cm="1">
        <f t="array" ref="DO85">_xlfn.IFS(
   OR(CH85="",ISBLANK(CH85),CH85=0),0,
   ISNUMBER(MATCH(CH85,{2,3,5,7,11,13,17,19,23,29,31,37,41,43},0)),"소",
   AND(ISNUMBER(CH85),MOD(CH85,3)=0),"배",
   AND(ISNUMBER(CH85),CH85&gt;0),"자"
)</f>
        <v>배</v>
      </c>
      <c r="DP85" s="26" t="str" cm="1">
        <f t="array" ref="DP85">_xlfn.IFS(
   OR(CI85="",ISBLANK(CI85),CI85=0),0,
   ISNUMBER(MATCH(CI85,{2,3,5,7,11,13,17,19,23,29,31,37,41,43},0)),"소",
   AND(ISNUMBER(CI85),MOD(CI85,3)=0),"배",
   AND(ISNUMBER(CI85),CI85&gt;0),"자"
)</f>
        <v>소</v>
      </c>
      <c r="DQ85" s="26" t="str" cm="1">
        <f t="array" ref="DQ85">_xlfn.IFS(
   OR(CJ85="",ISBLANK(CJ85),CJ85=0),0,
   ISNUMBER(MATCH(CJ85,{2,3,5,7,11,13,17,19,23,29,31,37,41,43},0)),"소",
   AND(ISNUMBER(CJ85),MOD(CJ85,3)=0),"배",
   AND(ISNUMBER(CJ85),CJ85&gt;0),"자"
)</f>
        <v>소</v>
      </c>
      <c r="DR85" s="26" t="str" cm="1">
        <f t="array" ref="DR85">_xlfn.IFS(
   OR(CK85="",ISBLANK(CK85),CK85=0),0,
   ISNUMBER(MATCH(CK85,{2,3,5,7,11,13,17,19,23,29,31,37,41,43},0)),"소",
   AND(ISNUMBER(CK85),MOD(CK85,3)=0),"배",
   AND(ISNUMBER(CK85),CK85&gt;0),"자"
)</f>
        <v>소</v>
      </c>
      <c r="DS85" s="26" t="str" cm="1">
        <f t="array" ref="DS85">_xlfn.IFS(
   OR(CL85="",ISBLANK(CL85),CL85=0),0,
   ISNUMBER(MATCH(CL85,{2,3,5,7,11,13,17,19,23,29,31,37,41,43},0)),"소",
   AND(ISNUMBER(CL85),MOD(CL85,3)=0),"배",
   AND(ISNUMBER(CL85),CL85&gt;0),"자"
)</f>
        <v>소</v>
      </c>
      <c r="DT85" s="25"/>
    </row>
    <row r="86" spans="1:124" x14ac:dyDescent="0.3">
      <c r="B86" s="3">
        <v>8</v>
      </c>
      <c r="C86" s="3">
        <v>23</v>
      </c>
      <c r="D86" s="3">
        <v>31</v>
      </c>
      <c r="E86" s="3">
        <v>35</v>
      </c>
      <c r="F86" s="3">
        <v>39</v>
      </c>
      <c r="G86" s="3">
        <v>40</v>
      </c>
      <c r="H86" s="32"/>
      <c r="I86" s="3">
        <f t="shared" si="40"/>
        <v>2</v>
      </c>
      <c r="J86" s="3">
        <f t="shared" si="41"/>
        <v>1</v>
      </c>
      <c r="K86" s="3">
        <f t="shared" si="42"/>
        <v>1</v>
      </c>
      <c r="L86" s="3">
        <f t="shared" si="43"/>
        <v>1</v>
      </c>
      <c r="M86" s="3">
        <f t="shared" si="44"/>
        <v>1</v>
      </c>
      <c r="N86" s="3">
        <f t="shared" si="45"/>
        <v>2</v>
      </c>
      <c r="O86" s="32"/>
      <c r="P86" s="3" cm="1">
        <f t="array" ref="P86">SUMPRODUCT(--(MOD(B86:G86,2)=1))</f>
        <v>4</v>
      </c>
      <c r="Q86" s="3">
        <f t="shared" si="46"/>
        <v>2</v>
      </c>
      <c r="R86" s="34"/>
      <c r="S86" s="3">
        <f t="shared" si="47"/>
        <v>2</v>
      </c>
      <c r="T86" s="3">
        <f t="shared" si="48"/>
        <v>4</v>
      </c>
      <c r="U86" s="34"/>
      <c r="V86" s="3" cm="1">
        <f t="array" ref="V86">SUMPRODUCT(--(MOD(B86:G86,10)&gt;=1), --(MOD(B86:G86,10)&lt;=5))</f>
        <v>3</v>
      </c>
      <c r="W86" s="3">
        <f t="shared" si="49"/>
        <v>3</v>
      </c>
      <c r="X86" s="34"/>
      <c r="Y86" s="3" cm="1">
        <f t="array" ref="Y86">IFERROR(COUNT(_xlfn._xlws.FILTER(B86:G86, ISNUMBER(MATCH(B86:G86, {2,3,5,7,11,13,17,19,23,29,31,37,41,43}, 0)))), 0)</f>
        <v>2</v>
      </c>
      <c r="Z86" s="3" cm="1">
        <f t="array" ref="Z86">IFERROR(COUNT(_xlfn._xlws.FILTER(B86:G86, ISNUMBER(MATCH(B86:G86, {1,4,8,10,14,16,20,22,25,26,28,32,34,35,38,40,44}, 0)))), 0)</f>
        <v>3</v>
      </c>
      <c r="AA86" s="3" cm="1">
        <f t="array" ref="AA86">IFERROR(COUNT(_xlfn._xlws.FILTER(B86:G86, ISNUMBER(MATCH(B86:G86, {6,9,12,15,18,21,24,27,30,33,36,39,42,45}, 0)))), 0)</f>
        <v>1</v>
      </c>
      <c r="AB86" s="30"/>
      <c r="AC86" s="26" t="str" cm="1">
        <f t="array" ref="AC86">_xlfn.IFS(
   OR(B86="",ISBLANK(B86),B86=0),0,
   ISNUMBER(MATCH(B86,{2,3,5,7,11,13,17,19,23,29,31,37,41,43},0)),"소",
   AND(ISNUMBER(B86),MOD(B86,3)=0),"배",
   AND(ISNUMBER(B86),B86&gt;0),"자"
)</f>
        <v>자</v>
      </c>
      <c r="AD86" s="26" t="str" cm="1">
        <f t="array" ref="AD86">_xlfn.IFS(
   OR(C86="",ISBLANK(C86),C86=0),0,
   ISNUMBER(MATCH(C86,{2,3,5,7,11,13,17,19,23,29,31,37,41,43},0)),"소",
   AND(ISNUMBER(C86),MOD(C86,3)=0),"배",
   AND(ISNUMBER(C86),C86&gt;0),"자"
)</f>
        <v>소</v>
      </c>
      <c r="AE86" s="26" t="str" cm="1">
        <f t="array" ref="AE86">_xlfn.IFS(
   OR(D86="",ISBLANK(D86),D86=0),0,
   ISNUMBER(MATCH(D86,{2,3,5,7,11,13,17,19,23,29,31,37,41,43},0)),"소",
   AND(ISNUMBER(D86),MOD(D86,3)=0),"배",
   AND(ISNUMBER(D86),D86&gt;0),"자"
)</f>
        <v>소</v>
      </c>
      <c r="AF86" s="26" t="str" cm="1">
        <f t="array" ref="AF86">_xlfn.IFS(
   OR(E86="",ISBLANK(E86),E86=0),0,
   ISNUMBER(MATCH(E86,{2,3,5,7,11,13,17,19,23,29,31,37,41,43},0)),"소",
   AND(ISNUMBER(E86),MOD(E86,3)=0),"배",
   AND(ISNUMBER(E86),E86&gt;0),"자"
)</f>
        <v>자</v>
      </c>
      <c r="AG86" s="26" t="str" cm="1">
        <f t="array" ref="AG86">_xlfn.IFS(
   OR(F86="",ISBLANK(F86),F86=0),0,
   ISNUMBER(MATCH(F86,{2,3,5,7,11,13,17,19,23,29,31,37,41,43},0)),"소",
   AND(ISNUMBER(F86),MOD(F86,3)=0),"배",
   AND(ISNUMBER(F86),F86&gt;0),"자"
)</f>
        <v>배</v>
      </c>
      <c r="AH86" s="26" t="str" cm="1">
        <f t="array" ref="AH86">_xlfn.IFS(
   OR(G86="",ISBLANK(G86),G86=0),0,
   ISNUMBER(MATCH(G86,{2,3,5,7,11,13,17,19,23,29,31,37,41,43},0)),"소",
   AND(ISNUMBER(G86),MOD(G86,3)=0),"배",
   AND(ISNUMBER(G86),G86&gt;0),"자"
)</f>
        <v>자</v>
      </c>
      <c r="AI86" s="30"/>
      <c r="AJ86" s="3">
        <f t="shared" si="50"/>
        <v>1</v>
      </c>
      <c r="AK86" s="3">
        <f t="shared" si="51"/>
        <v>2</v>
      </c>
      <c r="AL86" s="3">
        <f t="shared" si="52"/>
        <v>3</v>
      </c>
      <c r="AM86" s="33"/>
      <c r="AN86" s="3">
        <f t="shared" si="53"/>
        <v>1</v>
      </c>
      <c r="AO86" s="3">
        <f t="shared" si="54"/>
        <v>0</v>
      </c>
      <c r="AP86" s="3">
        <f t="shared" si="55"/>
        <v>1</v>
      </c>
      <c r="AQ86" s="3">
        <f t="shared" si="56"/>
        <v>2</v>
      </c>
      <c r="AR86" s="3">
        <f t="shared" si="57"/>
        <v>2</v>
      </c>
      <c r="AS86" s="28" t="e">
        <f>#REF!</f>
        <v>#REF!</v>
      </c>
      <c r="AT86" s="28" t="e">
        <f>#REF!*2</f>
        <v>#REF!</v>
      </c>
      <c r="AU86" s="28" t="e">
        <f>#REF!</f>
        <v>#REF!</v>
      </c>
      <c r="AV86" s="28" t="e">
        <f>#REF!*2</f>
        <v>#REF!</v>
      </c>
      <c r="AW86" s="28" t="e">
        <f>#REF!</f>
        <v>#REF!</v>
      </c>
      <c r="AX86" s="28" t="e">
        <f>#REF!*2</f>
        <v>#REF!</v>
      </c>
      <c r="AY86" s="28" t="e">
        <f>#REF!</f>
        <v>#REF!</v>
      </c>
      <c r="AZ86" s="28" t="e">
        <f>#REF!*2</f>
        <v>#REF!</v>
      </c>
      <c r="BA86" s="28" t="e">
        <f>#REF!</f>
        <v>#REF!</v>
      </c>
      <c r="BB86" s="28" t="e">
        <f>#REF!*2</f>
        <v>#REF!</v>
      </c>
      <c r="BC86" s="28" t="e">
        <f>#REF!</f>
        <v>#REF!</v>
      </c>
      <c r="BD86" s="28" t="e">
        <f>#REF!*2</f>
        <v>#REF!</v>
      </c>
      <c r="BE86" s="9" t="e">
        <f>#REF!-#REF!</f>
        <v>#REF!</v>
      </c>
      <c r="BF86" s="9" t="e">
        <f>#REF!-#REF!</f>
        <v>#REF!</v>
      </c>
      <c r="BG86" s="9" t="e">
        <f>#REF!-#REF!</f>
        <v>#REF!</v>
      </c>
      <c r="BH86" s="9" t="e">
        <f>#REF!-#REF!</f>
        <v>#REF!</v>
      </c>
      <c r="BI86" s="9" t="e">
        <f>#REF!-#REF!</f>
        <v>#REF!</v>
      </c>
      <c r="BJ86" s="33"/>
      <c r="BK86" s="3">
        <f t="shared" si="58"/>
        <v>1</v>
      </c>
      <c r="BL86" s="3">
        <f t="shared" si="59"/>
        <v>0</v>
      </c>
      <c r="BM86" s="3">
        <f t="shared" si="60"/>
        <v>1</v>
      </c>
      <c r="BN86" s="3">
        <f t="shared" si="61"/>
        <v>3</v>
      </c>
      <c r="BO86" s="3">
        <f t="shared" si="62"/>
        <v>1</v>
      </c>
      <c r="BP86" s="28" t="e">
        <f>#REF!</f>
        <v>#REF!</v>
      </c>
      <c r="BQ86" s="28" t="e">
        <f>#REF!*2</f>
        <v>#REF!</v>
      </c>
      <c r="BR86" s="28" t="e">
        <f>#REF!</f>
        <v>#REF!</v>
      </c>
      <c r="BS86" s="28" t="e">
        <f>#REF!*2</f>
        <v>#REF!</v>
      </c>
      <c r="BT86" s="28" t="e">
        <f>#REF!</f>
        <v>#REF!</v>
      </c>
      <c r="BU86" s="28" t="e">
        <f>#REF!*2</f>
        <v>#REF!</v>
      </c>
      <c r="BV86" s="28" t="e">
        <f>#REF!</f>
        <v>#REF!</v>
      </c>
      <c r="BW86" s="28" t="e">
        <f>#REF!*2</f>
        <v>#REF!</v>
      </c>
      <c r="BX86" s="28" t="e">
        <f>#REF!</f>
        <v>#REF!</v>
      </c>
      <c r="BY86" s="28" t="e">
        <f>#REF!*2</f>
        <v>#REF!</v>
      </c>
      <c r="BZ86" s="28" t="e">
        <f>#REF!</f>
        <v>#REF!</v>
      </c>
      <c r="CA86" s="28" t="e">
        <f>#REF!*2</f>
        <v>#REF!</v>
      </c>
      <c r="CB86" s="9">
        <f t="shared" si="63"/>
        <v>15</v>
      </c>
      <c r="CC86" s="9">
        <f t="shared" si="64"/>
        <v>8</v>
      </c>
      <c r="CD86" s="9">
        <f t="shared" si="65"/>
        <v>4</v>
      </c>
      <c r="CE86" s="9">
        <f t="shared" si="66"/>
        <v>4</v>
      </c>
      <c r="CF86" s="9">
        <f t="shared" si="67"/>
        <v>1</v>
      </c>
      <c r="CG86" s="33"/>
      <c r="CH86" s="9">
        <f t="shared" si="68"/>
        <v>15</v>
      </c>
      <c r="CI86" s="9">
        <f t="shared" si="69"/>
        <v>8</v>
      </c>
      <c r="CJ86" s="9">
        <f t="shared" si="70"/>
        <v>4</v>
      </c>
      <c r="CK86" s="9">
        <f t="shared" si="71"/>
        <v>4</v>
      </c>
      <c r="CL86" s="9">
        <f t="shared" si="72"/>
        <v>1</v>
      </c>
      <c r="CM86" s="32"/>
      <c r="CN86" s="3">
        <f t="shared" si="73"/>
        <v>1</v>
      </c>
      <c r="CO86" s="3">
        <f t="shared" si="74"/>
        <v>2</v>
      </c>
      <c r="CP86" s="3">
        <f t="shared" si="75"/>
        <v>2</v>
      </c>
      <c r="CQ86" s="3">
        <f t="shared" si="76"/>
        <v>2</v>
      </c>
      <c r="CR86" s="3">
        <f t="shared" si="77"/>
        <v>1</v>
      </c>
      <c r="CS86" s="31"/>
      <c r="CT86" s="3" cm="1">
        <f t="array" ref="CT86">SUMPRODUCT(--(MOD(CH86:CL86,2)=1))</f>
        <v>2</v>
      </c>
      <c r="CU86" s="3">
        <f t="shared" si="78"/>
        <v>3</v>
      </c>
      <c r="CV86" s="30"/>
      <c r="CW86" s="3" cm="1">
        <f t="array" ref="CW86">SUMPRODUCT(--(MOD(CH86:CL86,10)&gt;=1), --(MOD(CH86:CL86,10)&lt;=5))</f>
        <v>4</v>
      </c>
      <c r="CX86" s="3">
        <f t="shared" si="79"/>
        <v>1</v>
      </c>
      <c r="CY86" s="30"/>
      <c r="CZ86" s="3" cm="1">
        <f t="array" ref="CZ86">IFERROR(COUNT(_xlfn._xlws.FILTER(CH86:CL86, ISNUMBER(MATCH(CH86:CL86, {2,3,5,7,11,13,17,19,23,29,31,37,41,43}, 0)))), 0)</f>
        <v>0</v>
      </c>
      <c r="DA86" s="3" cm="1">
        <f t="array" ref="DA86">IFERROR(COUNT(_xlfn._xlws.FILTER(CH86:CL86, ISNUMBER(MATCH(CH86:CL86, {1,4,8,10,14,16,20,22,25,26,28,32,34,35,38,40,44}, 0)))), 0)</f>
        <v>4</v>
      </c>
      <c r="DB86" s="3" cm="1">
        <f t="array" ref="DB86">IFERROR(COUNT(_xlfn._xlws.FILTER(CH86:CL86, ISNUMBER(MATCH(CH86:CL86, {6,9,12,15,18,21,24,27,30,33,36,39,42,45}, 0)))), 0)</f>
        <v>1</v>
      </c>
      <c r="DC86" s="29"/>
      <c r="DD86" s="28" t="e">
        <f>#REF!</f>
        <v>#REF!</v>
      </c>
      <c r="DE86" s="28" t="e">
        <f>#REF!*2</f>
        <v>#REF!</v>
      </c>
      <c r="DF86" s="28" t="e">
        <f>#REF!</f>
        <v>#REF!</v>
      </c>
      <c r="DG86" s="28" t="e">
        <f>#REF!*2</f>
        <v>#REF!</v>
      </c>
      <c r="DH86" s="28" t="e">
        <f>#REF!</f>
        <v>#REF!</v>
      </c>
      <c r="DI86" s="28" t="e">
        <f>#REF!*2</f>
        <v>#REF!</v>
      </c>
      <c r="DJ86" s="28" t="e">
        <f>#REF!</f>
        <v>#REF!</v>
      </c>
      <c r="DK86" s="28" t="e">
        <f>#REF!*2</f>
        <v>#REF!</v>
      </c>
      <c r="DL86" s="28" t="e">
        <f>#REF!</f>
        <v>#REF!</v>
      </c>
      <c r="DM86" s="28" t="e">
        <f>#REF!*2</f>
        <v>#REF!</v>
      </c>
      <c r="DN86" s="27"/>
      <c r="DO86" s="26" t="str" cm="1">
        <f t="array" ref="DO86">_xlfn.IFS(
   OR(CH86="",ISBLANK(CH86),CH86=0),0,
   ISNUMBER(MATCH(CH86,{2,3,5,7,11,13,17,19,23,29,31,37,41,43},0)),"소",
   AND(ISNUMBER(CH86),MOD(CH86,3)=0),"배",
   AND(ISNUMBER(CH86),CH86&gt;0),"자"
)</f>
        <v>배</v>
      </c>
      <c r="DP86" s="26" t="str" cm="1">
        <f t="array" ref="DP86">_xlfn.IFS(
   OR(CI86="",ISBLANK(CI86),CI86=0),0,
   ISNUMBER(MATCH(CI86,{2,3,5,7,11,13,17,19,23,29,31,37,41,43},0)),"소",
   AND(ISNUMBER(CI86),MOD(CI86,3)=0),"배",
   AND(ISNUMBER(CI86),CI86&gt;0),"자"
)</f>
        <v>자</v>
      </c>
      <c r="DQ86" s="26" t="str" cm="1">
        <f t="array" ref="DQ86">_xlfn.IFS(
   OR(CJ86="",ISBLANK(CJ86),CJ86=0),0,
   ISNUMBER(MATCH(CJ86,{2,3,5,7,11,13,17,19,23,29,31,37,41,43},0)),"소",
   AND(ISNUMBER(CJ86),MOD(CJ86,3)=0),"배",
   AND(ISNUMBER(CJ86),CJ86&gt;0),"자"
)</f>
        <v>자</v>
      </c>
      <c r="DR86" s="26" t="str" cm="1">
        <f t="array" ref="DR86">_xlfn.IFS(
   OR(CK86="",ISBLANK(CK86),CK86=0),0,
   ISNUMBER(MATCH(CK86,{2,3,5,7,11,13,17,19,23,29,31,37,41,43},0)),"소",
   AND(ISNUMBER(CK86),MOD(CK86,3)=0),"배",
   AND(ISNUMBER(CK86),CK86&gt;0),"자"
)</f>
        <v>자</v>
      </c>
      <c r="DS86" s="26" t="str" cm="1">
        <f t="array" ref="DS86">_xlfn.IFS(
   OR(CL86="",ISBLANK(CL86),CL86=0),0,
   ISNUMBER(MATCH(CL86,{2,3,5,7,11,13,17,19,23,29,31,37,41,43},0)),"소",
   AND(ISNUMBER(CL86),MOD(CL86,3)=0),"배",
   AND(ISNUMBER(CL86),CL86&gt;0),"자"
)</f>
        <v>자</v>
      </c>
      <c r="DT86" s="25"/>
    </row>
    <row r="87" spans="1:124" x14ac:dyDescent="0.3">
      <c r="B87" s="3">
        <v>9</v>
      </c>
      <c r="C87" s="3">
        <v>21</v>
      </c>
      <c r="D87" s="3">
        <v>24</v>
      </c>
      <c r="E87" s="3">
        <v>30</v>
      </c>
      <c r="F87" s="3">
        <v>33</v>
      </c>
      <c r="G87" s="3">
        <v>37</v>
      </c>
      <c r="H87" s="32"/>
      <c r="I87" s="3">
        <f t="shared" si="40"/>
        <v>1</v>
      </c>
      <c r="J87" s="3">
        <f t="shared" si="41"/>
        <v>1</v>
      </c>
      <c r="K87" s="3">
        <f t="shared" si="42"/>
        <v>2</v>
      </c>
      <c r="L87" s="3">
        <f t="shared" si="43"/>
        <v>2</v>
      </c>
      <c r="M87" s="3">
        <f t="shared" si="44"/>
        <v>1</v>
      </c>
      <c r="N87" s="3">
        <f t="shared" si="45"/>
        <v>1</v>
      </c>
      <c r="O87" s="32"/>
      <c r="P87" s="3" cm="1">
        <f t="array" ref="P87">SUMPRODUCT(--(MOD(B87:G87,2)=1))</f>
        <v>4</v>
      </c>
      <c r="Q87" s="3">
        <f t="shared" si="46"/>
        <v>2</v>
      </c>
      <c r="R87" s="34"/>
      <c r="S87" s="3">
        <f t="shared" si="47"/>
        <v>2</v>
      </c>
      <c r="T87" s="3">
        <f t="shared" si="48"/>
        <v>4</v>
      </c>
      <c r="U87" s="34"/>
      <c r="V87" s="3" cm="1">
        <f t="array" ref="V87">SUMPRODUCT(--(MOD(B87:G87,10)&gt;=1), --(MOD(B87:G87,10)&lt;=5))</f>
        <v>3</v>
      </c>
      <c r="W87" s="3">
        <f t="shared" si="49"/>
        <v>3</v>
      </c>
      <c r="X87" s="34"/>
      <c r="Y87" s="3" cm="1">
        <f t="array" ref="Y87">IFERROR(COUNT(_xlfn._xlws.FILTER(B87:G87, ISNUMBER(MATCH(B87:G87, {2,3,5,7,11,13,17,19,23,29,31,37,41,43}, 0)))), 0)</f>
        <v>1</v>
      </c>
      <c r="Z87" s="3" cm="1">
        <f t="array" ref="Z87">IFERROR(COUNT(_xlfn._xlws.FILTER(B87:G87, ISNUMBER(MATCH(B87:G87, {1,4,8,10,14,16,20,22,25,26,28,32,34,35,38,40,44}, 0)))), 0)</f>
        <v>0</v>
      </c>
      <c r="AA87" s="3" cm="1">
        <f t="array" ref="AA87">IFERROR(COUNT(_xlfn._xlws.FILTER(B87:G87, ISNUMBER(MATCH(B87:G87, {6,9,12,15,18,21,24,27,30,33,36,39,42,45}, 0)))), 0)</f>
        <v>5</v>
      </c>
      <c r="AB87" s="30"/>
      <c r="AC87" s="26" t="str" cm="1">
        <f t="array" ref="AC87">_xlfn.IFS(
   OR(B87="",ISBLANK(B87),B87=0),0,
   ISNUMBER(MATCH(B87,{2,3,5,7,11,13,17,19,23,29,31,37,41,43},0)),"소",
   AND(ISNUMBER(B87),MOD(B87,3)=0),"배",
   AND(ISNUMBER(B87),B87&gt;0),"자"
)</f>
        <v>배</v>
      </c>
      <c r="AD87" s="26" t="str" cm="1">
        <f t="array" ref="AD87">_xlfn.IFS(
   OR(C87="",ISBLANK(C87),C87=0),0,
   ISNUMBER(MATCH(C87,{2,3,5,7,11,13,17,19,23,29,31,37,41,43},0)),"소",
   AND(ISNUMBER(C87),MOD(C87,3)=0),"배",
   AND(ISNUMBER(C87),C87&gt;0),"자"
)</f>
        <v>배</v>
      </c>
      <c r="AE87" s="26" t="str" cm="1">
        <f t="array" ref="AE87">_xlfn.IFS(
   OR(D87="",ISBLANK(D87),D87=0),0,
   ISNUMBER(MATCH(D87,{2,3,5,7,11,13,17,19,23,29,31,37,41,43},0)),"소",
   AND(ISNUMBER(D87),MOD(D87,3)=0),"배",
   AND(ISNUMBER(D87),D87&gt;0),"자"
)</f>
        <v>배</v>
      </c>
      <c r="AF87" s="26" t="str" cm="1">
        <f t="array" ref="AF87">_xlfn.IFS(
   OR(E87="",ISBLANK(E87),E87=0),0,
   ISNUMBER(MATCH(E87,{2,3,5,7,11,13,17,19,23,29,31,37,41,43},0)),"소",
   AND(ISNUMBER(E87),MOD(E87,3)=0),"배",
   AND(ISNUMBER(E87),E87&gt;0),"자"
)</f>
        <v>배</v>
      </c>
      <c r="AG87" s="26" t="str" cm="1">
        <f t="array" ref="AG87">_xlfn.IFS(
   OR(F87="",ISBLANK(F87),F87=0),0,
   ISNUMBER(MATCH(F87,{2,3,5,7,11,13,17,19,23,29,31,37,41,43},0)),"소",
   AND(ISNUMBER(F87),MOD(F87,3)=0),"배",
   AND(ISNUMBER(F87),F87&gt;0),"자"
)</f>
        <v>배</v>
      </c>
      <c r="AH87" s="26" t="str" cm="1">
        <f t="array" ref="AH87">_xlfn.IFS(
   OR(G87="",ISBLANK(G87),G87=0),0,
   ISNUMBER(MATCH(G87,{2,3,5,7,11,13,17,19,23,29,31,37,41,43},0)),"소",
   AND(ISNUMBER(G87),MOD(G87,3)=0),"배",
   AND(ISNUMBER(G87),G87&gt;0),"자"
)</f>
        <v>소</v>
      </c>
      <c r="AI87" s="30"/>
      <c r="AJ87" s="3">
        <f t="shared" si="50"/>
        <v>1</v>
      </c>
      <c r="AK87" s="3">
        <f t="shared" si="51"/>
        <v>3</v>
      </c>
      <c r="AL87" s="3">
        <f t="shared" si="52"/>
        <v>2</v>
      </c>
      <c r="AM87" s="33"/>
      <c r="AN87" s="3">
        <f t="shared" si="53"/>
        <v>1</v>
      </c>
      <c r="AO87" s="3">
        <f t="shared" si="54"/>
        <v>0</v>
      </c>
      <c r="AP87" s="3">
        <f t="shared" si="55"/>
        <v>2</v>
      </c>
      <c r="AQ87" s="3">
        <f t="shared" si="56"/>
        <v>2</v>
      </c>
      <c r="AR87" s="3">
        <f t="shared" si="57"/>
        <v>1</v>
      </c>
      <c r="AS87" s="28" t="e">
        <f>#REF!</f>
        <v>#REF!</v>
      </c>
      <c r="AT87" s="28" t="e">
        <f>#REF!*2</f>
        <v>#REF!</v>
      </c>
      <c r="AU87" s="28" t="e">
        <f>#REF!</f>
        <v>#REF!</v>
      </c>
      <c r="AV87" s="28" t="e">
        <f>#REF!*2</f>
        <v>#REF!</v>
      </c>
      <c r="AW87" s="28" t="e">
        <f>#REF!</f>
        <v>#REF!</v>
      </c>
      <c r="AX87" s="28" t="e">
        <f>#REF!*2</f>
        <v>#REF!</v>
      </c>
      <c r="AY87" s="28" t="e">
        <f>#REF!</f>
        <v>#REF!</v>
      </c>
      <c r="AZ87" s="28" t="e">
        <f>#REF!*2</f>
        <v>#REF!</v>
      </c>
      <c r="BA87" s="28" t="e">
        <f>#REF!</f>
        <v>#REF!</v>
      </c>
      <c r="BB87" s="28" t="e">
        <f>#REF!*2</f>
        <v>#REF!</v>
      </c>
      <c r="BC87" s="28" t="e">
        <f>#REF!</f>
        <v>#REF!</v>
      </c>
      <c r="BD87" s="28" t="e">
        <f>#REF!*2</f>
        <v>#REF!</v>
      </c>
      <c r="BE87" s="9" t="e">
        <f>#REF!-#REF!</f>
        <v>#REF!</v>
      </c>
      <c r="BF87" s="9" t="e">
        <f>#REF!-#REF!</f>
        <v>#REF!</v>
      </c>
      <c r="BG87" s="9" t="e">
        <f>#REF!-#REF!</f>
        <v>#REF!</v>
      </c>
      <c r="BH87" s="9" t="e">
        <f>#REF!-#REF!</f>
        <v>#REF!</v>
      </c>
      <c r="BI87" s="9" t="e">
        <f>#REF!-#REF!</f>
        <v>#REF!</v>
      </c>
      <c r="BJ87" s="33"/>
      <c r="BK87" s="3">
        <f t="shared" si="58"/>
        <v>1</v>
      </c>
      <c r="BL87" s="3">
        <f t="shared" si="59"/>
        <v>0</v>
      </c>
      <c r="BM87" s="3">
        <f t="shared" si="60"/>
        <v>2</v>
      </c>
      <c r="BN87" s="3">
        <f t="shared" si="61"/>
        <v>3</v>
      </c>
      <c r="BO87" s="3">
        <f t="shared" si="62"/>
        <v>0</v>
      </c>
      <c r="BP87" s="28" t="e">
        <f>#REF!</f>
        <v>#REF!</v>
      </c>
      <c r="BQ87" s="28" t="e">
        <f>#REF!*2</f>
        <v>#REF!</v>
      </c>
      <c r="BR87" s="28" t="e">
        <f>#REF!</f>
        <v>#REF!</v>
      </c>
      <c r="BS87" s="28" t="e">
        <f>#REF!*2</f>
        <v>#REF!</v>
      </c>
      <c r="BT87" s="28" t="e">
        <f>#REF!</f>
        <v>#REF!</v>
      </c>
      <c r="BU87" s="28" t="e">
        <f>#REF!*2</f>
        <v>#REF!</v>
      </c>
      <c r="BV87" s="28" t="e">
        <f>#REF!</f>
        <v>#REF!</v>
      </c>
      <c r="BW87" s="28" t="e">
        <f>#REF!*2</f>
        <v>#REF!</v>
      </c>
      <c r="BX87" s="28" t="e">
        <f>#REF!</f>
        <v>#REF!</v>
      </c>
      <c r="BY87" s="28" t="e">
        <f>#REF!*2</f>
        <v>#REF!</v>
      </c>
      <c r="BZ87" s="28" t="e">
        <f>#REF!</f>
        <v>#REF!</v>
      </c>
      <c r="CA87" s="28" t="e">
        <f>#REF!*2</f>
        <v>#REF!</v>
      </c>
      <c r="CB87" s="9">
        <f t="shared" si="63"/>
        <v>12</v>
      </c>
      <c r="CC87" s="9">
        <f t="shared" si="64"/>
        <v>3</v>
      </c>
      <c r="CD87" s="9">
        <f t="shared" si="65"/>
        <v>6</v>
      </c>
      <c r="CE87" s="9">
        <f t="shared" si="66"/>
        <v>3</v>
      </c>
      <c r="CF87" s="9">
        <f t="shared" si="67"/>
        <v>4</v>
      </c>
      <c r="CG87" s="33"/>
      <c r="CH87" s="9">
        <f t="shared" si="68"/>
        <v>12</v>
      </c>
      <c r="CI87" s="9">
        <f t="shared" si="69"/>
        <v>3</v>
      </c>
      <c r="CJ87" s="9">
        <f t="shared" si="70"/>
        <v>6</v>
      </c>
      <c r="CK87" s="9">
        <f t="shared" si="71"/>
        <v>3</v>
      </c>
      <c r="CL87" s="9">
        <f t="shared" si="72"/>
        <v>4</v>
      </c>
      <c r="CM87" s="32"/>
      <c r="CN87" s="3">
        <f t="shared" si="73"/>
        <v>2</v>
      </c>
      <c r="CO87" s="3">
        <f t="shared" si="74"/>
        <v>1</v>
      </c>
      <c r="CP87" s="3">
        <f t="shared" si="75"/>
        <v>2</v>
      </c>
      <c r="CQ87" s="3">
        <f t="shared" si="76"/>
        <v>1</v>
      </c>
      <c r="CR87" s="3">
        <f t="shared" si="77"/>
        <v>2</v>
      </c>
      <c r="CS87" s="31"/>
      <c r="CT87" s="3" cm="1">
        <f t="array" ref="CT87">SUMPRODUCT(--(MOD(CH87:CL87,2)=1))</f>
        <v>2</v>
      </c>
      <c r="CU87" s="3">
        <f t="shared" si="78"/>
        <v>3</v>
      </c>
      <c r="CV87" s="30"/>
      <c r="CW87" s="3" cm="1">
        <f t="array" ref="CW87">SUMPRODUCT(--(MOD(CH87:CL87,10)&gt;=1), --(MOD(CH87:CL87,10)&lt;=5))</f>
        <v>4</v>
      </c>
      <c r="CX87" s="3">
        <f t="shared" si="79"/>
        <v>1</v>
      </c>
      <c r="CY87" s="30"/>
      <c r="CZ87" s="3" cm="1">
        <f t="array" ref="CZ87">IFERROR(COUNT(_xlfn._xlws.FILTER(CH87:CL87, ISNUMBER(MATCH(CH87:CL87, {2,3,5,7,11,13,17,19,23,29,31,37,41,43}, 0)))), 0)</f>
        <v>2</v>
      </c>
      <c r="DA87" s="3" cm="1">
        <f t="array" ref="DA87">IFERROR(COUNT(_xlfn._xlws.FILTER(CH87:CL87, ISNUMBER(MATCH(CH87:CL87, {1,4,8,10,14,16,20,22,25,26,28,32,34,35,38,40,44}, 0)))), 0)</f>
        <v>1</v>
      </c>
      <c r="DB87" s="3" cm="1">
        <f t="array" ref="DB87">IFERROR(COUNT(_xlfn._xlws.FILTER(CH87:CL87, ISNUMBER(MATCH(CH87:CL87, {6,9,12,15,18,21,24,27,30,33,36,39,42,45}, 0)))), 0)</f>
        <v>2</v>
      </c>
      <c r="DC87" s="29"/>
      <c r="DD87" s="28" t="e">
        <f>#REF!</f>
        <v>#REF!</v>
      </c>
      <c r="DE87" s="28" t="e">
        <f>#REF!*2</f>
        <v>#REF!</v>
      </c>
      <c r="DF87" s="28" t="e">
        <f>#REF!</f>
        <v>#REF!</v>
      </c>
      <c r="DG87" s="28" t="e">
        <f>#REF!*2</f>
        <v>#REF!</v>
      </c>
      <c r="DH87" s="28" t="e">
        <f>#REF!</f>
        <v>#REF!</v>
      </c>
      <c r="DI87" s="28" t="e">
        <f>#REF!*2</f>
        <v>#REF!</v>
      </c>
      <c r="DJ87" s="28" t="e">
        <f>#REF!</f>
        <v>#REF!</v>
      </c>
      <c r="DK87" s="28" t="e">
        <f>#REF!*2</f>
        <v>#REF!</v>
      </c>
      <c r="DL87" s="28" t="e">
        <f>#REF!</f>
        <v>#REF!</v>
      </c>
      <c r="DM87" s="28" t="e">
        <f>#REF!*2</f>
        <v>#REF!</v>
      </c>
      <c r="DN87" s="27"/>
      <c r="DO87" s="26" t="str" cm="1">
        <f t="array" ref="DO87">_xlfn.IFS(
   OR(CH87="",ISBLANK(CH87),CH87=0),0,
   ISNUMBER(MATCH(CH87,{2,3,5,7,11,13,17,19,23,29,31,37,41,43},0)),"소",
   AND(ISNUMBER(CH87),MOD(CH87,3)=0),"배",
   AND(ISNUMBER(CH87),CH87&gt;0),"자"
)</f>
        <v>배</v>
      </c>
      <c r="DP87" s="26" t="str" cm="1">
        <f t="array" ref="DP87">_xlfn.IFS(
   OR(CI87="",ISBLANK(CI87),CI87=0),0,
   ISNUMBER(MATCH(CI87,{2,3,5,7,11,13,17,19,23,29,31,37,41,43},0)),"소",
   AND(ISNUMBER(CI87),MOD(CI87,3)=0),"배",
   AND(ISNUMBER(CI87),CI87&gt;0),"자"
)</f>
        <v>소</v>
      </c>
      <c r="DQ87" s="26" t="str" cm="1">
        <f t="array" ref="DQ87">_xlfn.IFS(
   OR(CJ87="",ISBLANK(CJ87),CJ87=0),0,
   ISNUMBER(MATCH(CJ87,{2,3,5,7,11,13,17,19,23,29,31,37,41,43},0)),"소",
   AND(ISNUMBER(CJ87),MOD(CJ87,3)=0),"배",
   AND(ISNUMBER(CJ87),CJ87&gt;0),"자"
)</f>
        <v>배</v>
      </c>
      <c r="DR87" s="26" t="str" cm="1">
        <f t="array" ref="DR87">_xlfn.IFS(
   OR(CK87="",ISBLANK(CK87),CK87=0),0,
   ISNUMBER(MATCH(CK87,{2,3,5,7,11,13,17,19,23,29,31,37,41,43},0)),"소",
   AND(ISNUMBER(CK87),MOD(CK87,3)=0),"배",
   AND(ISNUMBER(CK87),CK87&gt;0),"자"
)</f>
        <v>소</v>
      </c>
      <c r="DS87" s="26" t="str" cm="1">
        <f t="array" ref="DS87">_xlfn.IFS(
   OR(CL87="",ISBLANK(CL87),CL87=0),0,
   ISNUMBER(MATCH(CL87,{2,3,5,7,11,13,17,19,23,29,31,37,41,43},0)),"소",
   AND(ISNUMBER(CL87),MOD(CL87,3)=0),"배",
   AND(ISNUMBER(CL87),CL87&gt;0),"자"
)</f>
        <v>자</v>
      </c>
      <c r="DT87" s="25"/>
    </row>
    <row r="88" spans="1:124" x14ac:dyDescent="0.3">
      <c r="B88" s="3">
        <v>5</v>
      </c>
      <c r="C88" s="3">
        <v>12</v>
      </c>
      <c r="D88" s="3">
        <v>24</v>
      </c>
      <c r="E88" s="3">
        <v>26</v>
      </c>
      <c r="F88" s="3">
        <v>39</v>
      </c>
      <c r="G88" s="3">
        <v>42</v>
      </c>
      <c r="H88" s="32"/>
      <c r="I88" s="3">
        <f t="shared" si="40"/>
        <v>1</v>
      </c>
      <c r="J88" s="3">
        <f t="shared" si="41"/>
        <v>2</v>
      </c>
      <c r="K88" s="3">
        <f t="shared" si="42"/>
        <v>2</v>
      </c>
      <c r="L88" s="3">
        <f t="shared" si="43"/>
        <v>2</v>
      </c>
      <c r="M88" s="3">
        <f t="shared" si="44"/>
        <v>1</v>
      </c>
      <c r="N88" s="3">
        <f t="shared" si="45"/>
        <v>2</v>
      </c>
      <c r="O88" s="32"/>
      <c r="P88" s="3" cm="1">
        <f t="array" ref="P88">SUMPRODUCT(--(MOD(B88:G88,2)=1))</f>
        <v>2</v>
      </c>
      <c r="Q88" s="3">
        <f t="shared" si="46"/>
        <v>4</v>
      </c>
      <c r="R88" s="34"/>
      <c r="S88" s="3">
        <f t="shared" si="47"/>
        <v>2</v>
      </c>
      <c r="T88" s="3">
        <f t="shared" si="48"/>
        <v>4</v>
      </c>
      <c r="U88" s="34"/>
      <c r="V88" s="3" cm="1">
        <f t="array" ref="V88">SUMPRODUCT(--(MOD(B88:G88,10)&gt;=1), --(MOD(B88:G88,10)&lt;=5))</f>
        <v>4</v>
      </c>
      <c r="W88" s="3">
        <f t="shared" si="49"/>
        <v>2</v>
      </c>
      <c r="X88" s="34"/>
      <c r="Y88" s="3" cm="1">
        <f t="array" ref="Y88">IFERROR(COUNT(_xlfn._xlws.FILTER(B88:G88, ISNUMBER(MATCH(B88:G88, {2,3,5,7,11,13,17,19,23,29,31,37,41,43}, 0)))), 0)</f>
        <v>1</v>
      </c>
      <c r="Z88" s="3" cm="1">
        <f t="array" ref="Z88">IFERROR(COUNT(_xlfn._xlws.FILTER(B88:G88, ISNUMBER(MATCH(B88:G88, {1,4,8,10,14,16,20,22,25,26,28,32,34,35,38,40,44}, 0)))), 0)</f>
        <v>1</v>
      </c>
      <c r="AA88" s="3" cm="1">
        <f t="array" ref="AA88">IFERROR(COUNT(_xlfn._xlws.FILTER(B88:G88, ISNUMBER(MATCH(B88:G88, {6,9,12,15,18,21,24,27,30,33,36,39,42,45}, 0)))), 0)</f>
        <v>4</v>
      </c>
      <c r="AB88" s="30"/>
      <c r="AC88" s="26" t="str" cm="1">
        <f t="array" ref="AC88">_xlfn.IFS(
   OR(B88="",ISBLANK(B88),B88=0),0,
   ISNUMBER(MATCH(B88,{2,3,5,7,11,13,17,19,23,29,31,37,41,43},0)),"소",
   AND(ISNUMBER(B88),MOD(B88,3)=0),"배",
   AND(ISNUMBER(B88),B88&gt;0),"자"
)</f>
        <v>소</v>
      </c>
      <c r="AD88" s="26" t="str" cm="1">
        <f t="array" ref="AD88">_xlfn.IFS(
   OR(C88="",ISBLANK(C88),C88=0),0,
   ISNUMBER(MATCH(C88,{2,3,5,7,11,13,17,19,23,29,31,37,41,43},0)),"소",
   AND(ISNUMBER(C88),MOD(C88,3)=0),"배",
   AND(ISNUMBER(C88),C88&gt;0),"자"
)</f>
        <v>배</v>
      </c>
      <c r="AE88" s="26" t="str" cm="1">
        <f t="array" ref="AE88">_xlfn.IFS(
   OR(D88="",ISBLANK(D88),D88=0),0,
   ISNUMBER(MATCH(D88,{2,3,5,7,11,13,17,19,23,29,31,37,41,43},0)),"소",
   AND(ISNUMBER(D88),MOD(D88,3)=0),"배",
   AND(ISNUMBER(D88),D88&gt;0),"자"
)</f>
        <v>배</v>
      </c>
      <c r="AF88" s="26" t="str" cm="1">
        <f t="array" ref="AF88">_xlfn.IFS(
   OR(E88="",ISBLANK(E88),E88=0),0,
   ISNUMBER(MATCH(E88,{2,3,5,7,11,13,17,19,23,29,31,37,41,43},0)),"소",
   AND(ISNUMBER(E88),MOD(E88,3)=0),"배",
   AND(ISNUMBER(E88),E88&gt;0),"자"
)</f>
        <v>자</v>
      </c>
      <c r="AG88" s="26" t="str" cm="1">
        <f t="array" ref="AG88">_xlfn.IFS(
   OR(F88="",ISBLANK(F88),F88=0),0,
   ISNUMBER(MATCH(F88,{2,3,5,7,11,13,17,19,23,29,31,37,41,43},0)),"소",
   AND(ISNUMBER(F88),MOD(F88,3)=0),"배",
   AND(ISNUMBER(F88),F88&gt;0),"자"
)</f>
        <v>배</v>
      </c>
      <c r="AH88" s="26" t="str" cm="1">
        <f t="array" ref="AH88">_xlfn.IFS(
   OR(G88="",ISBLANK(G88),G88=0),0,
   ISNUMBER(MATCH(G88,{2,3,5,7,11,13,17,19,23,29,31,37,41,43},0)),"소",
   AND(ISNUMBER(G88),MOD(G88,3)=0),"배",
   AND(ISNUMBER(G88),G88&gt;0),"자"
)</f>
        <v>배</v>
      </c>
      <c r="AI88" s="30"/>
      <c r="AJ88" s="3">
        <f t="shared" si="50"/>
        <v>2</v>
      </c>
      <c r="AK88" s="3">
        <f t="shared" si="51"/>
        <v>2</v>
      </c>
      <c r="AL88" s="3">
        <f t="shared" si="52"/>
        <v>2</v>
      </c>
      <c r="AM88" s="33"/>
      <c r="AN88" s="3">
        <f t="shared" si="53"/>
        <v>1</v>
      </c>
      <c r="AO88" s="3">
        <f t="shared" si="54"/>
        <v>1</v>
      </c>
      <c r="AP88" s="3">
        <f t="shared" si="55"/>
        <v>2</v>
      </c>
      <c r="AQ88" s="3">
        <f t="shared" si="56"/>
        <v>0</v>
      </c>
      <c r="AR88" s="3">
        <f t="shared" si="57"/>
        <v>2</v>
      </c>
      <c r="AS88" s="28" t="e">
        <f>#REF!</f>
        <v>#REF!</v>
      </c>
      <c r="AT88" s="28" t="e">
        <f>#REF!*2</f>
        <v>#REF!</v>
      </c>
      <c r="AU88" s="28" t="e">
        <f>#REF!</f>
        <v>#REF!</v>
      </c>
      <c r="AV88" s="28" t="e">
        <f>#REF!*2</f>
        <v>#REF!</v>
      </c>
      <c r="AW88" s="28" t="e">
        <f>#REF!</f>
        <v>#REF!</v>
      </c>
      <c r="AX88" s="28" t="e">
        <f>#REF!*2</f>
        <v>#REF!</v>
      </c>
      <c r="AY88" s="28" t="e">
        <f>#REF!</f>
        <v>#REF!</v>
      </c>
      <c r="AZ88" s="28" t="e">
        <f>#REF!*2</f>
        <v>#REF!</v>
      </c>
      <c r="BA88" s="28" t="e">
        <f>#REF!</f>
        <v>#REF!</v>
      </c>
      <c r="BB88" s="28" t="e">
        <f>#REF!*2</f>
        <v>#REF!</v>
      </c>
      <c r="BC88" s="28" t="e">
        <f>#REF!</f>
        <v>#REF!</v>
      </c>
      <c r="BD88" s="28" t="e">
        <f>#REF!*2</f>
        <v>#REF!</v>
      </c>
      <c r="BE88" s="9" t="e">
        <f>#REF!-#REF!</f>
        <v>#REF!</v>
      </c>
      <c r="BF88" s="9" t="e">
        <f>#REF!-#REF!</f>
        <v>#REF!</v>
      </c>
      <c r="BG88" s="9" t="e">
        <f>#REF!-#REF!</f>
        <v>#REF!</v>
      </c>
      <c r="BH88" s="9" t="e">
        <f>#REF!-#REF!</f>
        <v>#REF!</v>
      </c>
      <c r="BI88" s="9" t="e">
        <f>#REF!-#REF!</f>
        <v>#REF!</v>
      </c>
      <c r="BJ88" s="33"/>
      <c r="BK88" s="3">
        <f t="shared" si="58"/>
        <v>1</v>
      </c>
      <c r="BL88" s="3">
        <f t="shared" si="59"/>
        <v>1</v>
      </c>
      <c r="BM88" s="3">
        <f t="shared" si="60"/>
        <v>2</v>
      </c>
      <c r="BN88" s="3">
        <f t="shared" si="61"/>
        <v>1</v>
      </c>
      <c r="BO88" s="3">
        <f t="shared" si="62"/>
        <v>1</v>
      </c>
      <c r="BP88" s="28" t="e">
        <f>#REF!</f>
        <v>#REF!</v>
      </c>
      <c r="BQ88" s="28" t="e">
        <f>#REF!*2</f>
        <v>#REF!</v>
      </c>
      <c r="BR88" s="28" t="e">
        <f>#REF!</f>
        <v>#REF!</v>
      </c>
      <c r="BS88" s="28" t="e">
        <f>#REF!*2</f>
        <v>#REF!</v>
      </c>
      <c r="BT88" s="28" t="e">
        <f>#REF!</f>
        <v>#REF!</v>
      </c>
      <c r="BU88" s="28" t="e">
        <f>#REF!*2</f>
        <v>#REF!</v>
      </c>
      <c r="BV88" s="28" t="e">
        <f>#REF!</f>
        <v>#REF!</v>
      </c>
      <c r="BW88" s="28" t="e">
        <f>#REF!*2</f>
        <v>#REF!</v>
      </c>
      <c r="BX88" s="28" t="e">
        <f>#REF!</f>
        <v>#REF!</v>
      </c>
      <c r="BY88" s="28" t="e">
        <f>#REF!*2</f>
        <v>#REF!</v>
      </c>
      <c r="BZ88" s="28" t="e">
        <f>#REF!</f>
        <v>#REF!</v>
      </c>
      <c r="CA88" s="28" t="e">
        <f>#REF!*2</f>
        <v>#REF!</v>
      </c>
      <c r="CB88" s="9">
        <f t="shared" si="63"/>
        <v>7</v>
      </c>
      <c r="CC88" s="9">
        <f t="shared" si="64"/>
        <v>12</v>
      </c>
      <c r="CD88" s="9">
        <f t="shared" si="65"/>
        <v>2</v>
      </c>
      <c r="CE88" s="9">
        <f t="shared" si="66"/>
        <v>13</v>
      </c>
      <c r="CF88" s="9">
        <f t="shared" si="67"/>
        <v>3</v>
      </c>
      <c r="CG88" s="33"/>
      <c r="CH88" s="9">
        <f t="shared" si="68"/>
        <v>7</v>
      </c>
      <c r="CI88" s="9">
        <f t="shared" si="69"/>
        <v>12</v>
      </c>
      <c r="CJ88" s="9">
        <f t="shared" si="70"/>
        <v>2</v>
      </c>
      <c r="CK88" s="9">
        <f t="shared" si="71"/>
        <v>13</v>
      </c>
      <c r="CL88" s="9">
        <f t="shared" si="72"/>
        <v>3</v>
      </c>
      <c r="CM88" s="32"/>
      <c r="CN88" s="3">
        <f t="shared" si="73"/>
        <v>1</v>
      </c>
      <c r="CO88" s="3">
        <f t="shared" si="74"/>
        <v>2</v>
      </c>
      <c r="CP88" s="3">
        <f t="shared" si="75"/>
        <v>2</v>
      </c>
      <c r="CQ88" s="3">
        <f t="shared" si="76"/>
        <v>1</v>
      </c>
      <c r="CR88" s="3">
        <f t="shared" si="77"/>
        <v>1</v>
      </c>
      <c r="CS88" s="31"/>
      <c r="CT88" s="3" cm="1">
        <f t="array" ref="CT88">SUMPRODUCT(--(MOD(CH88:CL88,2)=1))</f>
        <v>3</v>
      </c>
      <c r="CU88" s="3">
        <f t="shared" si="78"/>
        <v>2</v>
      </c>
      <c r="CV88" s="30"/>
      <c r="CW88" s="3" cm="1">
        <f t="array" ref="CW88">SUMPRODUCT(--(MOD(CH88:CL88,10)&gt;=1), --(MOD(CH88:CL88,10)&lt;=5))</f>
        <v>4</v>
      </c>
      <c r="CX88" s="3">
        <f t="shared" si="79"/>
        <v>1</v>
      </c>
      <c r="CY88" s="30"/>
      <c r="CZ88" s="3" cm="1">
        <f t="array" ref="CZ88">IFERROR(COUNT(_xlfn._xlws.FILTER(CH88:CL88, ISNUMBER(MATCH(CH88:CL88, {2,3,5,7,11,13,17,19,23,29,31,37,41,43}, 0)))), 0)</f>
        <v>4</v>
      </c>
      <c r="DA88" s="3" cm="1">
        <f t="array" ref="DA88">IFERROR(COUNT(_xlfn._xlws.FILTER(CH88:CL88, ISNUMBER(MATCH(CH88:CL88, {1,4,8,10,14,16,20,22,25,26,28,32,34,35,38,40,44}, 0)))), 0)</f>
        <v>0</v>
      </c>
      <c r="DB88" s="3" cm="1">
        <f t="array" ref="DB88">IFERROR(COUNT(_xlfn._xlws.FILTER(CH88:CL88, ISNUMBER(MATCH(CH88:CL88, {6,9,12,15,18,21,24,27,30,33,36,39,42,45}, 0)))), 0)</f>
        <v>1</v>
      </c>
      <c r="DC88" s="29"/>
      <c r="DD88" s="28" t="e">
        <f>#REF!</f>
        <v>#REF!</v>
      </c>
      <c r="DE88" s="28" t="e">
        <f>#REF!*2</f>
        <v>#REF!</v>
      </c>
      <c r="DF88" s="28" t="e">
        <f>#REF!</f>
        <v>#REF!</v>
      </c>
      <c r="DG88" s="28" t="e">
        <f>#REF!*2</f>
        <v>#REF!</v>
      </c>
      <c r="DH88" s="28" t="e">
        <f>#REF!</f>
        <v>#REF!</v>
      </c>
      <c r="DI88" s="28" t="e">
        <f>#REF!*2</f>
        <v>#REF!</v>
      </c>
      <c r="DJ88" s="28" t="e">
        <f>#REF!</f>
        <v>#REF!</v>
      </c>
      <c r="DK88" s="28" t="e">
        <f>#REF!*2</f>
        <v>#REF!</v>
      </c>
      <c r="DL88" s="28" t="e">
        <f>#REF!</f>
        <v>#REF!</v>
      </c>
      <c r="DM88" s="28" t="e">
        <f>#REF!*2</f>
        <v>#REF!</v>
      </c>
      <c r="DN88" s="27"/>
      <c r="DO88" s="26" t="str" cm="1">
        <f t="array" ref="DO88">_xlfn.IFS(
   OR(CH88="",ISBLANK(CH88),CH88=0),0,
   ISNUMBER(MATCH(CH88,{2,3,5,7,11,13,17,19,23,29,31,37,41,43},0)),"소",
   AND(ISNUMBER(CH88),MOD(CH88,3)=0),"배",
   AND(ISNUMBER(CH88),CH88&gt;0),"자"
)</f>
        <v>소</v>
      </c>
      <c r="DP88" s="26" t="str" cm="1">
        <f t="array" ref="DP88">_xlfn.IFS(
   OR(CI88="",ISBLANK(CI88),CI88=0),0,
   ISNUMBER(MATCH(CI88,{2,3,5,7,11,13,17,19,23,29,31,37,41,43},0)),"소",
   AND(ISNUMBER(CI88),MOD(CI88,3)=0),"배",
   AND(ISNUMBER(CI88),CI88&gt;0),"자"
)</f>
        <v>배</v>
      </c>
      <c r="DQ88" s="26" t="str" cm="1">
        <f t="array" ref="DQ88">_xlfn.IFS(
   OR(CJ88="",ISBLANK(CJ88),CJ88=0),0,
   ISNUMBER(MATCH(CJ88,{2,3,5,7,11,13,17,19,23,29,31,37,41,43},0)),"소",
   AND(ISNUMBER(CJ88),MOD(CJ88,3)=0),"배",
   AND(ISNUMBER(CJ88),CJ88&gt;0),"자"
)</f>
        <v>소</v>
      </c>
      <c r="DR88" s="26" t="str" cm="1">
        <f t="array" ref="DR88">_xlfn.IFS(
   OR(CK88="",ISBLANK(CK88),CK88=0),0,
   ISNUMBER(MATCH(CK88,{2,3,5,7,11,13,17,19,23,29,31,37,41,43},0)),"소",
   AND(ISNUMBER(CK88),MOD(CK88,3)=0),"배",
   AND(ISNUMBER(CK88),CK88&gt;0),"자"
)</f>
        <v>소</v>
      </c>
      <c r="DS88" s="26" t="str" cm="1">
        <f t="array" ref="DS88">_xlfn.IFS(
   OR(CL88="",ISBLANK(CL88),CL88=0),0,
   ISNUMBER(MATCH(CL88,{2,3,5,7,11,13,17,19,23,29,31,37,41,43},0)),"소",
   AND(ISNUMBER(CL88),MOD(CL88,3)=0),"배",
   AND(ISNUMBER(CL88),CL88&gt;0),"자"
)</f>
        <v>소</v>
      </c>
      <c r="DT88" s="25"/>
    </row>
    <row r="89" spans="1:124" x14ac:dyDescent="0.3">
      <c r="B89" s="3">
        <v>3</v>
      </c>
      <c r="C89" s="3">
        <v>13</v>
      </c>
      <c r="D89" s="3">
        <v>28</v>
      </c>
      <c r="E89" s="3">
        <v>34</v>
      </c>
      <c r="F89" s="3">
        <v>38</v>
      </c>
      <c r="G89" s="3">
        <v>42</v>
      </c>
      <c r="H89" s="32"/>
      <c r="I89" s="3">
        <f t="shared" si="40"/>
        <v>1</v>
      </c>
      <c r="J89" s="3">
        <f t="shared" si="41"/>
        <v>1</v>
      </c>
      <c r="K89" s="3">
        <f t="shared" si="42"/>
        <v>2</v>
      </c>
      <c r="L89" s="3">
        <f t="shared" si="43"/>
        <v>2</v>
      </c>
      <c r="M89" s="3">
        <f t="shared" si="44"/>
        <v>2</v>
      </c>
      <c r="N89" s="3">
        <f t="shared" si="45"/>
        <v>2</v>
      </c>
      <c r="O89" s="32"/>
      <c r="P89" s="3" cm="1">
        <f t="array" ref="P89">SUMPRODUCT(--(MOD(B89:G89,2)=1))</f>
        <v>2</v>
      </c>
      <c r="Q89" s="3">
        <f t="shared" si="46"/>
        <v>4</v>
      </c>
      <c r="R89" s="34"/>
      <c r="S89" s="3">
        <f t="shared" si="47"/>
        <v>2</v>
      </c>
      <c r="T89" s="3">
        <f t="shared" si="48"/>
        <v>4</v>
      </c>
      <c r="U89" s="34"/>
      <c r="V89" s="3" cm="1">
        <f t="array" ref="V89">SUMPRODUCT(--(MOD(B89:G89,10)&gt;=1), --(MOD(B89:G89,10)&lt;=5))</f>
        <v>4</v>
      </c>
      <c r="W89" s="3">
        <f t="shared" si="49"/>
        <v>2</v>
      </c>
      <c r="X89" s="34"/>
      <c r="Y89" s="3" cm="1">
        <f t="array" ref="Y89">IFERROR(COUNT(_xlfn._xlws.FILTER(B89:G89, ISNUMBER(MATCH(B89:G89, {2,3,5,7,11,13,17,19,23,29,31,37,41,43}, 0)))), 0)</f>
        <v>2</v>
      </c>
      <c r="Z89" s="3" cm="1">
        <f t="array" ref="Z89">IFERROR(COUNT(_xlfn._xlws.FILTER(B89:G89, ISNUMBER(MATCH(B89:G89, {1,4,8,10,14,16,20,22,25,26,28,32,34,35,38,40,44}, 0)))), 0)</f>
        <v>3</v>
      </c>
      <c r="AA89" s="3" cm="1">
        <f t="array" ref="AA89">IFERROR(COUNT(_xlfn._xlws.FILTER(B89:G89, ISNUMBER(MATCH(B89:G89, {6,9,12,15,18,21,24,27,30,33,36,39,42,45}, 0)))), 0)</f>
        <v>1</v>
      </c>
      <c r="AB89" s="30"/>
      <c r="AC89" s="26" t="str" cm="1">
        <f t="array" ref="AC89">_xlfn.IFS(
   OR(B89="",ISBLANK(B89),B89=0),0,
   ISNUMBER(MATCH(B89,{2,3,5,7,11,13,17,19,23,29,31,37,41,43},0)),"소",
   AND(ISNUMBER(B89),MOD(B89,3)=0),"배",
   AND(ISNUMBER(B89),B89&gt;0),"자"
)</f>
        <v>소</v>
      </c>
      <c r="AD89" s="26" t="str" cm="1">
        <f t="array" ref="AD89">_xlfn.IFS(
   OR(C89="",ISBLANK(C89),C89=0),0,
   ISNUMBER(MATCH(C89,{2,3,5,7,11,13,17,19,23,29,31,37,41,43},0)),"소",
   AND(ISNUMBER(C89),MOD(C89,3)=0),"배",
   AND(ISNUMBER(C89),C89&gt;0),"자"
)</f>
        <v>소</v>
      </c>
      <c r="AE89" s="26" t="str" cm="1">
        <f t="array" ref="AE89">_xlfn.IFS(
   OR(D89="",ISBLANK(D89),D89=0),0,
   ISNUMBER(MATCH(D89,{2,3,5,7,11,13,17,19,23,29,31,37,41,43},0)),"소",
   AND(ISNUMBER(D89),MOD(D89,3)=0),"배",
   AND(ISNUMBER(D89),D89&gt;0),"자"
)</f>
        <v>자</v>
      </c>
      <c r="AF89" s="26" t="str" cm="1">
        <f t="array" ref="AF89">_xlfn.IFS(
   OR(E89="",ISBLANK(E89),E89=0),0,
   ISNUMBER(MATCH(E89,{2,3,5,7,11,13,17,19,23,29,31,37,41,43},0)),"소",
   AND(ISNUMBER(E89),MOD(E89,3)=0),"배",
   AND(ISNUMBER(E89),E89&gt;0),"자"
)</f>
        <v>자</v>
      </c>
      <c r="AG89" s="26" t="str" cm="1">
        <f t="array" ref="AG89">_xlfn.IFS(
   OR(F89="",ISBLANK(F89),F89=0),0,
   ISNUMBER(MATCH(F89,{2,3,5,7,11,13,17,19,23,29,31,37,41,43},0)),"소",
   AND(ISNUMBER(F89),MOD(F89,3)=0),"배",
   AND(ISNUMBER(F89),F89&gt;0),"자"
)</f>
        <v>자</v>
      </c>
      <c r="AH89" s="26" t="str" cm="1">
        <f t="array" ref="AH89">_xlfn.IFS(
   OR(G89="",ISBLANK(G89),G89=0),0,
   ISNUMBER(MATCH(G89,{2,3,5,7,11,13,17,19,23,29,31,37,41,43},0)),"소",
   AND(ISNUMBER(G89),MOD(G89,3)=0),"배",
   AND(ISNUMBER(G89),G89&gt;0),"자"
)</f>
        <v>배</v>
      </c>
      <c r="AI89" s="30"/>
      <c r="AJ89" s="3">
        <f t="shared" si="50"/>
        <v>2</v>
      </c>
      <c r="AK89" s="3">
        <f t="shared" si="51"/>
        <v>1</v>
      </c>
      <c r="AL89" s="3">
        <f t="shared" si="52"/>
        <v>3</v>
      </c>
      <c r="AM89" s="33"/>
      <c r="AN89" s="3">
        <f t="shared" si="53"/>
        <v>1</v>
      </c>
      <c r="AO89" s="3">
        <f t="shared" si="54"/>
        <v>1</v>
      </c>
      <c r="AP89" s="3">
        <f t="shared" si="55"/>
        <v>0</v>
      </c>
      <c r="AQ89" s="3">
        <f t="shared" si="56"/>
        <v>2</v>
      </c>
      <c r="AR89" s="3">
        <f t="shared" si="57"/>
        <v>2</v>
      </c>
      <c r="AS89" s="28" t="e">
        <f>#REF!</f>
        <v>#REF!</v>
      </c>
      <c r="AT89" s="28" t="e">
        <f>#REF!*2</f>
        <v>#REF!</v>
      </c>
      <c r="AU89" s="28" t="e">
        <f>#REF!</f>
        <v>#REF!</v>
      </c>
      <c r="AV89" s="28" t="e">
        <f>#REF!*2</f>
        <v>#REF!</v>
      </c>
      <c r="AW89" s="28" t="e">
        <f>#REF!</f>
        <v>#REF!</v>
      </c>
      <c r="AX89" s="28" t="e">
        <f>#REF!*2</f>
        <v>#REF!</v>
      </c>
      <c r="AY89" s="28" t="e">
        <f>#REF!</f>
        <v>#REF!</v>
      </c>
      <c r="AZ89" s="28" t="e">
        <f>#REF!*2</f>
        <v>#REF!</v>
      </c>
      <c r="BA89" s="28" t="e">
        <f>#REF!</f>
        <v>#REF!</v>
      </c>
      <c r="BB89" s="28" t="e">
        <f>#REF!*2</f>
        <v>#REF!</v>
      </c>
      <c r="BC89" s="28" t="e">
        <f>#REF!</f>
        <v>#REF!</v>
      </c>
      <c r="BD89" s="28" t="e">
        <f>#REF!*2</f>
        <v>#REF!</v>
      </c>
      <c r="BE89" s="9" t="e">
        <f>#REF!-#REF!</f>
        <v>#REF!</v>
      </c>
      <c r="BF89" s="9" t="e">
        <f>#REF!-#REF!</f>
        <v>#REF!</v>
      </c>
      <c r="BG89" s="9" t="e">
        <f>#REF!-#REF!</f>
        <v>#REF!</v>
      </c>
      <c r="BH89" s="9" t="e">
        <f>#REF!-#REF!</f>
        <v>#REF!</v>
      </c>
      <c r="BI89" s="9" t="e">
        <f>#REF!-#REF!</f>
        <v>#REF!</v>
      </c>
      <c r="BJ89" s="33"/>
      <c r="BK89" s="3">
        <f t="shared" si="58"/>
        <v>1</v>
      </c>
      <c r="BL89" s="3">
        <f t="shared" si="59"/>
        <v>1</v>
      </c>
      <c r="BM89" s="3">
        <f t="shared" si="60"/>
        <v>1</v>
      </c>
      <c r="BN89" s="3">
        <f t="shared" si="61"/>
        <v>2</v>
      </c>
      <c r="BO89" s="3">
        <f t="shared" si="62"/>
        <v>1</v>
      </c>
      <c r="BP89" s="28" t="e">
        <f>#REF!</f>
        <v>#REF!</v>
      </c>
      <c r="BQ89" s="28" t="e">
        <f>#REF!*2</f>
        <v>#REF!</v>
      </c>
      <c r="BR89" s="28" t="e">
        <f>#REF!</f>
        <v>#REF!</v>
      </c>
      <c r="BS89" s="28" t="e">
        <f>#REF!*2</f>
        <v>#REF!</v>
      </c>
      <c r="BT89" s="28" t="e">
        <f>#REF!</f>
        <v>#REF!</v>
      </c>
      <c r="BU89" s="28" t="e">
        <f>#REF!*2</f>
        <v>#REF!</v>
      </c>
      <c r="BV89" s="28" t="e">
        <f>#REF!</f>
        <v>#REF!</v>
      </c>
      <c r="BW89" s="28" t="e">
        <f>#REF!*2</f>
        <v>#REF!</v>
      </c>
      <c r="BX89" s="28" t="e">
        <f>#REF!</f>
        <v>#REF!</v>
      </c>
      <c r="BY89" s="28" t="e">
        <f>#REF!*2</f>
        <v>#REF!</v>
      </c>
      <c r="BZ89" s="28" t="e">
        <f>#REF!</f>
        <v>#REF!</v>
      </c>
      <c r="CA89" s="28" t="e">
        <f>#REF!*2</f>
        <v>#REF!</v>
      </c>
      <c r="CB89" s="9">
        <f t="shared" si="63"/>
        <v>10</v>
      </c>
      <c r="CC89" s="9">
        <f t="shared" si="64"/>
        <v>15</v>
      </c>
      <c r="CD89" s="9">
        <f t="shared" si="65"/>
        <v>6</v>
      </c>
      <c r="CE89" s="9">
        <f t="shared" si="66"/>
        <v>4</v>
      </c>
      <c r="CF89" s="9">
        <f t="shared" si="67"/>
        <v>4</v>
      </c>
      <c r="CG89" s="33"/>
      <c r="CH89" s="9">
        <f t="shared" si="68"/>
        <v>10</v>
      </c>
      <c r="CI89" s="9">
        <f t="shared" si="69"/>
        <v>15</v>
      </c>
      <c r="CJ89" s="9">
        <f t="shared" si="70"/>
        <v>6</v>
      </c>
      <c r="CK89" s="9">
        <f t="shared" si="71"/>
        <v>4</v>
      </c>
      <c r="CL89" s="9">
        <f t="shared" si="72"/>
        <v>4</v>
      </c>
      <c r="CM89" s="32"/>
      <c r="CN89" s="3">
        <f t="shared" si="73"/>
        <v>2</v>
      </c>
      <c r="CO89" s="3">
        <f t="shared" si="74"/>
        <v>1</v>
      </c>
      <c r="CP89" s="3">
        <f t="shared" si="75"/>
        <v>2</v>
      </c>
      <c r="CQ89" s="3">
        <f t="shared" si="76"/>
        <v>2</v>
      </c>
      <c r="CR89" s="3">
        <f t="shared" si="77"/>
        <v>2</v>
      </c>
      <c r="CS89" s="31"/>
      <c r="CT89" s="3" cm="1">
        <f t="array" ref="CT89">SUMPRODUCT(--(MOD(CH89:CL89,2)=1))</f>
        <v>1</v>
      </c>
      <c r="CU89" s="3">
        <f t="shared" si="78"/>
        <v>4</v>
      </c>
      <c r="CV89" s="30"/>
      <c r="CW89" s="3" cm="1">
        <f t="array" ref="CW89">SUMPRODUCT(--(MOD(CH89:CL89,10)&gt;=1), --(MOD(CH89:CL89,10)&lt;=5))</f>
        <v>3</v>
      </c>
      <c r="CX89" s="3">
        <f t="shared" si="79"/>
        <v>2</v>
      </c>
      <c r="CY89" s="30"/>
      <c r="CZ89" s="3" cm="1">
        <f t="array" ref="CZ89">IFERROR(COUNT(_xlfn._xlws.FILTER(CH89:CL89, ISNUMBER(MATCH(CH89:CL89, {2,3,5,7,11,13,17,19,23,29,31,37,41,43}, 0)))), 0)</f>
        <v>0</v>
      </c>
      <c r="DA89" s="3" cm="1">
        <f t="array" ref="DA89">IFERROR(COUNT(_xlfn._xlws.FILTER(CH89:CL89, ISNUMBER(MATCH(CH89:CL89, {1,4,8,10,14,16,20,22,25,26,28,32,34,35,38,40,44}, 0)))), 0)</f>
        <v>3</v>
      </c>
      <c r="DB89" s="3" cm="1">
        <f t="array" ref="DB89">IFERROR(COUNT(_xlfn._xlws.FILTER(CH89:CL89, ISNUMBER(MATCH(CH89:CL89, {6,9,12,15,18,21,24,27,30,33,36,39,42,45}, 0)))), 0)</f>
        <v>2</v>
      </c>
      <c r="DC89" s="29"/>
      <c r="DD89" s="28" t="e">
        <f>#REF!</f>
        <v>#REF!</v>
      </c>
      <c r="DE89" s="28" t="e">
        <f>#REF!*2</f>
        <v>#REF!</v>
      </c>
      <c r="DF89" s="28" t="e">
        <f>#REF!</f>
        <v>#REF!</v>
      </c>
      <c r="DG89" s="28" t="e">
        <f>#REF!*2</f>
        <v>#REF!</v>
      </c>
      <c r="DH89" s="28" t="e">
        <f>#REF!</f>
        <v>#REF!</v>
      </c>
      <c r="DI89" s="28" t="e">
        <f>#REF!*2</f>
        <v>#REF!</v>
      </c>
      <c r="DJ89" s="28" t="e">
        <f>#REF!</f>
        <v>#REF!</v>
      </c>
      <c r="DK89" s="28" t="e">
        <f>#REF!*2</f>
        <v>#REF!</v>
      </c>
      <c r="DL89" s="28" t="e">
        <f>#REF!</f>
        <v>#REF!</v>
      </c>
      <c r="DM89" s="28" t="e">
        <f>#REF!*2</f>
        <v>#REF!</v>
      </c>
      <c r="DN89" s="27"/>
      <c r="DO89" s="26" t="str" cm="1">
        <f t="array" ref="DO89">_xlfn.IFS(
   OR(CH89="",ISBLANK(CH89),CH89=0),0,
   ISNUMBER(MATCH(CH89,{2,3,5,7,11,13,17,19,23,29,31,37,41,43},0)),"소",
   AND(ISNUMBER(CH89),MOD(CH89,3)=0),"배",
   AND(ISNUMBER(CH89),CH89&gt;0),"자"
)</f>
        <v>자</v>
      </c>
      <c r="DP89" s="26" t="str" cm="1">
        <f t="array" ref="DP89">_xlfn.IFS(
   OR(CI89="",ISBLANK(CI89),CI89=0),0,
   ISNUMBER(MATCH(CI89,{2,3,5,7,11,13,17,19,23,29,31,37,41,43},0)),"소",
   AND(ISNUMBER(CI89),MOD(CI89,3)=0),"배",
   AND(ISNUMBER(CI89),CI89&gt;0),"자"
)</f>
        <v>배</v>
      </c>
      <c r="DQ89" s="26" t="str" cm="1">
        <f t="array" ref="DQ89">_xlfn.IFS(
   OR(CJ89="",ISBLANK(CJ89),CJ89=0),0,
   ISNUMBER(MATCH(CJ89,{2,3,5,7,11,13,17,19,23,29,31,37,41,43},0)),"소",
   AND(ISNUMBER(CJ89),MOD(CJ89,3)=0),"배",
   AND(ISNUMBER(CJ89),CJ89&gt;0),"자"
)</f>
        <v>배</v>
      </c>
      <c r="DR89" s="26" t="str" cm="1">
        <f t="array" ref="DR89">_xlfn.IFS(
   OR(CK89="",ISBLANK(CK89),CK89=0),0,
   ISNUMBER(MATCH(CK89,{2,3,5,7,11,13,17,19,23,29,31,37,41,43},0)),"소",
   AND(ISNUMBER(CK89),MOD(CK89,3)=0),"배",
   AND(ISNUMBER(CK89),CK89&gt;0),"자"
)</f>
        <v>자</v>
      </c>
      <c r="DS89" s="26" t="str" cm="1">
        <f t="array" ref="DS89">_xlfn.IFS(
   OR(CL89="",ISBLANK(CL89),CL89=0),0,
   ISNUMBER(MATCH(CL89,{2,3,5,7,11,13,17,19,23,29,31,37,41,43},0)),"소",
   AND(ISNUMBER(CL89),MOD(CL89,3)=0),"배",
   AND(ISNUMBER(CL89),CL89&gt;0),"자"
)</f>
        <v>자</v>
      </c>
      <c r="DT89" s="25"/>
    </row>
    <row r="90" spans="1:124" x14ac:dyDescent="0.3">
      <c r="B90" s="3">
        <v>3</v>
      </c>
      <c r="C90" s="3">
        <v>6</v>
      </c>
      <c r="D90" s="3">
        <v>7</v>
      </c>
      <c r="E90" s="3">
        <v>11</v>
      </c>
      <c r="F90" s="3">
        <v>12</v>
      </c>
      <c r="G90" s="3">
        <v>17</v>
      </c>
      <c r="H90" s="32"/>
      <c r="I90" s="3">
        <f t="shared" si="40"/>
        <v>1</v>
      </c>
      <c r="J90" s="3">
        <f t="shared" si="41"/>
        <v>2</v>
      </c>
      <c r="K90" s="3">
        <f t="shared" si="42"/>
        <v>1</v>
      </c>
      <c r="L90" s="3">
        <f t="shared" si="43"/>
        <v>1</v>
      </c>
      <c r="M90" s="3">
        <f t="shared" si="44"/>
        <v>2</v>
      </c>
      <c r="N90" s="3">
        <f t="shared" si="45"/>
        <v>1</v>
      </c>
      <c r="O90" s="32"/>
      <c r="P90" s="3" cm="1">
        <f t="array" ref="P90">SUMPRODUCT(--(MOD(B90:G90,2)=1))</f>
        <v>4</v>
      </c>
      <c r="Q90" s="3">
        <f t="shared" si="46"/>
        <v>2</v>
      </c>
      <c r="R90" s="34"/>
      <c r="S90" s="3">
        <f t="shared" si="47"/>
        <v>6</v>
      </c>
      <c r="T90" s="3">
        <f t="shared" si="48"/>
        <v>0</v>
      </c>
      <c r="U90" s="34"/>
      <c r="V90" s="3" cm="1">
        <f t="array" ref="V90">SUMPRODUCT(--(MOD(B90:G90,10)&gt;=1), --(MOD(B90:G90,10)&lt;=5))</f>
        <v>3</v>
      </c>
      <c r="W90" s="3">
        <f t="shared" si="49"/>
        <v>3</v>
      </c>
      <c r="X90" s="34"/>
      <c r="Y90" s="3" cm="1">
        <f t="array" ref="Y90">IFERROR(COUNT(_xlfn._xlws.FILTER(B90:G90, ISNUMBER(MATCH(B90:G90, {2,3,5,7,11,13,17,19,23,29,31,37,41,43}, 0)))), 0)</f>
        <v>4</v>
      </c>
      <c r="Z90" s="3" cm="1">
        <f t="array" ref="Z90">IFERROR(COUNT(_xlfn._xlws.FILTER(B90:G90, ISNUMBER(MATCH(B90:G90, {1,4,8,10,14,16,20,22,25,26,28,32,34,35,38,40,44}, 0)))), 0)</f>
        <v>0</v>
      </c>
      <c r="AA90" s="3" cm="1">
        <f t="array" ref="AA90">IFERROR(COUNT(_xlfn._xlws.FILTER(B90:G90, ISNUMBER(MATCH(B90:G90, {6,9,12,15,18,21,24,27,30,33,36,39,42,45}, 0)))), 0)</f>
        <v>2</v>
      </c>
      <c r="AB90" s="30"/>
      <c r="AC90" s="26" t="str" cm="1">
        <f t="array" ref="AC90">_xlfn.IFS(
   OR(B90="",ISBLANK(B90),B90=0),0,
   ISNUMBER(MATCH(B90,{2,3,5,7,11,13,17,19,23,29,31,37,41,43},0)),"소",
   AND(ISNUMBER(B90),MOD(B90,3)=0),"배",
   AND(ISNUMBER(B90),B90&gt;0),"자"
)</f>
        <v>소</v>
      </c>
      <c r="AD90" s="26" t="str" cm="1">
        <f t="array" ref="AD90">_xlfn.IFS(
   OR(C90="",ISBLANK(C90),C90=0),0,
   ISNUMBER(MATCH(C90,{2,3,5,7,11,13,17,19,23,29,31,37,41,43},0)),"소",
   AND(ISNUMBER(C90),MOD(C90,3)=0),"배",
   AND(ISNUMBER(C90),C90&gt;0),"자"
)</f>
        <v>배</v>
      </c>
      <c r="AE90" s="26" t="str" cm="1">
        <f t="array" ref="AE90">_xlfn.IFS(
   OR(D90="",ISBLANK(D90),D90=0),0,
   ISNUMBER(MATCH(D90,{2,3,5,7,11,13,17,19,23,29,31,37,41,43},0)),"소",
   AND(ISNUMBER(D90),MOD(D90,3)=0),"배",
   AND(ISNUMBER(D90),D90&gt;0),"자"
)</f>
        <v>소</v>
      </c>
      <c r="AF90" s="26" t="str" cm="1">
        <f t="array" ref="AF90">_xlfn.IFS(
   OR(E90="",ISBLANK(E90),E90=0),0,
   ISNUMBER(MATCH(E90,{2,3,5,7,11,13,17,19,23,29,31,37,41,43},0)),"소",
   AND(ISNUMBER(E90),MOD(E90,3)=0),"배",
   AND(ISNUMBER(E90),E90&gt;0),"자"
)</f>
        <v>소</v>
      </c>
      <c r="AG90" s="26" t="str" cm="1">
        <f t="array" ref="AG90">_xlfn.IFS(
   OR(F90="",ISBLANK(F90),F90=0),0,
   ISNUMBER(MATCH(F90,{2,3,5,7,11,13,17,19,23,29,31,37,41,43},0)),"소",
   AND(ISNUMBER(F90),MOD(F90,3)=0),"배",
   AND(ISNUMBER(F90),F90&gt;0),"자"
)</f>
        <v>배</v>
      </c>
      <c r="AH90" s="26" t="str" cm="1">
        <f t="array" ref="AH90">_xlfn.IFS(
   OR(G90="",ISBLANK(G90),G90=0),0,
   ISNUMBER(MATCH(G90,{2,3,5,7,11,13,17,19,23,29,31,37,41,43},0)),"소",
   AND(ISNUMBER(G90),MOD(G90,3)=0),"배",
   AND(ISNUMBER(G90),G90&gt;0),"자"
)</f>
        <v>소</v>
      </c>
      <c r="AI90" s="30"/>
      <c r="AJ90" s="3">
        <f t="shared" si="50"/>
        <v>5</v>
      </c>
      <c r="AK90" s="3">
        <f t="shared" si="51"/>
        <v>1</v>
      </c>
      <c r="AL90" s="3">
        <f t="shared" si="52"/>
        <v>0</v>
      </c>
      <c r="AM90" s="33"/>
      <c r="AN90" s="3">
        <f t="shared" si="53"/>
        <v>3</v>
      </c>
      <c r="AO90" s="3">
        <f t="shared" si="54"/>
        <v>3</v>
      </c>
      <c r="AP90" s="3">
        <f t="shared" si="55"/>
        <v>0</v>
      </c>
      <c r="AQ90" s="3">
        <f t="shared" si="56"/>
        <v>0</v>
      </c>
      <c r="AR90" s="3">
        <f t="shared" si="57"/>
        <v>0</v>
      </c>
      <c r="AS90" s="28" t="e">
        <f>#REF!</f>
        <v>#REF!</v>
      </c>
      <c r="AT90" s="28" t="e">
        <f>#REF!*2</f>
        <v>#REF!</v>
      </c>
      <c r="AU90" s="28" t="e">
        <f>#REF!</f>
        <v>#REF!</v>
      </c>
      <c r="AV90" s="28" t="e">
        <f>#REF!*2</f>
        <v>#REF!</v>
      </c>
      <c r="AW90" s="28" t="e">
        <f>#REF!</f>
        <v>#REF!</v>
      </c>
      <c r="AX90" s="28" t="e">
        <f>#REF!*2</f>
        <v>#REF!</v>
      </c>
      <c r="AY90" s="28" t="e">
        <f>#REF!</f>
        <v>#REF!</v>
      </c>
      <c r="AZ90" s="28" t="e">
        <f>#REF!*2</f>
        <v>#REF!</v>
      </c>
      <c r="BA90" s="28" t="e">
        <f>#REF!</f>
        <v>#REF!</v>
      </c>
      <c r="BB90" s="28" t="e">
        <f>#REF!*2</f>
        <v>#REF!</v>
      </c>
      <c r="BC90" s="28" t="e">
        <f>#REF!</f>
        <v>#REF!</v>
      </c>
      <c r="BD90" s="28" t="e">
        <f>#REF!*2</f>
        <v>#REF!</v>
      </c>
      <c r="BE90" s="9" t="e">
        <f>#REF!-#REF!</f>
        <v>#REF!</v>
      </c>
      <c r="BF90" s="9" t="e">
        <f>#REF!-#REF!</f>
        <v>#REF!</v>
      </c>
      <c r="BG90" s="9" t="e">
        <f>#REF!-#REF!</f>
        <v>#REF!</v>
      </c>
      <c r="BH90" s="9" t="e">
        <f>#REF!-#REF!</f>
        <v>#REF!</v>
      </c>
      <c r="BI90" s="9" t="e">
        <f>#REF!-#REF!</f>
        <v>#REF!</v>
      </c>
      <c r="BJ90" s="33"/>
      <c r="BK90" s="3">
        <f t="shared" si="58"/>
        <v>3</v>
      </c>
      <c r="BL90" s="3">
        <f t="shared" si="59"/>
        <v>3</v>
      </c>
      <c r="BM90" s="3">
        <f t="shared" si="60"/>
        <v>0</v>
      </c>
      <c r="BN90" s="3">
        <f t="shared" si="61"/>
        <v>0</v>
      </c>
      <c r="BO90" s="3">
        <f t="shared" si="62"/>
        <v>0</v>
      </c>
      <c r="BP90" s="28" t="e">
        <f>#REF!</f>
        <v>#REF!</v>
      </c>
      <c r="BQ90" s="28" t="e">
        <f>#REF!*2</f>
        <v>#REF!</v>
      </c>
      <c r="BR90" s="28" t="e">
        <f>#REF!</f>
        <v>#REF!</v>
      </c>
      <c r="BS90" s="28" t="e">
        <f>#REF!*2</f>
        <v>#REF!</v>
      </c>
      <c r="BT90" s="28" t="e">
        <f>#REF!</f>
        <v>#REF!</v>
      </c>
      <c r="BU90" s="28" t="e">
        <f>#REF!*2</f>
        <v>#REF!</v>
      </c>
      <c r="BV90" s="28" t="e">
        <f>#REF!</f>
        <v>#REF!</v>
      </c>
      <c r="BW90" s="28" t="e">
        <f>#REF!*2</f>
        <v>#REF!</v>
      </c>
      <c r="BX90" s="28" t="e">
        <f>#REF!</f>
        <v>#REF!</v>
      </c>
      <c r="BY90" s="28" t="e">
        <f>#REF!*2</f>
        <v>#REF!</v>
      </c>
      <c r="BZ90" s="28" t="e">
        <f>#REF!</f>
        <v>#REF!</v>
      </c>
      <c r="CA90" s="28" t="e">
        <f>#REF!*2</f>
        <v>#REF!</v>
      </c>
      <c r="CB90" s="9">
        <f t="shared" si="63"/>
        <v>3</v>
      </c>
      <c r="CC90" s="9">
        <f t="shared" si="64"/>
        <v>1</v>
      </c>
      <c r="CD90" s="9">
        <f t="shared" si="65"/>
        <v>4</v>
      </c>
      <c r="CE90" s="9">
        <f t="shared" si="66"/>
        <v>1</v>
      </c>
      <c r="CF90" s="9">
        <f t="shared" si="67"/>
        <v>5</v>
      </c>
      <c r="CG90" s="33"/>
      <c r="CH90" s="9">
        <f t="shared" si="68"/>
        <v>3</v>
      </c>
      <c r="CI90" s="9">
        <f t="shared" si="69"/>
        <v>1</v>
      </c>
      <c r="CJ90" s="9">
        <f t="shared" si="70"/>
        <v>4</v>
      </c>
      <c r="CK90" s="9">
        <f t="shared" si="71"/>
        <v>1</v>
      </c>
      <c r="CL90" s="9">
        <f t="shared" si="72"/>
        <v>5</v>
      </c>
      <c r="CM90" s="32"/>
      <c r="CN90" s="3">
        <f t="shared" si="73"/>
        <v>1</v>
      </c>
      <c r="CO90" s="3">
        <f t="shared" si="74"/>
        <v>1</v>
      </c>
      <c r="CP90" s="3">
        <f t="shared" si="75"/>
        <v>2</v>
      </c>
      <c r="CQ90" s="3">
        <f t="shared" si="76"/>
        <v>1</v>
      </c>
      <c r="CR90" s="3">
        <f t="shared" si="77"/>
        <v>1</v>
      </c>
      <c r="CS90" s="31"/>
      <c r="CT90" s="3" cm="1">
        <f t="array" ref="CT90">SUMPRODUCT(--(MOD(CH90:CL90,2)=1))</f>
        <v>4</v>
      </c>
      <c r="CU90" s="3">
        <f t="shared" si="78"/>
        <v>1</v>
      </c>
      <c r="CV90" s="30"/>
      <c r="CW90" s="3" cm="1">
        <f t="array" ref="CW90">SUMPRODUCT(--(MOD(CH90:CL90,10)&gt;=1), --(MOD(CH90:CL90,10)&lt;=5))</f>
        <v>5</v>
      </c>
      <c r="CX90" s="3">
        <f t="shared" si="79"/>
        <v>0</v>
      </c>
      <c r="CY90" s="30"/>
      <c r="CZ90" s="3" cm="1">
        <f t="array" ref="CZ90">IFERROR(COUNT(_xlfn._xlws.FILTER(CH90:CL90, ISNUMBER(MATCH(CH90:CL90, {2,3,5,7,11,13,17,19,23,29,31,37,41,43}, 0)))), 0)</f>
        <v>2</v>
      </c>
      <c r="DA90" s="3" cm="1">
        <f t="array" ref="DA90">IFERROR(COUNT(_xlfn._xlws.FILTER(CH90:CL90, ISNUMBER(MATCH(CH90:CL90, {1,4,8,10,14,16,20,22,25,26,28,32,34,35,38,40,44}, 0)))), 0)</f>
        <v>3</v>
      </c>
      <c r="DB90" s="3" cm="1">
        <f t="array" ref="DB90">IFERROR(COUNT(_xlfn._xlws.FILTER(CH90:CL90, ISNUMBER(MATCH(CH90:CL90, {6,9,12,15,18,21,24,27,30,33,36,39,42,45}, 0)))), 0)</f>
        <v>0</v>
      </c>
      <c r="DC90" s="29"/>
      <c r="DD90" s="28" t="e">
        <f>#REF!</f>
        <v>#REF!</v>
      </c>
      <c r="DE90" s="28" t="e">
        <f>#REF!*2</f>
        <v>#REF!</v>
      </c>
      <c r="DF90" s="28" t="e">
        <f>#REF!</f>
        <v>#REF!</v>
      </c>
      <c r="DG90" s="28" t="e">
        <f>#REF!*2</f>
        <v>#REF!</v>
      </c>
      <c r="DH90" s="28" t="e">
        <f>#REF!</f>
        <v>#REF!</v>
      </c>
      <c r="DI90" s="28" t="e">
        <f>#REF!*2</f>
        <v>#REF!</v>
      </c>
      <c r="DJ90" s="28" t="e">
        <f>#REF!</f>
        <v>#REF!</v>
      </c>
      <c r="DK90" s="28" t="e">
        <f>#REF!*2</f>
        <v>#REF!</v>
      </c>
      <c r="DL90" s="28" t="e">
        <f>#REF!</f>
        <v>#REF!</v>
      </c>
      <c r="DM90" s="28" t="e">
        <f>#REF!*2</f>
        <v>#REF!</v>
      </c>
      <c r="DN90" s="27"/>
      <c r="DO90" s="26" t="str" cm="1">
        <f t="array" ref="DO90">_xlfn.IFS(
   OR(CH90="",ISBLANK(CH90),CH90=0),0,
   ISNUMBER(MATCH(CH90,{2,3,5,7,11,13,17,19,23,29,31,37,41,43},0)),"소",
   AND(ISNUMBER(CH90),MOD(CH90,3)=0),"배",
   AND(ISNUMBER(CH90),CH90&gt;0),"자"
)</f>
        <v>소</v>
      </c>
      <c r="DP90" s="26" t="str" cm="1">
        <f t="array" ref="DP90">_xlfn.IFS(
   OR(CI90="",ISBLANK(CI90),CI90=0),0,
   ISNUMBER(MATCH(CI90,{2,3,5,7,11,13,17,19,23,29,31,37,41,43},0)),"소",
   AND(ISNUMBER(CI90),MOD(CI90,3)=0),"배",
   AND(ISNUMBER(CI90),CI90&gt;0),"자"
)</f>
        <v>자</v>
      </c>
      <c r="DQ90" s="26" t="str" cm="1">
        <f t="array" ref="DQ90">_xlfn.IFS(
   OR(CJ90="",ISBLANK(CJ90),CJ90=0),0,
   ISNUMBER(MATCH(CJ90,{2,3,5,7,11,13,17,19,23,29,31,37,41,43},0)),"소",
   AND(ISNUMBER(CJ90),MOD(CJ90,3)=0),"배",
   AND(ISNUMBER(CJ90),CJ90&gt;0),"자"
)</f>
        <v>자</v>
      </c>
      <c r="DR90" s="26" t="str" cm="1">
        <f t="array" ref="DR90">_xlfn.IFS(
   OR(CK90="",ISBLANK(CK90),CK90=0),0,
   ISNUMBER(MATCH(CK90,{2,3,5,7,11,13,17,19,23,29,31,37,41,43},0)),"소",
   AND(ISNUMBER(CK90),MOD(CK90,3)=0),"배",
   AND(ISNUMBER(CK90),CK90&gt;0),"자"
)</f>
        <v>자</v>
      </c>
      <c r="DS90" s="26" t="str" cm="1">
        <f t="array" ref="DS90">_xlfn.IFS(
   OR(CL90="",ISBLANK(CL90),CL90=0),0,
   ISNUMBER(MATCH(CL90,{2,3,5,7,11,13,17,19,23,29,31,37,41,43},0)),"소",
   AND(ISNUMBER(CL90),MOD(CL90,3)=0),"배",
   AND(ISNUMBER(CL90),CL90&gt;0),"자"
)</f>
        <v>소</v>
      </c>
      <c r="DT90" s="25"/>
    </row>
    <row r="91" spans="1:124" x14ac:dyDescent="0.3">
      <c r="B91" s="3">
        <v>7</v>
      </c>
      <c r="C91" s="3">
        <v>9</v>
      </c>
      <c r="D91" s="3">
        <v>24</v>
      </c>
      <c r="E91" s="3">
        <v>40</v>
      </c>
      <c r="F91" s="3">
        <v>42</v>
      </c>
      <c r="G91" s="3">
        <v>44</v>
      </c>
      <c r="H91" s="32"/>
      <c r="I91" s="3">
        <f t="shared" si="40"/>
        <v>1</v>
      </c>
      <c r="J91" s="3">
        <f t="shared" si="41"/>
        <v>1</v>
      </c>
      <c r="K91" s="3">
        <f t="shared" si="42"/>
        <v>2</v>
      </c>
      <c r="L91" s="3">
        <f t="shared" si="43"/>
        <v>2</v>
      </c>
      <c r="M91" s="3">
        <f t="shared" si="44"/>
        <v>2</v>
      </c>
      <c r="N91" s="3">
        <f t="shared" si="45"/>
        <v>2</v>
      </c>
      <c r="O91" s="32"/>
      <c r="P91" s="3" cm="1">
        <f t="array" ref="P91">SUMPRODUCT(--(MOD(B91:G91,2)=1))</f>
        <v>2</v>
      </c>
      <c r="Q91" s="3">
        <f t="shared" si="46"/>
        <v>4</v>
      </c>
      <c r="R91" s="34"/>
      <c r="S91" s="3">
        <f t="shared" si="47"/>
        <v>2</v>
      </c>
      <c r="T91" s="3">
        <f t="shared" si="48"/>
        <v>4</v>
      </c>
      <c r="U91" s="34"/>
      <c r="V91" s="3" cm="1">
        <f t="array" ref="V91">SUMPRODUCT(--(MOD(B91:G91,10)&gt;=1), --(MOD(B91:G91,10)&lt;=5))</f>
        <v>3</v>
      </c>
      <c r="W91" s="3">
        <f t="shared" si="49"/>
        <v>3</v>
      </c>
      <c r="X91" s="34"/>
      <c r="Y91" s="3" cm="1">
        <f t="array" ref="Y91">IFERROR(COUNT(_xlfn._xlws.FILTER(B91:G91, ISNUMBER(MATCH(B91:G91, {2,3,5,7,11,13,17,19,23,29,31,37,41,43}, 0)))), 0)</f>
        <v>1</v>
      </c>
      <c r="Z91" s="3" cm="1">
        <f t="array" ref="Z91">IFERROR(COUNT(_xlfn._xlws.FILTER(B91:G91, ISNUMBER(MATCH(B91:G91, {1,4,8,10,14,16,20,22,25,26,28,32,34,35,38,40,44}, 0)))), 0)</f>
        <v>2</v>
      </c>
      <c r="AA91" s="3" cm="1">
        <f t="array" ref="AA91">IFERROR(COUNT(_xlfn._xlws.FILTER(B91:G91, ISNUMBER(MATCH(B91:G91, {6,9,12,15,18,21,24,27,30,33,36,39,42,45}, 0)))), 0)</f>
        <v>3</v>
      </c>
      <c r="AB91" s="30"/>
      <c r="AC91" s="26" t="str" cm="1">
        <f t="array" ref="AC91">_xlfn.IFS(
   OR(B91="",ISBLANK(B91),B91=0),0,
   ISNUMBER(MATCH(B91,{2,3,5,7,11,13,17,19,23,29,31,37,41,43},0)),"소",
   AND(ISNUMBER(B91),MOD(B91,3)=0),"배",
   AND(ISNUMBER(B91),B91&gt;0),"자"
)</f>
        <v>소</v>
      </c>
      <c r="AD91" s="26" t="str" cm="1">
        <f t="array" ref="AD91">_xlfn.IFS(
   OR(C91="",ISBLANK(C91),C91=0),0,
   ISNUMBER(MATCH(C91,{2,3,5,7,11,13,17,19,23,29,31,37,41,43},0)),"소",
   AND(ISNUMBER(C91),MOD(C91,3)=0),"배",
   AND(ISNUMBER(C91),C91&gt;0),"자"
)</f>
        <v>배</v>
      </c>
      <c r="AE91" s="26" t="str" cm="1">
        <f t="array" ref="AE91">_xlfn.IFS(
   OR(D91="",ISBLANK(D91),D91=0),0,
   ISNUMBER(MATCH(D91,{2,3,5,7,11,13,17,19,23,29,31,37,41,43},0)),"소",
   AND(ISNUMBER(D91),MOD(D91,3)=0),"배",
   AND(ISNUMBER(D91),D91&gt;0),"자"
)</f>
        <v>배</v>
      </c>
      <c r="AF91" s="26" t="str" cm="1">
        <f t="array" ref="AF91">_xlfn.IFS(
   OR(E91="",ISBLANK(E91),E91=0),0,
   ISNUMBER(MATCH(E91,{2,3,5,7,11,13,17,19,23,29,31,37,41,43},0)),"소",
   AND(ISNUMBER(E91),MOD(E91,3)=0),"배",
   AND(ISNUMBER(E91),E91&gt;0),"자"
)</f>
        <v>자</v>
      </c>
      <c r="AG91" s="26" t="str" cm="1">
        <f t="array" ref="AG91">_xlfn.IFS(
   OR(F91="",ISBLANK(F91),F91=0),0,
   ISNUMBER(MATCH(F91,{2,3,5,7,11,13,17,19,23,29,31,37,41,43},0)),"소",
   AND(ISNUMBER(F91),MOD(F91,3)=0),"배",
   AND(ISNUMBER(F91),F91&gt;0),"자"
)</f>
        <v>배</v>
      </c>
      <c r="AH91" s="26" t="str" cm="1">
        <f t="array" ref="AH91">_xlfn.IFS(
   OR(G91="",ISBLANK(G91),G91=0),0,
   ISNUMBER(MATCH(G91,{2,3,5,7,11,13,17,19,23,29,31,37,41,43},0)),"소",
   AND(ISNUMBER(G91),MOD(G91,3)=0),"배",
   AND(ISNUMBER(G91),G91&gt;0),"자"
)</f>
        <v>자</v>
      </c>
      <c r="AI91" s="30"/>
      <c r="AJ91" s="3">
        <f t="shared" si="50"/>
        <v>2</v>
      </c>
      <c r="AK91" s="3">
        <f t="shared" si="51"/>
        <v>1</v>
      </c>
      <c r="AL91" s="3">
        <f t="shared" si="52"/>
        <v>3</v>
      </c>
      <c r="AM91" s="33"/>
      <c r="AN91" s="3">
        <f t="shared" si="53"/>
        <v>2</v>
      </c>
      <c r="AO91" s="3">
        <f t="shared" si="54"/>
        <v>0</v>
      </c>
      <c r="AP91" s="3">
        <f t="shared" si="55"/>
        <v>1</v>
      </c>
      <c r="AQ91" s="3">
        <f t="shared" si="56"/>
        <v>0</v>
      </c>
      <c r="AR91" s="3">
        <f t="shared" si="57"/>
        <v>3</v>
      </c>
      <c r="AS91" s="28" t="e">
        <f>#REF!</f>
        <v>#REF!</v>
      </c>
      <c r="AT91" s="28" t="e">
        <f>#REF!*2</f>
        <v>#REF!</v>
      </c>
      <c r="AU91" s="28" t="e">
        <f>#REF!</f>
        <v>#REF!</v>
      </c>
      <c r="AV91" s="28" t="e">
        <f>#REF!*2</f>
        <v>#REF!</v>
      </c>
      <c r="AW91" s="28" t="e">
        <f>#REF!</f>
        <v>#REF!</v>
      </c>
      <c r="AX91" s="28" t="e">
        <f>#REF!*2</f>
        <v>#REF!</v>
      </c>
      <c r="AY91" s="28" t="e">
        <f>#REF!</f>
        <v>#REF!</v>
      </c>
      <c r="AZ91" s="28" t="e">
        <f>#REF!*2</f>
        <v>#REF!</v>
      </c>
      <c r="BA91" s="28" t="e">
        <f>#REF!</f>
        <v>#REF!</v>
      </c>
      <c r="BB91" s="28" t="e">
        <f>#REF!*2</f>
        <v>#REF!</v>
      </c>
      <c r="BC91" s="28" t="e">
        <f>#REF!</f>
        <v>#REF!</v>
      </c>
      <c r="BD91" s="28" t="e">
        <f>#REF!*2</f>
        <v>#REF!</v>
      </c>
      <c r="BE91" s="9" t="e">
        <f>#REF!-#REF!</f>
        <v>#REF!</v>
      </c>
      <c r="BF91" s="9" t="e">
        <f>#REF!-#REF!</f>
        <v>#REF!</v>
      </c>
      <c r="BG91" s="9" t="e">
        <f>#REF!-#REF!</f>
        <v>#REF!</v>
      </c>
      <c r="BH91" s="9" t="e">
        <f>#REF!-#REF!</f>
        <v>#REF!</v>
      </c>
      <c r="BI91" s="9" t="e">
        <f>#REF!-#REF!</f>
        <v>#REF!</v>
      </c>
      <c r="BJ91" s="33"/>
      <c r="BK91" s="3">
        <f t="shared" si="58"/>
        <v>2</v>
      </c>
      <c r="BL91" s="3">
        <f t="shared" si="59"/>
        <v>0</v>
      </c>
      <c r="BM91" s="3">
        <f t="shared" si="60"/>
        <v>1</v>
      </c>
      <c r="BN91" s="3">
        <f t="shared" si="61"/>
        <v>0</v>
      </c>
      <c r="BO91" s="3">
        <f t="shared" si="62"/>
        <v>3</v>
      </c>
      <c r="BP91" s="28" t="e">
        <f>#REF!</f>
        <v>#REF!</v>
      </c>
      <c r="BQ91" s="28" t="e">
        <f>#REF!*2</f>
        <v>#REF!</v>
      </c>
      <c r="BR91" s="28" t="e">
        <f>#REF!</f>
        <v>#REF!</v>
      </c>
      <c r="BS91" s="28" t="e">
        <f>#REF!*2</f>
        <v>#REF!</v>
      </c>
      <c r="BT91" s="28" t="e">
        <f>#REF!</f>
        <v>#REF!</v>
      </c>
      <c r="BU91" s="28" t="e">
        <f>#REF!*2</f>
        <v>#REF!</v>
      </c>
      <c r="BV91" s="28" t="e">
        <f>#REF!</f>
        <v>#REF!</v>
      </c>
      <c r="BW91" s="28" t="e">
        <f>#REF!*2</f>
        <v>#REF!</v>
      </c>
      <c r="BX91" s="28" t="e">
        <f>#REF!</f>
        <v>#REF!</v>
      </c>
      <c r="BY91" s="28" t="e">
        <f>#REF!*2</f>
        <v>#REF!</v>
      </c>
      <c r="BZ91" s="28" t="e">
        <f>#REF!</f>
        <v>#REF!</v>
      </c>
      <c r="CA91" s="28" t="e">
        <f>#REF!*2</f>
        <v>#REF!</v>
      </c>
      <c r="CB91" s="9">
        <f t="shared" si="63"/>
        <v>2</v>
      </c>
      <c r="CC91" s="9">
        <f t="shared" si="64"/>
        <v>15</v>
      </c>
      <c r="CD91" s="9">
        <f t="shared" si="65"/>
        <v>16</v>
      </c>
      <c r="CE91" s="9">
        <f t="shared" si="66"/>
        <v>2</v>
      </c>
      <c r="CF91" s="9">
        <f t="shared" si="67"/>
        <v>2</v>
      </c>
      <c r="CG91" s="33"/>
      <c r="CH91" s="9">
        <f t="shared" si="68"/>
        <v>2</v>
      </c>
      <c r="CI91" s="9">
        <f t="shared" si="69"/>
        <v>15</v>
      </c>
      <c r="CJ91" s="9">
        <f t="shared" si="70"/>
        <v>16</v>
      </c>
      <c r="CK91" s="9">
        <f t="shared" si="71"/>
        <v>2</v>
      </c>
      <c r="CL91" s="9">
        <f t="shared" si="72"/>
        <v>2</v>
      </c>
      <c r="CM91" s="32"/>
      <c r="CN91" s="3">
        <f t="shared" si="73"/>
        <v>2</v>
      </c>
      <c r="CO91" s="3">
        <f t="shared" si="74"/>
        <v>1</v>
      </c>
      <c r="CP91" s="3">
        <f t="shared" si="75"/>
        <v>2</v>
      </c>
      <c r="CQ91" s="3">
        <f t="shared" si="76"/>
        <v>2</v>
      </c>
      <c r="CR91" s="3">
        <f t="shared" si="77"/>
        <v>2</v>
      </c>
      <c r="CS91" s="31"/>
      <c r="CT91" s="3" cm="1">
        <f t="array" ref="CT91">SUMPRODUCT(--(MOD(CH91:CL91,2)=1))</f>
        <v>1</v>
      </c>
      <c r="CU91" s="3">
        <f t="shared" si="78"/>
        <v>4</v>
      </c>
      <c r="CV91" s="30"/>
      <c r="CW91" s="3" cm="1">
        <f t="array" ref="CW91">SUMPRODUCT(--(MOD(CH91:CL91,10)&gt;=1), --(MOD(CH91:CL91,10)&lt;=5))</f>
        <v>4</v>
      </c>
      <c r="CX91" s="3">
        <f t="shared" si="79"/>
        <v>1</v>
      </c>
      <c r="CY91" s="30"/>
      <c r="CZ91" s="3" cm="1">
        <f t="array" ref="CZ91">IFERROR(COUNT(_xlfn._xlws.FILTER(CH91:CL91, ISNUMBER(MATCH(CH91:CL91, {2,3,5,7,11,13,17,19,23,29,31,37,41,43}, 0)))), 0)</f>
        <v>3</v>
      </c>
      <c r="DA91" s="3" cm="1">
        <f t="array" ref="DA91">IFERROR(COUNT(_xlfn._xlws.FILTER(CH91:CL91, ISNUMBER(MATCH(CH91:CL91, {1,4,8,10,14,16,20,22,25,26,28,32,34,35,38,40,44}, 0)))), 0)</f>
        <v>1</v>
      </c>
      <c r="DB91" s="3" cm="1">
        <f t="array" ref="DB91">IFERROR(COUNT(_xlfn._xlws.FILTER(CH91:CL91, ISNUMBER(MATCH(CH91:CL91, {6,9,12,15,18,21,24,27,30,33,36,39,42,45}, 0)))), 0)</f>
        <v>1</v>
      </c>
      <c r="DC91" s="29"/>
      <c r="DD91" s="28" t="e">
        <f>#REF!</f>
        <v>#REF!</v>
      </c>
      <c r="DE91" s="28" t="e">
        <f>#REF!*2</f>
        <v>#REF!</v>
      </c>
      <c r="DF91" s="28" t="e">
        <f>#REF!</f>
        <v>#REF!</v>
      </c>
      <c r="DG91" s="28" t="e">
        <f>#REF!*2</f>
        <v>#REF!</v>
      </c>
      <c r="DH91" s="28" t="e">
        <f>#REF!</f>
        <v>#REF!</v>
      </c>
      <c r="DI91" s="28" t="e">
        <f>#REF!*2</f>
        <v>#REF!</v>
      </c>
      <c r="DJ91" s="28" t="e">
        <f>#REF!</f>
        <v>#REF!</v>
      </c>
      <c r="DK91" s="28" t="e">
        <f>#REF!*2</f>
        <v>#REF!</v>
      </c>
      <c r="DL91" s="28" t="e">
        <f>#REF!</f>
        <v>#REF!</v>
      </c>
      <c r="DM91" s="28" t="e">
        <f>#REF!*2</f>
        <v>#REF!</v>
      </c>
      <c r="DN91" s="27"/>
      <c r="DO91" s="26" t="str" cm="1">
        <f t="array" ref="DO91">_xlfn.IFS(
   OR(CH91="",ISBLANK(CH91),CH91=0),0,
   ISNUMBER(MATCH(CH91,{2,3,5,7,11,13,17,19,23,29,31,37,41,43},0)),"소",
   AND(ISNUMBER(CH91),MOD(CH91,3)=0),"배",
   AND(ISNUMBER(CH91),CH91&gt;0),"자"
)</f>
        <v>소</v>
      </c>
      <c r="DP91" s="26" t="str" cm="1">
        <f t="array" ref="DP91">_xlfn.IFS(
   OR(CI91="",ISBLANK(CI91),CI91=0),0,
   ISNUMBER(MATCH(CI91,{2,3,5,7,11,13,17,19,23,29,31,37,41,43},0)),"소",
   AND(ISNUMBER(CI91),MOD(CI91,3)=0),"배",
   AND(ISNUMBER(CI91),CI91&gt;0),"자"
)</f>
        <v>배</v>
      </c>
      <c r="DQ91" s="26" t="str" cm="1">
        <f t="array" ref="DQ91">_xlfn.IFS(
   OR(CJ91="",ISBLANK(CJ91),CJ91=0),0,
   ISNUMBER(MATCH(CJ91,{2,3,5,7,11,13,17,19,23,29,31,37,41,43},0)),"소",
   AND(ISNUMBER(CJ91),MOD(CJ91,3)=0),"배",
   AND(ISNUMBER(CJ91),CJ91&gt;0),"자"
)</f>
        <v>자</v>
      </c>
      <c r="DR91" s="26" t="str" cm="1">
        <f t="array" ref="DR91">_xlfn.IFS(
   OR(CK91="",ISBLANK(CK91),CK91=0),0,
   ISNUMBER(MATCH(CK91,{2,3,5,7,11,13,17,19,23,29,31,37,41,43},0)),"소",
   AND(ISNUMBER(CK91),MOD(CK91,3)=0),"배",
   AND(ISNUMBER(CK91),CK91&gt;0),"자"
)</f>
        <v>소</v>
      </c>
      <c r="DS91" s="26" t="str" cm="1">
        <f t="array" ref="DS91">_xlfn.IFS(
   OR(CL91="",ISBLANK(CL91),CL91=0),0,
   ISNUMBER(MATCH(CL91,{2,3,5,7,11,13,17,19,23,29,31,37,41,43},0)),"소",
   AND(ISNUMBER(CL91),MOD(CL91,3)=0),"배",
   AND(ISNUMBER(CL91),CL91&gt;0),"자"
)</f>
        <v>소</v>
      </c>
      <c r="DT91" s="25"/>
    </row>
    <row r="92" spans="1:124" x14ac:dyDescent="0.3">
      <c r="B92" s="3">
        <v>1</v>
      </c>
      <c r="C92" s="3">
        <v>5</v>
      </c>
      <c r="D92" s="3">
        <v>18</v>
      </c>
      <c r="E92" s="3">
        <v>20</v>
      </c>
      <c r="F92" s="3">
        <v>30</v>
      </c>
      <c r="G92" s="3">
        <v>35</v>
      </c>
      <c r="H92" s="32"/>
      <c r="I92" s="3">
        <f t="shared" si="40"/>
        <v>1</v>
      </c>
      <c r="J92" s="3">
        <f t="shared" si="41"/>
        <v>1</v>
      </c>
      <c r="K92" s="3">
        <f t="shared" si="42"/>
        <v>2</v>
      </c>
      <c r="L92" s="3">
        <f t="shared" si="43"/>
        <v>2</v>
      </c>
      <c r="M92" s="3">
        <f t="shared" si="44"/>
        <v>2</v>
      </c>
      <c r="N92" s="3">
        <f t="shared" si="45"/>
        <v>1</v>
      </c>
      <c r="O92" s="32"/>
      <c r="P92" s="3" cm="1">
        <f t="array" ref="P92">SUMPRODUCT(--(MOD(B92:G92,2)=1))</f>
        <v>3</v>
      </c>
      <c r="Q92" s="3">
        <f t="shared" si="46"/>
        <v>3</v>
      </c>
      <c r="R92" s="34"/>
      <c r="S92" s="3">
        <f t="shared" si="47"/>
        <v>4</v>
      </c>
      <c r="T92" s="3">
        <f t="shared" si="48"/>
        <v>2</v>
      </c>
      <c r="U92" s="34"/>
      <c r="V92" s="3" cm="1">
        <f t="array" ref="V92">SUMPRODUCT(--(MOD(B92:G92,10)&gt;=1), --(MOD(B92:G92,10)&lt;=5))</f>
        <v>3</v>
      </c>
      <c r="W92" s="3">
        <f t="shared" si="49"/>
        <v>3</v>
      </c>
      <c r="X92" s="34"/>
      <c r="Y92" s="3" cm="1">
        <f t="array" ref="Y92">IFERROR(COUNT(_xlfn._xlws.FILTER(B92:G92, ISNUMBER(MATCH(B92:G92, {2,3,5,7,11,13,17,19,23,29,31,37,41,43}, 0)))), 0)</f>
        <v>1</v>
      </c>
      <c r="Z92" s="3" cm="1">
        <f t="array" ref="Z92">IFERROR(COUNT(_xlfn._xlws.FILTER(B92:G92, ISNUMBER(MATCH(B92:G92, {1,4,8,10,14,16,20,22,25,26,28,32,34,35,38,40,44}, 0)))), 0)</f>
        <v>3</v>
      </c>
      <c r="AA92" s="3" cm="1">
        <f t="array" ref="AA92">IFERROR(COUNT(_xlfn._xlws.FILTER(B92:G92, ISNUMBER(MATCH(B92:G92, {6,9,12,15,18,21,24,27,30,33,36,39,42,45}, 0)))), 0)</f>
        <v>2</v>
      </c>
      <c r="AB92" s="30"/>
      <c r="AC92" s="26" t="str" cm="1">
        <f t="array" ref="AC92">_xlfn.IFS(
   OR(B92="",ISBLANK(B92),B92=0),0,
   ISNUMBER(MATCH(B92,{2,3,5,7,11,13,17,19,23,29,31,37,41,43},0)),"소",
   AND(ISNUMBER(B92),MOD(B92,3)=0),"배",
   AND(ISNUMBER(B92),B92&gt;0),"자"
)</f>
        <v>자</v>
      </c>
      <c r="AD92" s="26" t="str" cm="1">
        <f t="array" ref="AD92">_xlfn.IFS(
   OR(C92="",ISBLANK(C92),C92=0),0,
   ISNUMBER(MATCH(C92,{2,3,5,7,11,13,17,19,23,29,31,37,41,43},0)),"소",
   AND(ISNUMBER(C92),MOD(C92,3)=0),"배",
   AND(ISNUMBER(C92),C92&gt;0),"자"
)</f>
        <v>소</v>
      </c>
      <c r="AE92" s="26" t="str" cm="1">
        <f t="array" ref="AE92">_xlfn.IFS(
   OR(D92="",ISBLANK(D92),D92=0),0,
   ISNUMBER(MATCH(D92,{2,3,5,7,11,13,17,19,23,29,31,37,41,43},0)),"소",
   AND(ISNUMBER(D92),MOD(D92,3)=0),"배",
   AND(ISNUMBER(D92),D92&gt;0),"자"
)</f>
        <v>배</v>
      </c>
      <c r="AF92" s="26" t="str" cm="1">
        <f t="array" ref="AF92">_xlfn.IFS(
   OR(E92="",ISBLANK(E92),E92=0),0,
   ISNUMBER(MATCH(E92,{2,3,5,7,11,13,17,19,23,29,31,37,41,43},0)),"소",
   AND(ISNUMBER(E92),MOD(E92,3)=0),"배",
   AND(ISNUMBER(E92),E92&gt;0),"자"
)</f>
        <v>자</v>
      </c>
      <c r="AG92" s="26" t="str" cm="1">
        <f t="array" ref="AG92">_xlfn.IFS(
   OR(F92="",ISBLANK(F92),F92=0),0,
   ISNUMBER(MATCH(F92,{2,3,5,7,11,13,17,19,23,29,31,37,41,43},0)),"소",
   AND(ISNUMBER(F92),MOD(F92,3)=0),"배",
   AND(ISNUMBER(F92),F92&gt;0),"자"
)</f>
        <v>배</v>
      </c>
      <c r="AH92" s="26" t="str" cm="1">
        <f t="array" ref="AH92">_xlfn.IFS(
   OR(G92="",ISBLANK(G92),G92=0),0,
   ISNUMBER(MATCH(G92,{2,3,5,7,11,13,17,19,23,29,31,37,41,43},0)),"소",
   AND(ISNUMBER(G92),MOD(G92,3)=0),"배",
   AND(ISNUMBER(G92),G92&gt;0),"자"
)</f>
        <v>자</v>
      </c>
      <c r="AI92" s="30"/>
      <c r="AJ92" s="3">
        <f t="shared" si="50"/>
        <v>2</v>
      </c>
      <c r="AK92" s="3">
        <f t="shared" si="51"/>
        <v>3</v>
      </c>
      <c r="AL92" s="3">
        <f t="shared" si="52"/>
        <v>1</v>
      </c>
      <c r="AM92" s="33"/>
      <c r="AN92" s="3">
        <f t="shared" si="53"/>
        <v>2</v>
      </c>
      <c r="AO92" s="3">
        <f t="shared" si="54"/>
        <v>1</v>
      </c>
      <c r="AP92" s="3">
        <f t="shared" si="55"/>
        <v>1</v>
      </c>
      <c r="AQ92" s="3">
        <f t="shared" si="56"/>
        <v>2</v>
      </c>
      <c r="AR92" s="3">
        <f t="shared" si="57"/>
        <v>0</v>
      </c>
      <c r="AS92" s="28" t="e">
        <f>#REF!</f>
        <v>#REF!</v>
      </c>
      <c r="AT92" s="28" t="e">
        <f>#REF!*2</f>
        <v>#REF!</v>
      </c>
      <c r="AU92" s="28" t="e">
        <f>#REF!</f>
        <v>#REF!</v>
      </c>
      <c r="AV92" s="28" t="e">
        <f>#REF!*2</f>
        <v>#REF!</v>
      </c>
      <c r="AW92" s="28" t="e">
        <f>#REF!</f>
        <v>#REF!</v>
      </c>
      <c r="AX92" s="28" t="e">
        <f>#REF!*2</f>
        <v>#REF!</v>
      </c>
      <c r="AY92" s="28" t="e">
        <f>#REF!</f>
        <v>#REF!</v>
      </c>
      <c r="AZ92" s="28" t="e">
        <f>#REF!*2</f>
        <v>#REF!</v>
      </c>
      <c r="BA92" s="28" t="e">
        <f>#REF!</f>
        <v>#REF!</v>
      </c>
      <c r="BB92" s="28" t="e">
        <f>#REF!*2</f>
        <v>#REF!</v>
      </c>
      <c r="BC92" s="28" t="e">
        <f>#REF!</f>
        <v>#REF!</v>
      </c>
      <c r="BD92" s="28" t="e">
        <f>#REF!*2</f>
        <v>#REF!</v>
      </c>
      <c r="BE92" s="9" t="e">
        <f>#REF!-#REF!</f>
        <v>#REF!</v>
      </c>
      <c r="BF92" s="9" t="e">
        <f>#REF!-#REF!</f>
        <v>#REF!</v>
      </c>
      <c r="BG92" s="9" t="e">
        <f>#REF!-#REF!</f>
        <v>#REF!</v>
      </c>
      <c r="BH92" s="9" t="e">
        <f>#REF!-#REF!</f>
        <v>#REF!</v>
      </c>
      <c r="BI92" s="9" t="e">
        <f>#REF!-#REF!</f>
        <v>#REF!</v>
      </c>
      <c r="BJ92" s="33"/>
      <c r="BK92" s="3">
        <f t="shared" si="58"/>
        <v>2</v>
      </c>
      <c r="BL92" s="3">
        <f t="shared" si="59"/>
        <v>1</v>
      </c>
      <c r="BM92" s="3">
        <f t="shared" si="60"/>
        <v>1</v>
      </c>
      <c r="BN92" s="3">
        <f t="shared" si="61"/>
        <v>2</v>
      </c>
      <c r="BO92" s="3">
        <f t="shared" si="62"/>
        <v>0</v>
      </c>
      <c r="BP92" s="28" t="e">
        <f>#REF!</f>
        <v>#REF!</v>
      </c>
      <c r="BQ92" s="28" t="e">
        <f>#REF!*2</f>
        <v>#REF!</v>
      </c>
      <c r="BR92" s="28" t="e">
        <f>#REF!</f>
        <v>#REF!</v>
      </c>
      <c r="BS92" s="28" t="e">
        <f>#REF!*2</f>
        <v>#REF!</v>
      </c>
      <c r="BT92" s="28" t="e">
        <f>#REF!</f>
        <v>#REF!</v>
      </c>
      <c r="BU92" s="28" t="e">
        <f>#REF!*2</f>
        <v>#REF!</v>
      </c>
      <c r="BV92" s="28" t="e">
        <f>#REF!</f>
        <v>#REF!</v>
      </c>
      <c r="BW92" s="28" t="e">
        <f>#REF!*2</f>
        <v>#REF!</v>
      </c>
      <c r="BX92" s="28" t="e">
        <f>#REF!</f>
        <v>#REF!</v>
      </c>
      <c r="BY92" s="28" t="e">
        <f>#REF!*2</f>
        <v>#REF!</v>
      </c>
      <c r="BZ92" s="28" t="e">
        <f>#REF!</f>
        <v>#REF!</v>
      </c>
      <c r="CA92" s="28" t="e">
        <f>#REF!*2</f>
        <v>#REF!</v>
      </c>
      <c r="CB92" s="9">
        <f t="shared" si="63"/>
        <v>4</v>
      </c>
      <c r="CC92" s="9">
        <f t="shared" si="64"/>
        <v>13</v>
      </c>
      <c r="CD92" s="9">
        <f t="shared" si="65"/>
        <v>2</v>
      </c>
      <c r="CE92" s="9">
        <f t="shared" si="66"/>
        <v>10</v>
      </c>
      <c r="CF92" s="9">
        <f t="shared" si="67"/>
        <v>5</v>
      </c>
      <c r="CG92" s="33"/>
      <c r="CH92" s="9">
        <f t="shared" si="68"/>
        <v>4</v>
      </c>
      <c r="CI92" s="9">
        <f t="shared" si="69"/>
        <v>13</v>
      </c>
      <c r="CJ92" s="9">
        <f t="shared" si="70"/>
        <v>2</v>
      </c>
      <c r="CK92" s="9">
        <f t="shared" si="71"/>
        <v>10</v>
      </c>
      <c r="CL92" s="9">
        <f t="shared" si="72"/>
        <v>5</v>
      </c>
      <c r="CM92" s="32"/>
      <c r="CN92" s="3">
        <f t="shared" si="73"/>
        <v>2</v>
      </c>
      <c r="CO92" s="3">
        <f t="shared" si="74"/>
        <v>1</v>
      </c>
      <c r="CP92" s="3">
        <f t="shared" si="75"/>
        <v>2</v>
      </c>
      <c r="CQ92" s="3">
        <f t="shared" si="76"/>
        <v>2</v>
      </c>
      <c r="CR92" s="3">
        <f t="shared" si="77"/>
        <v>1</v>
      </c>
      <c r="CS92" s="31"/>
      <c r="CT92" s="3" cm="1">
        <f t="array" ref="CT92">SUMPRODUCT(--(MOD(CH92:CL92,2)=1))</f>
        <v>2</v>
      </c>
      <c r="CU92" s="3">
        <f t="shared" si="78"/>
        <v>3</v>
      </c>
      <c r="CV92" s="30"/>
      <c r="CW92" s="3" cm="1">
        <f t="array" ref="CW92">SUMPRODUCT(--(MOD(CH92:CL92,10)&gt;=1), --(MOD(CH92:CL92,10)&lt;=5))</f>
        <v>4</v>
      </c>
      <c r="CX92" s="3">
        <f t="shared" si="79"/>
        <v>1</v>
      </c>
      <c r="CY92" s="30"/>
      <c r="CZ92" s="3" cm="1">
        <f t="array" ref="CZ92">IFERROR(COUNT(_xlfn._xlws.FILTER(CH92:CL92, ISNUMBER(MATCH(CH92:CL92, {2,3,5,7,11,13,17,19,23,29,31,37,41,43}, 0)))), 0)</f>
        <v>3</v>
      </c>
      <c r="DA92" s="3" cm="1">
        <f t="array" ref="DA92">IFERROR(COUNT(_xlfn._xlws.FILTER(CH92:CL92, ISNUMBER(MATCH(CH92:CL92, {1,4,8,10,14,16,20,22,25,26,28,32,34,35,38,40,44}, 0)))), 0)</f>
        <v>2</v>
      </c>
      <c r="DB92" s="3" cm="1">
        <f t="array" ref="DB92">IFERROR(COUNT(_xlfn._xlws.FILTER(CH92:CL92, ISNUMBER(MATCH(CH92:CL92, {6,9,12,15,18,21,24,27,30,33,36,39,42,45}, 0)))), 0)</f>
        <v>0</v>
      </c>
      <c r="DC92" s="29"/>
      <c r="DD92" s="28" t="e">
        <f>#REF!</f>
        <v>#REF!</v>
      </c>
      <c r="DE92" s="28" t="e">
        <f>#REF!*2</f>
        <v>#REF!</v>
      </c>
      <c r="DF92" s="28" t="e">
        <f>#REF!</f>
        <v>#REF!</v>
      </c>
      <c r="DG92" s="28" t="e">
        <f>#REF!*2</f>
        <v>#REF!</v>
      </c>
      <c r="DH92" s="28" t="e">
        <f>#REF!</f>
        <v>#REF!</v>
      </c>
      <c r="DI92" s="28" t="e">
        <f>#REF!*2</f>
        <v>#REF!</v>
      </c>
      <c r="DJ92" s="28" t="e">
        <f>#REF!</f>
        <v>#REF!</v>
      </c>
      <c r="DK92" s="28" t="e">
        <f>#REF!*2</f>
        <v>#REF!</v>
      </c>
      <c r="DL92" s="28" t="e">
        <f>#REF!</f>
        <v>#REF!</v>
      </c>
      <c r="DM92" s="28" t="e">
        <f>#REF!*2</f>
        <v>#REF!</v>
      </c>
      <c r="DN92" s="27"/>
      <c r="DO92" s="26" t="str" cm="1">
        <f t="array" ref="DO92">_xlfn.IFS(
   OR(CH92="",ISBLANK(CH92),CH92=0),0,
   ISNUMBER(MATCH(CH92,{2,3,5,7,11,13,17,19,23,29,31,37,41,43},0)),"소",
   AND(ISNUMBER(CH92),MOD(CH92,3)=0),"배",
   AND(ISNUMBER(CH92),CH92&gt;0),"자"
)</f>
        <v>자</v>
      </c>
      <c r="DP92" s="26" t="str" cm="1">
        <f t="array" ref="DP92">_xlfn.IFS(
   OR(CI92="",ISBLANK(CI92),CI92=0),0,
   ISNUMBER(MATCH(CI92,{2,3,5,7,11,13,17,19,23,29,31,37,41,43},0)),"소",
   AND(ISNUMBER(CI92),MOD(CI92,3)=0),"배",
   AND(ISNUMBER(CI92),CI92&gt;0),"자"
)</f>
        <v>소</v>
      </c>
      <c r="DQ92" s="26" t="str" cm="1">
        <f t="array" ref="DQ92">_xlfn.IFS(
   OR(CJ92="",ISBLANK(CJ92),CJ92=0),0,
   ISNUMBER(MATCH(CJ92,{2,3,5,7,11,13,17,19,23,29,31,37,41,43},0)),"소",
   AND(ISNUMBER(CJ92),MOD(CJ92,3)=0),"배",
   AND(ISNUMBER(CJ92),CJ92&gt;0),"자"
)</f>
        <v>소</v>
      </c>
      <c r="DR92" s="26" t="str" cm="1">
        <f t="array" ref="DR92">_xlfn.IFS(
   OR(CK92="",ISBLANK(CK92),CK92=0),0,
   ISNUMBER(MATCH(CK92,{2,3,5,7,11,13,17,19,23,29,31,37,41,43},0)),"소",
   AND(ISNUMBER(CK92),MOD(CK92,3)=0),"배",
   AND(ISNUMBER(CK92),CK92&gt;0),"자"
)</f>
        <v>자</v>
      </c>
      <c r="DS92" s="26" t="str" cm="1">
        <f t="array" ref="DS92">_xlfn.IFS(
   OR(CL92="",ISBLANK(CL92),CL92=0),0,
   ISNUMBER(MATCH(CL92,{2,3,5,7,11,13,17,19,23,29,31,37,41,43},0)),"소",
   AND(ISNUMBER(CL92),MOD(CL92,3)=0),"배",
   AND(ISNUMBER(CL92),CL92&gt;0),"자"
)</f>
        <v>소</v>
      </c>
      <c r="DT92" s="25"/>
    </row>
    <row r="93" spans="1:124" ht="14.25" thickBot="1" x14ac:dyDescent="0.35">
      <c r="B93" s="3">
        <v>8</v>
      </c>
      <c r="C93" s="3">
        <v>11</v>
      </c>
      <c r="D93" s="3">
        <v>14</v>
      </c>
      <c r="E93" s="3">
        <v>17</v>
      </c>
      <c r="F93" s="3">
        <v>36</v>
      </c>
      <c r="G93" s="3">
        <v>39</v>
      </c>
      <c r="H93" s="32"/>
      <c r="I93" s="3">
        <f t="shared" si="40"/>
        <v>2</v>
      </c>
      <c r="J93" s="3">
        <f t="shared" si="41"/>
        <v>1</v>
      </c>
      <c r="K93" s="3">
        <f t="shared" si="42"/>
        <v>2</v>
      </c>
      <c r="L93" s="3">
        <f t="shared" si="43"/>
        <v>1</v>
      </c>
      <c r="M93" s="3">
        <f t="shared" si="44"/>
        <v>2</v>
      </c>
      <c r="N93" s="3">
        <f t="shared" si="45"/>
        <v>1</v>
      </c>
      <c r="O93" s="32"/>
      <c r="P93" s="3" cm="1">
        <f t="array" ref="P93">SUMPRODUCT(--(MOD(B93:G93,2)=1))</f>
        <v>3</v>
      </c>
      <c r="Q93" s="3">
        <f t="shared" si="46"/>
        <v>3</v>
      </c>
      <c r="R93" s="34"/>
      <c r="S93" s="3">
        <f t="shared" si="47"/>
        <v>4</v>
      </c>
      <c r="T93" s="3">
        <f t="shared" si="48"/>
        <v>2</v>
      </c>
      <c r="U93" s="34"/>
      <c r="V93" s="3" cm="1">
        <f t="array" ref="V93">SUMPRODUCT(--(MOD(B93:G93,10)&gt;=1), --(MOD(B93:G93,10)&lt;=5))</f>
        <v>2</v>
      </c>
      <c r="W93" s="3">
        <f t="shared" si="49"/>
        <v>4</v>
      </c>
      <c r="X93" s="34"/>
      <c r="Y93" s="3" cm="1">
        <f t="array" ref="Y93">IFERROR(COUNT(_xlfn._xlws.FILTER(B93:G93, ISNUMBER(MATCH(B93:G93, {2,3,5,7,11,13,17,19,23,29,31,37,41,43}, 0)))), 0)</f>
        <v>2</v>
      </c>
      <c r="Z93" s="3" cm="1">
        <f t="array" ref="Z93">IFERROR(COUNT(_xlfn._xlws.FILTER(B93:G93, ISNUMBER(MATCH(B93:G93, {1,4,8,10,14,16,20,22,25,26,28,32,34,35,38,40,44}, 0)))), 0)</f>
        <v>2</v>
      </c>
      <c r="AA93" s="3" cm="1">
        <f t="array" ref="AA93">IFERROR(COUNT(_xlfn._xlws.FILTER(B93:G93, ISNUMBER(MATCH(B93:G93, {6,9,12,15,18,21,24,27,30,33,36,39,42,45}, 0)))), 0)</f>
        <v>2</v>
      </c>
      <c r="AB93" s="30"/>
      <c r="AC93" s="26" t="str" cm="1">
        <f t="array" ref="AC93">_xlfn.IFS(
   OR(B93="",ISBLANK(B93),B93=0),0,
   ISNUMBER(MATCH(B93,{2,3,5,7,11,13,17,19,23,29,31,37,41,43},0)),"소",
   AND(ISNUMBER(B93),MOD(B93,3)=0),"배",
   AND(ISNUMBER(B93),B93&gt;0),"자"
)</f>
        <v>자</v>
      </c>
      <c r="AD93" s="26" t="str" cm="1">
        <f t="array" ref="AD93">_xlfn.IFS(
   OR(C93="",ISBLANK(C93),C93=0),0,
   ISNUMBER(MATCH(C93,{2,3,5,7,11,13,17,19,23,29,31,37,41,43},0)),"소",
   AND(ISNUMBER(C93),MOD(C93,3)=0),"배",
   AND(ISNUMBER(C93),C93&gt;0),"자"
)</f>
        <v>소</v>
      </c>
      <c r="AE93" s="26" t="str" cm="1">
        <f t="array" ref="AE93">_xlfn.IFS(
   OR(D93="",ISBLANK(D93),D93=0),0,
   ISNUMBER(MATCH(D93,{2,3,5,7,11,13,17,19,23,29,31,37,41,43},0)),"소",
   AND(ISNUMBER(D93),MOD(D93,3)=0),"배",
   AND(ISNUMBER(D93),D93&gt;0),"자"
)</f>
        <v>자</v>
      </c>
      <c r="AF93" s="26" t="str" cm="1">
        <f t="array" ref="AF93">_xlfn.IFS(
   OR(E93="",ISBLANK(E93),E93=0),0,
   ISNUMBER(MATCH(E93,{2,3,5,7,11,13,17,19,23,29,31,37,41,43},0)),"소",
   AND(ISNUMBER(E93),MOD(E93,3)=0),"배",
   AND(ISNUMBER(E93),E93&gt;0),"자"
)</f>
        <v>소</v>
      </c>
      <c r="AG93" s="26" t="str" cm="1">
        <f t="array" ref="AG93">_xlfn.IFS(
   OR(F93="",ISBLANK(F93),F93=0),0,
   ISNUMBER(MATCH(F93,{2,3,5,7,11,13,17,19,23,29,31,37,41,43},0)),"소",
   AND(ISNUMBER(F93),MOD(F93,3)=0),"배",
   AND(ISNUMBER(F93),F93&gt;0),"자"
)</f>
        <v>배</v>
      </c>
      <c r="AH93" s="26" t="str" cm="1">
        <f t="array" ref="AH93">_xlfn.IFS(
   OR(G93="",ISBLANK(G93),G93=0),0,
   ISNUMBER(MATCH(G93,{2,3,5,7,11,13,17,19,23,29,31,37,41,43},0)),"소",
   AND(ISNUMBER(G93),MOD(G93,3)=0),"배",
   AND(ISNUMBER(G93),G93&gt;0),"자"
)</f>
        <v>배</v>
      </c>
      <c r="AI93" s="30"/>
      <c r="AJ93" s="3">
        <f t="shared" si="50"/>
        <v>3</v>
      </c>
      <c r="AK93" s="3">
        <f t="shared" si="51"/>
        <v>1</v>
      </c>
      <c r="AL93" s="3">
        <f t="shared" si="52"/>
        <v>2</v>
      </c>
      <c r="AM93" s="33"/>
      <c r="AN93" s="3">
        <f t="shared" si="53"/>
        <v>1</v>
      </c>
      <c r="AO93" s="3">
        <f t="shared" si="54"/>
        <v>3</v>
      </c>
      <c r="AP93" s="3">
        <f t="shared" si="55"/>
        <v>0</v>
      </c>
      <c r="AQ93" s="3">
        <f t="shared" si="56"/>
        <v>1</v>
      </c>
      <c r="AR93" s="3">
        <f t="shared" si="57"/>
        <v>1</v>
      </c>
      <c r="AS93" s="28" t="e">
        <f>#REF!</f>
        <v>#REF!</v>
      </c>
      <c r="AT93" s="28" t="e">
        <f>#REF!*2</f>
        <v>#REF!</v>
      </c>
      <c r="AU93" s="28" t="e">
        <f>#REF!</f>
        <v>#REF!</v>
      </c>
      <c r="AV93" s="28" t="e">
        <f>#REF!*2</f>
        <v>#REF!</v>
      </c>
      <c r="AW93" s="28" t="e">
        <f>#REF!</f>
        <v>#REF!</v>
      </c>
      <c r="AX93" s="28" t="e">
        <f>#REF!*2</f>
        <v>#REF!</v>
      </c>
      <c r="AY93" s="28" t="e">
        <f>#REF!</f>
        <v>#REF!</v>
      </c>
      <c r="AZ93" s="28" t="e">
        <f>#REF!*2</f>
        <v>#REF!</v>
      </c>
      <c r="BA93" s="28" t="e">
        <f>#REF!</f>
        <v>#REF!</v>
      </c>
      <c r="BB93" s="28" t="e">
        <f>#REF!*2</f>
        <v>#REF!</v>
      </c>
      <c r="BC93" s="28" t="e">
        <f>#REF!</f>
        <v>#REF!</v>
      </c>
      <c r="BD93" s="28" t="e">
        <f>#REF!*2</f>
        <v>#REF!</v>
      </c>
      <c r="BE93" s="9" t="e">
        <f>#REF!-#REF!</f>
        <v>#REF!</v>
      </c>
      <c r="BF93" s="9" t="e">
        <f>#REF!-#REF!</f>
        <v>#REF!</v>
      </c>
      <c r="BG93" s="9" t="e">
        <f>#REF!-#REF!</f>
        <v>#REF!</v>
      </c>
      <c r="BH93" s="9" t="e">
        <f>#REF!-#REF!</f>
        <v>#REF!</v>
      </c>
      <c r="BI93" s="9" t="e">
        <f>#REF!-#REF!</f>
        <v>#REF!</v>
      </c>
      <c r="BJ93" s="33"/>
      <c r="BK93" s="3">
        <f t="shared" si="58"/>
        <v>1</v>
      </c>
      <c r="BL93" s="3">
        <f t="shared" si="59"/>
        <v>3</v>
      </c>
      <c r="BM93" s="3">
        <f t="shared" si="60"/>
        <v>0</v>
      </c>
      <c r="BN93" s="3">
        <f t="shared" si="61"/>
        <v>2</v>
      </c>
      <c r="BO93" s="3">
        <f t="shared" si="62"/>
        <v>0</v>
      </c>
      <c r="BP93" s="28" t="e">
        <f>#REF!</f>
        <v>#REF!</v>
      </c>
      <c r="BQ93" s="28" t="e">
        <f>#REF!*2</f>
        <v>#REF!</v>
      </c>
      <c r="BR93" s="28" t="e">
        <f>#REF!</f>
        <v>#REF!</v>
      </c>
      <c r="BS93" s="28" t="e">
        <f>#REF!*2</f>
        <v>#REF!</v>
      </c>
      <c r="BT93" s="28" t="e">
        <f>#REF!</f>
        <v>#REF!</v>
      </c>
      <c r="BU93" s="28" t="e">
        <f>#REF!*2</f>
        <v>#REF!</v>
      </c>
      <c r="BV93" s="28" t="e">
        <f>#REF!</f>
        <v>#REF!</v>
      </c>
      <c r="BW93" s="28" t="e">
        <f>#REF!*2</f>
        <v>#REF!</v>
      </c>
      <c r="BX93" s="28" t="e">
        <f>#REF!</f>
        <v>#REF!</v>
      </c>
      <c r="BY93" s="28" t="e">
        <f>#REF!*2</f>
        <v>#REF!</v>
      </c>
      <c r="BZ93" s="28" t="e">
        <f>#REF!</f>
        <v>#REF!</v>
      </c>
      <c r="CA93" s="28" t="e">
        <f>#REF!*2</f>
        <v>#REF!</v>
      </c>
      <c r="CB93" s="9">
        <f t="shared" si="63"/>
        <v>3</v>
      </c>
      <c r="CC93" s="9">
        <f t="shared" si="64"/>
        <v>3</v>
      </c>
      <c r="CD93" s="9">
        <f t="shared" si="65"/>
        <v>3</v>
      </c>
      <c r="CE93" s="9">
        <f t="shared" si="66"/>
        <v>19</v>
      </c>
      <c r="CF93" s="9">
        <f t="shared" si="67"/>
        <v>3</v>
      </c>
      <c r="CG93" s="33"/>
      <c r="CH93" s="9">
        <f t="shared" si="68"/>
        <v>3</v>
      </c>
      <c r="CI93" s="9">
        <f t="shared" si="69"/>
        <v>3</v>
      </c>
      <c r="CJ93" s="9">
        <f t="shared" si="70"/>
        <v>3</v>
      </c>
      <c r="CK93" s="9">
        <f t="shared" si="71"/>
        <v>19</v>
      </c>
      <c r="CL93" s="9">
        <f t="shared" si="72"/>
        <v>3</v>
      </c>
      <c r="CM93" s="32"/>
      <c r="CN93" s="3">
        <f t="shared" si="73"/>
        <v>1</v>
      </c>
      <c r="CO93" s="3">
        <f t="shared" si="74"/>
        <v>1</v>
      </c>
      <c r="CP93" s="3">
        <f t="shared" si="75"/>
        <v>1</v>
      </c>
      <c r="CQ93" s="3">
        <f t="shared" si="76"/>
        <v>1</v>
      </c>
      <c r="CR93" s="3">
        <f t="shared" si="77"/>
        <v>1</v>
      </c>
      <c r="CS93" s="31"/>
      <c r="CT93" s="3" cm="1">
        <f t="array" ref="CT93">SUMPRODUCT(--(MOD(CH93:CL93,2)=1))</f>
        <v>5</v>
      </c>
      <c r="CU93" s="3">
        <f t="shared" si="78"/>
        <v>0</v>
      </c>
      <c r="CV93" s="30"/>
      <c r="CW93" s="3" cm="1">
        <f t="array" ref="CW93">SUMPRODUCT(--(MOD(CH93:CL93,10)&gt;=1), --(MOD(CH93:CL93,10)&lt;=5))</f>
        <v>4</v>
      </c>
      <c r="CX93" s="3">
        <f t="shared" si="79"/>
        <v>1</v>
      </c>
      <c r="CY93" s="30"/>
      <c r="CZ93" s="3" cm="1">
        <f t="array" ref="CZ93">IFERROR(COUNT(_xlfn._xlws.FILTER(CH93:CL93, ISNUMBER(MATCH(CH93:CL93, {2,3,5,7,11,13,17,19,23,29,31,37,41,43}, 0)))), 0)</f>
        <v>5</v>
      </c>
      <c r="DA93" s="3" cm="1">
        <f t="array" ref="DA93">IFERROR(COUNT(_xlfn._xlws.FILTER(CH93:CL93, ISNUMBER(MATCH(CH93:CL93, {1,4,8,10,14,16,20,22,25,26,28,32,34,35,38,40,44}, 0)))), 0)</f>
        <v>0</v>
      </c>
      <c r="DB93" s="3" cm="1">
        <f t="array" ref="DB93">IFERROR(COUNT(_xlfn._xlws.FILTER(CH93:CL93, ISNUMBER(MATCH(CH93:CL93, {6,9,12,15,18,21,24,27,30,33,36,39,42,45}, 0)))), 0)</f>
        <v>0</v>
      </c>
      <c r="DC93" s="29"/>
      <c r="DD93" s="28" t="e">
        <f>#REF!</f>
        <v>#REF!</v>
      </c>
      <c r="DE93" s="28" t="e">
        <f>#REF!*2</f>
        <v>#REF!</v>
      </c>
      <c r="DF93" s="28" t="e">
        <f>#REF!</f>
        <v>#REF!</v>
      </c>
      <c r="DG93" s="28" t="e">
        <f>#REF!*2</f>
        <v>#REF!</v>
      </c>
      <c r="DH93" s="28" t="e">
        <f>#REF!</f>
        <v>#REF!</v>
      </c>
      <c r="DI93" s="28" t="e">
        <f>#REF!*2</f>
        <v>#REF!</v>
      </c>
      <c r="DJ93" s="28" t="e">
        <f>#REF!</f>
        <v>#REF!</v>
      </c>
      <c r="DK93" s="28" t="e">
        <f>#REF!*2</f>
        <v>#REF!</v>
      </c>
      <c r="DL93" s="28" t="e">
        <f>#REF!</f>
        <v>#REF!</v>
      </c>
      <c r="DM93" s="28" t="e">
        <f>#REF!*2</f>
        <v>#REF!</v>
      </c>
      <c r="DN93" s="27"/>
      <c r="DO93" s="26" t="str" cm="1">
        <f t="array" ref="DO93">_xlfn.IFS(
   OR(CH93="",ISBLANK(CH93),CH93=0),0,
   ISNUMBER(MATCH(CH93,{2,3,5,7,11,13,17,19,23,29,31,37,41,43},0)),"소",
   AND(ISNUMBER(CH93),MOD(CH93,3)=0),"배",
   AND(ISNUMBER(CH93),CH93&gt;0),"자"
)</f>
        <v>소</v>
      </c>
      <c r="DP93" s="26" t="str" cm="1">
        <f t="array" ref="DP93">_xlfn.IFS(
   OR(CI93="",ISBLANK(CI93),CI93=0),0,
   ISNUMBER(MATCH(CI93,{2,3,5,7,11,13,17,19,23,29,31,37,41,43},0)),"소",
   AND(ISNUMBER(CI93),MOD(CI93,3)=0),"배",
   AND(ISNUMBER(CI93),CI93&gt;0),"자"
)</f>
        <v>소</v>
      </c>
      <c r="DQ93" s="26" t="str" cm="1">
        <f t="array" ref="DQ93">_xlfn.IFS(
   OR(CJ93="",ISBLANK(CJ93),CJ93=0),0,
   ISNUMBER(MATCH(CJ93,{2,3,5,7,11,13,17,19,23,29,31,37,41,43},0)),"소",
   AND(ISNUMBER(CJ93),MOD(CJ93,3)=0),"배",
   AND(ISNUMBER(CJ93),CJ93&gt;0),"자"
)</f>
        <v>소</v>
      </c>
      <c r="DR93" s="26" t="str" cm="1">
        <f t="array" ref="DR93">_xlfn.IFS(
   OR(CK93="",ISBLANK(CK93),CK93=0),0,
   ISNUMBER(MATCH(CK93,{2,3,5,7,11,13,17,19,23,29,31,37,41,43},0)),"소",
   AND(ISNUMBER(CK93),MOD(CK93,3)=0),"배",
   AND(ISNUMBER(CK93),CK93&gt;0),"자"
)</f>
        <v>소</v>
      </c>
      <c r="DS93" s="26" t="str" cm="1">
        <f t="array" ref="DS93">_xlfn.IFS(
   OR(CL93="",ISBLANK(CL93),CL93=0),0,
   ISNUMBER(MATCH(CL93,{2,3,5,7,11,13,17,19,23,29,31,37,41,43},0)),"소",
   AND(ISNUMBER(CL93),MOD(CL93,3)=0),"배",
   AND(ISNUMBER(CL93),CL93&gt;0),"자"
)</f>
        <v>소</v>
      </c>
      <c r="DT93" s="25"/>
    </row>
    <row r="94" spans="1:124" ht="14.25" thickBot="1" x14ac:dyDescent="0.35">
      <c r="A94" s="49"/>
      <c r="B94" s="17">
        <v>3</v>
      </c>
      <c r="C94" s="18">
        <v>4</v>
      </c>
      <c r="D94" s="18">
        <v>6</v>
      </c>
      <c r="E94" s="15">
        <v>8</v>
      </c>
      <c r="F94" s="3">
        <v>32</v>
      </c>
      <c r="G94" s="3">
        <v>42</v>
      </c>
      <c r="H94" s="32"/>
      <c r="I94" s="3">
        <f t="shared" si="40"/>
        <v>1</v>
      </c>
      <c r="J94" s="3">
        <f t="shared" si="41"/>
        <v>2</v>
      </c>
      <c r="K94" s="3">
        <f t="shared" si="42"/>
        <v>2</v>
      </c>
      <c r="L94" s="3">
        <f t="shared" si="43"/>
        <v>2</v>
      </c>
      <c r="M94" s="3">
        <f t="shared" si="44"/>
        <v>2</v>
      </c>
      <c r="N94" s="3">
        <f t="shared" si="45"/>
        <v>2</v>
      </c>
      <c r="O94" s="32"/>
      <c r="P94" s="3" cm="1">
        <f t="array" ref="P94">SUMPRODUCT(--(MOD(B94:G94,2)=1))</f>
        <v>1</v>
      </c>
      <c r="Q94" s="3">
        <f t="shared" si="46"/>
        <v>5</v>
      </c>
      <c r="R94" s="34"/>
      <c r="S94" s="3">
        <f t="shared" si="47"/>
        <v>4</v>
      </c>
      <c r="T94" s="3">
        <f t="shared" si="48"/>
        <v>2</v>
      </c>
      <c r="U94" s="34"/>
      <c r="V94" s="3" cm="1">
        <f t="array" ref="V94">SUMPRODUCT(--(MOD(B94:G94,10)&gt;=1), --(MOD(B94:G94,10)&lt;=5))</f>
        <v>4</v>
      </c>
      <c r="W94" s="3">
        <f t="shared" si="49"/>
        <v>2</v>
      </c>
      <c r="X94" s="34"/>
      <c r="Y94" s="3" cm="1">
        <f t="array" ref="Y94">IFERROR(COUNT(_xlfn._xlws.FILTER(B94:G94, ISNUMBER(MATCH(B94:G94, {2,3,5,7,11,13,17,19,23,29,31,37,41,43}, 0)))), 0)</f>
        <v>1</v>
      </c>
      <c r="Z94" s="3" cm="1">
        <f t="array" ref="Z94">IFERROR(COUNT(_xlfn._xlws.FILTER(B94:G94, ISNUMBER(MATCH(B94:G94, {1,4,8,10,14,16,20,22,25,26,28,32,34,35,38,40,44}, 0)))), 0)</f>
        <v>3</v>
      </c>
      <c r="AA94" s="3" cm="1">
        <f t="array" ref="AA94">IFERROR(COUNT(_xlfn._xlws.FILTER(B94:G94, ISNUMBER(MATCH(B94:G94, {6,9,12,15,18,21,24,27,30,33,36,39,42,45}, 0)))), 0)</f>
        <v>2</v>
      </c>
      <c r="AB94" s="30"/>
      <c r="AC94" s="26" t="str" cm="1">
        <f t="array" ref="AC94">_xlfn.IFS(
   OR(B94="",ISBLANK(B94),B94=0),0,
   ISNUMBER(MATCH(B94,{2,3,5,7,11,13,17,19,23,29,31,37,41,43},0)),"소",
   AND(ISNUMBER(B94),MOD(B94,3)=0),"배",
   AND(ISNUMBER(B94),B94&gt;0),"자"
)</f>
        <v>소</v>
      </c>
      <c r="AD94" s="26" t="str" cm="1">
        <f t="array" ref="AD94">_xlfn.IFS(
   OR(C94="",ISBLANK(C94),C94=0),0,
   ISNUMBER(MATCH(C94,{2,3,5,7,11,13,17,19,23,29,31,37,41,43},0)),"소",
   AND(ISNUMBER(C94),MOD(C94,3)=0),"배",
   AND(ISNUMBER(C94),C94&gt;0),"자"
)</f>
        <v>자</v>
      </c>
      <c r="AE94" s="26" t="str" cm="1">
        <f t="array" ref="AE94">_xlfn.IFS(
   OR(D94="",ISBLANK(D94),D94=0),0,
   ISNUMBER(MATCH(D94,{2,3,5,7,11,13,17,19,23,29,31,37,41,43},0)),"소",
   AND(ISNUMBER(D94),MOD(D94,3)=0),"배",
   AND(ISNUMBER(D94),D94&gt;0),"자"
)</f>
        <v>배</v>
      </c>
      <c r="AF94" s="26" t="str" cm="1">
        <f t="array" ref="AF94">_xlfn.IFS(
   OR(E94="",ISBLANK(E94),E94=0),0,
   ISNUMBER(MATCH(E94,{2,3,5,7,11,13,17,19,23,29,31,37,41,43},0)),"소",
   AND(ISNUMBER(E94),MOD(E94,3)=0),"배",
   AND(ISNUMBER(E94),E94&gt;0),"자"
)</f>
        <v>자</v>
      </c>
      <c r="AG94" s="26" t="str" cm="1">
        <f t="array" ref="AG94">_xlfn.IFS(
   OR(F94="",ISBLANK(F94),F94=0),0,
   ISNUMBER(MATCH(F94,{2,3,5,7,11,13,17,19,23,29,31,37,41,43},0)),"소",
   AND(ISNUMBER(F94),MOD(F94,3)=0),"배",
   AND(ISNUMBER(F94),F94&gt;0),"자"
)</f>
        <v>자</v>
      </c>
      <c r="AH94" s="26" t="str" cm="1">
        <f t="array" ref="AH94">_xlfn.IFS(
   OR(G94="",ISBLANK(G94),G94=0),0,
   ISNUMBER(MATCH(G94,{2,3,5,7,11,13,17,19,23,29,31,37,41,43},0)),"소",
   AND(ISNUMBER(G94),MOD(G94,3)=0),"배",
   AND(ISNUMBER(G94),G94&gt;0),"자"
)</f>
        <v>배</v>
      </c>
      <c r="AI94" s="30"/>
      <c r="AJ94" s="3">
        <f t="shared" si="50"/>
        <v>4</v>
      </c>
      <c r="AK94" s="3">
        <f t="shared" si="51"/>
        <v>0</v>
      </c>
      <c r="AL94" s="3">
        <f t="shared" si="52"/>
        <v>2</v>
      </c>
      <c r="AM94" s="33"/>
      <c r="AN94" s="3">
        <f t="shared" si="53"/>
        <v>4</v>
      </c>
      <c r="AO94" s="3">
        <f t="shared" si="54"/>
        <v>0</v>
      </c>
      <c r="AP94" s="3">
        <f t="shared" si="55"/>
        <v>0</v>
      </c>
      <c r="AQ94" s="3">
        <f t="shared" si="56"/>
        <v>1</v>
      </c>
      <c r="AR94" s="3">
        <f t="shared" si="57"/>
        <v>1</v>
      </c>
      <c r="AS94" s="28" t="e">
        <f>#REF!</f>
        <v>#REF!</v>
      </c>
      <c r="AT94" s="28" t="e">
        <f>#REF!*2</f>
        <v>#REF!</v>
      </c>
      <c r="AU94" s="28" t="e">
        <f>#REF!</f>
        <v>#REF!</v>
      </c>
      <c r="AV94" s="28" t="e">
        <f>#REF!*2</f>
        <v>#REF!</v>
      </c>
      <c r="AW94" s="28" t="e">
        <f>#REF!</f>
        <v>#REF!</v>
      </c>
      <c r="AX94" s="28" t="e">
        <f>#REF!*2</f>
        <v>#REF!</v>
      </c>
      <c r="AY94" s="28" t="e">
        <f>#REF!</f>
        <v>#REF!</v>
      </c>
      <c r="AZ94" s="28" t="e">
        <f>#REF!*2</f>
        <v>#REF!</v>
      </c>
      <c r="BA94" s="28" t="e">
        <f>#REF!</f>
        <v>#REF!</v>
      </c>
      <c r="BB94" s="28" t="e">
        <f>#REF!*2</f>
        <v>#REF!</v>
      </c>
      <c r="BC94" s="28" t="e">
        <f>#REF!</f>
        <v>#REF!</v>
      </c>
      <c r="BD94" s="28" t="e">
        <f>#REF!*2</f>
        <v>#REF!</v>
      </c>
      <c r="BE94" s="9" t="e">
        <f>#REF!-#REF!</f>
        <v>#REF!</v>
      </c>
      <c r="BF94" s="9" t="e">
        <f>#REF!-#REF!</f>
        <v>#REF!</v>
      </c>
      <c r="BG94" s="9" t="e">
        <f>#REF!-#REF!</f>
        <v>#REF!</v>
      </c>
      <c r="BH94" s="9" t="e">
        <f>#REF!-#REF!</f>
        <v>#REF!</v>
      </c>
      <c r="BI94" s="9" t="e">
        <f>#REF!-#REF!</f>
        <v>#REF!</v>
      </c>
      <c r="BJ94" s="33"/>
      <c r="BK94" s="3">
        <f t="shared" si="58"/>
        <v>4</v>
      </c>
      <c r="BL94" s="3">
        <f t="shared" si="59"/>
        <v>0</v>
      </c>
      <c r="BM94" s="3">
        <f t="shared" si="60"/>
        <v>0</v>
      </c>
      <c r="BN94" s="3">
        <f t="shared" si="61"/>
        <v>1</v>
      </c>
      <c r="BO94" s="3">
        <f t="shared" si="62"/>
        <v>1</v>
      </c>
      <c r="BP94" s="28" t="e">
        <f>#REF!</f>
        <v>#REF!</v>
      </c>
      <c r="BQ94" s="28" t="e">
        <f>#REF!*2</f>
        <v>#REF!</v>
      </c>
      <c r="BR94" s="28" t="e">
        <f>#REF!</f>
        <v>#REF!</v>
      </c>
      <c r="BS94" s="28" t="e">
        <f>#REF!*2</f>
        <v>#REF!</v>
      </c>
      <c r="BT94" s="28" t="e">
        <f>#REF!</f>
        <v>#REF!</v>
      </c>
      <c r="BU94" s="28" t="e">
        <f>#REF!*2</f>
        <v>#REF!</v>
      </c>
      <c r="BV94" s="28" t="e">
        <f>#REF!</f>
        <v>#REF!</v>
      </c>
      <c r="BW94" s="28" t="e">
        <f>#REF!*2</f>
        <v>#REF!</v>
      </c>
      <c r="BX94" s="28" t="e">
        <f>#REF!</f>
        <v>#REF!</v>
      </c>
      <c r="BY94" s="28" t="e">
        <f>#REF!*2</f>
        <v>#REF!</v>
      </c>
      <c r="BZ94" s="28" t="e">
        <f>#REF!</f>
        <v>#REF!</v>
      </c>
      <c r="CA94" s="28" t="e">
        <f>#REF!*2</f>
        <v>#REF!</v>
      </c>
      <c r="CB94" s="9">
        <f t="shared" si="63"/>
        <v>1</v>
      </c>
      <c r="CC94" s="9">
        <f t="shared" si="64"/>
        <v>2</v>
      </c>
      <c r="CD94" s="9">
        <f t="shared" si="65"/>
        <v>2</v>
      </c>
      <c r="CE94" s="9">
        <f t="shared" si="66"/>
        <v>24</v>
      </c>
      <c r="CF94" s="9">
        <f t="shared" si="67"/>
        <v>10</v>
      </c>
      <c r="CG94" s="33"/>
      <c r="CH94" s="9">
        <f t="shared" si="68"/>
        <v>1</v>
      </c>
      <c r="CI94" s="9">
        <f t="shared" si="69"/>
        <v>2</v>
      </c>
      <c r="CJ94" s="9">
        <f t="shared" si="70"/>
        <v>2</v>
      </c>
      <c r="CK94" s="9">
        <f t="shared" si="71"/>
        <v>24</v>
      </c>
      <c r="CL94" s="9">
        <f t="shared" si="72"/>
        <v>10</v>
      </c>
      <c r="CM94" s="32"/>
      <c r="CN94" s="3">
        <f t="shared" si="73"/>
        <v>1</v>
      </c>
      <c r="CO94" s="3">
        <f t="shared" si="74"/>
        <v>2</v>
      </c>
      <c r="CP94" s="3">
        <f t="shared" si="75"/>
        <v>2</v>
      </c>
      <c r="CQ94" s="3">
        <f t="shared" si="76"/>
        <v>2</v>
      </c>
      <c r="CR94" s="3">
        <f t="shared" si="77"/>
        <v>2</v>
      </c>
      <c r="CS94" s="31"/>
      <c r="CT94" s="3" cm="1">
        <f t="array" ref="CT94">SUMPRODUCT(--(MOD(CH94:CL94,2)=1))</f>
        <v>1</v>
      </c>
      <c r="CU94" s="3">
        <f t="shared" si="78"/>
        <v>4</v>
      </c>
      <c r="CV94" s="30"/>
      <c r="CW94" s="3" cm="1">
        <f t="array" ref="CW94">SUMPRODUCT(--(MOD(CH94:CL94,10)&gt;=1), --(MOD(CH94:CL94,10)&lt;=5))</f>
        <v>4</v>
      </c>
      <c r="CX94" s="3">
        <f t="shared" si="79"/>
        <v>1</v>
      </c>
      <c r="CY94" s="30"/>
      <c r="CZ94" s="3" cm="1">
        <f t="array" ref="CZ94">IFERROR(COUNT(_xlfn._xlws.FILTER(CH94:CL94, ISNUMBER(MATCH(CH94:CL94, {2,3,5,7,11,13,17,19,23,29,31,37,41,43}, 0)))), 0)</f>
        <v>2</v>
      </c>
      <c r="DA94" s="3" cm="1">
        <f t="array" ref="DA94">IFERROR(COUNT(_xlfn._xlws.FILTER(CH94:CL94, ISNUMBER(MATCH(CH94:CL94, {1,4,8,10,14,16,20,22,25,26,28,32,34,35,38,40,44}, 0)))), 0)</f>
        <v>2</v>
      </c>
      <c r="DB94" s="3" cm="1">
        <f t="array" ref="DB94">IFERROR(COUNT(_xlfn._xlws.FILTER(CH94:CL94, ISNUMBER(MATCH(CH94:CL94, {6,9,12,15,18,21,24,27,30,33,36,39,42,45}, 0)))), 0)</f>
        <v>1</v>
      </c>
      <c r="DC94" s="29"/>
      <c r="DD94" s="28" t="e">
        <f>#REF!</f>
        <v>#REF!</v>
      </c>
      <c r="DE94" s="28" t="e">
        <f>#REF!*2</f>
        <v>#REF!</v>
      </c>
      <c r="DF94" s="28" t="e">
        <f>#REF!</f>
        <v>#REF!</v>
      </c>
      <c r="DG94" s="28" t="e">
        <f>#REF!*2</f>
        <v>#REF!</v>
      </c>
      <c r="DH94" s="28" t="e">
        <f>#REF!</f>
        <v>#REF!</v>
      </c>
      <c r="DI94" s="28" t="e">
        <f>#REF!*2</f>
        <v>#REF!</v>
      </c>
      <c r="DJ94" s="28" t="e">
        <f>#REF!</f>
        <v>#REF!</v>
      </c>
      <c r="DK94" s="28" t="e">
        <f>#REF!*2</f>
        <v>#REF!</v>
      </c>
      <c r="DL94" s="28" t="e">
        <f>#REF!</f>
        <v>#REF!</v>
      </c>
      <c r="DM94" s="28" t="e">
        <f>#REF!*2</f>
        <v>#REF!</v>
      </c>
      <c r="DN94" s="27"/>
      <c r="DO94" s="26" t="str" cm="1">
        <f t="array" ref="DO94">_xlfn.IFS(
   OR(CH94="",ISBLANK(CH94),CH94=0),0,
   ISNUMBER(MATCH(CH94,{2,3,5,7,11,13,17,19,23,29,31,37,41,43},0)),"소",
   AND(ISNUMBER(CH94),MOD(CH94,3)=0),"배",
   AND(ISNUMBER(CH94),CH94&gt;0),"자"
)</f>
        <v>자</v>
      </c>
      <c r="DP94" s="26" t="str" cm="1">
        <f t="array" ref="DP94">_xlfn.IFS(
   OR(CI94="",ISBLANK(CI94),CI94=0),0,
   ISNUMBER(MATCH(CI94,{2,3,5,7,11,13,17,19,23,29,31,37,41,43},0)),"소",
   AND(ISNUMBER(CI94),MOD(CI94,3)=0),"배",
   AND(ISNUMBER(CI94),CI94&gt;0),"자"
)</f>
        <v>소</v>
      </c>
      <c r="DQ94" s="26" t="str" cm="1">
        <f t="array" ref="DQ94">_xlfn.IFS(
   OR(CJ94="",ISBLANK(CJ94),CJ94=0),0,
   ISNUMBER(MATCH(CJ94,{2,3,5,7,11,13,17,19,23,29,31,37,41,43},0)),"소",
   AND(ISNUMBER(CJ94),MOD(CJ94,3)=0),"배",
   AND(ISNUMBER(CJ94),CJ94&gt;0),"자"
)</f>
        <v>소</v>
      </c>
      <c r="DR94" s="26" t="str" cm="1">
        <f t="array" ref="DR94">_xlfn.IFS(
   OR(CK94="",ISBLANK(CK94),CK94=0),0,
   ISNUMBER(MATCH(CK94,{2,3,5,7,11,13,17,19,23,29,31,37,41,43},0)),"소",
   AND(ISNUMBER(CK94),MOD(CK94,3)=0),"배",
   AND(ISNUMBER(CK94),CK94&gt;0),"자"
)</f>
        <v>배</v>
      </c>
      <c r="DS94" s="26" t="str" cm="1">
        <f t="array" ref="DS94">_xlfn.IFS(
   OR(CL94="",ISBLANK(CL94),CL94=0),0,
   ISNUMBER(MATCH(CL94,{2,3,5,7,11,13,17,19,23,29,31,37,41,43},0)),"소",
   AND(ISNUMBER(CL94),MOD(CL94,3)=0),"배",
   AND(ISNUMBER(CL94),CL94&gt;0),"자"
)</f>
        <v>자</v>
      </c>
      <c r="DT94" s="25"/>
    </row>
    <row r="95" spans="1:124" x14ac:dyDescent="0.3">
      <c r="B95" s="3">
        <v>7</v>
      </c>
      <c r="C95" s="3">
        <v>9</v>
      </c>
      <c r="D95" s="3">
        <v>11</v>
      </c>
      <c r="E95" s="3">
        <v>21</v>
      </c>
      <c r="F95" s="3">
        <v>30</v>
      </c>
      <c r="G95" s="3">
        <v>35</v>
      </c>
      <c r="H95" s="32"/>
      <c r="I95" s="3">
        <f t="shared" si="40"/>
        <v>1</v>
      </c>
      <c r="J95" s="3">
        <f t="shared" si="41"/>
        <v>1</v>
      </c>
      <c r="K95" s="3">
        <f t="shared" si="42"/>
        <v>1</v>
      </c>
      <c r="L95" s="3">
        <f t="shared" si="43"/>
        <v>1</v>
      </c>
      <c r="M95" s="3">
        <f t="shared" si="44"/>
        <v>2</v>
      </c>
      <c r="N95" s="3">
        <f t="shared" si="45"/>
        <v>1</v>
      </c>
      <c r="O95" s="32"/>
      <c r="P95" s="3" cm="1">
        <f t="array" ref="P95">SUMPRODUCT(--(MOD(B95:G95,2)=1))</f>
        <v>5</v>
      </c>
      <c r="Q95" s="3">
        <f t="shared" si="46"/>
        <v>1</v>
      </c>
      <c r="R95" s="34"/>
      <c r="S95" s="3">
        <f t="shared" si="47"/>
        <v>4</v>
      </c>
      <c r="T95" s="3">
        <f t="shared" si="48"/>
        <v>2</v>
      </c>
      <c r="U95" s="34"/>
      <c r="V95" s="3" cm="1">
        <f t="array" ref="V95">SUMPRODUCT(--(MOD(B95:G95,10)&gt;=1), --(MOD(B95:G95,10)&lt;=5))</f>
        <v>3</v>
      </c>
      <c r="W95" s="3">
        <f t="shared" si="49"/>
        <v>3</v>
      </c>
      <c r="X95" s="34"/>
      <c r="Y95" s="3" cm="1">
        <f t="array" ref="Y95">IFERROR(COUNT(_xlfn._xlws.FILTER(B95:G95, ISNUMBER(MATCH(B95:G95, {2,3,5,7,11,13,17,19,23,29,31,37,41,43}, 0)))), 0)</f>
        <v>2</v>
      </c>
      <c r="Z95" s="3" cm="1">
        <f t="array" ref="Z95">IFERROR(COUNT(_xlfn._xlws.FILTER(B95:G95, ISNUMBER(MATCH(B95:G95, {1,4,8,10,14,16,20,22,25,26,28,32,34,35,38,40,44}, 0)))), 0)</f>
        <v>1</v>
      </c>
      <c r="AA95" s="3" cm="1">
        <f t="array" ref="AA95">IFERROR(COUNT(_xlfn._xlws.FILTER(B95:G95, ISNUMBER(MATCH(B95:G95, {6,9,12,15,18,21,24,27,30,33,36,39,42,45}, 0)))), 0)</f>
        <v>3</v>
      </c>
      <c r="AB95" s="30"/>
      <c r="AC95" s="26" t="str" cm="1">
        <f t="array" ref="AC95">_xlfn.IFS(
   OR(B95="",ISBLANK(B95),B95=0),0,
   ISNUMBER(MATCH(B95,{2,3,5,7,11,13,17,19,23,29,31,37,41,43},0)),"소",
   AND(ISNUMBER(B95),MOD(B95,3)=0),"배",
   AND(ISNUMBER(B95),B95&gt;0),"자"
)</f>
        <v>소</v>
      </c>
      <c r="AD95" s="26" t="str" cm="1">
        <f t="array" ref="AD95">_xlfn.IFS(
   OR(C95="",ISBLANK(C95),C95=0),0,
   ISNUMBER(MATCH(C95,{2,3,5,7,11,13,17,19,23,29,31,37,41,43},0)),"소",
   AND(ISNUMBER(C95),MOD(C95,3)=0),"배",
   AND(ISNUMBER(C95),C95&gt;0),"자"
)</f>
        <v>배</v>
      </c>
      <c r="AE95" s="26" t="str" cm="1">
        <f t="array" ref="AE95">_xlfn.IFS(
   OR(D95="",ISBLANK(D95),D95=0),0,
   ISNUMBER(MATCH(D95,{2,3,5,7,11,13,17,19,23,29,31,37,41,43},0)),"소",
   AND(ISNUMBER(D95),MOD(D95,3)=0),"배",
   AND(ISNUMBER(D95),D95&gt;0),"자"
)</f>
        <v>소</v>
      </c>
      <c r="AF95" s="26" t="str" cm="1">
        <f t="array" ref="AF95">_xlfn.IFS(
   OR(E95="",ISBLANK(E95),E95=0),0,
   ISNUMBER(MATCH(E95,{2,3,5,7,11,13,17,19,23,29,31,37,41,43},0)),"소",
   AND(ISNUMBER(E95),MOD(E95,3)=0),"배",
   AND(ISNUMBER(E95),E95&gt;0),"자"
)</f>
        <v>배</v>
      </c>
      <c r="AG95" s="26" t="str" cm="1">
        <f t="array" ref="AG95">_xlfn.IFS(
   OR(F95="",ISBLANK(F95),F95=0),0,
   ISNUMBER(MATCH(F95,{2,3,5,7,11,13,17,19,23,29,31,37,41,43},0)),"소",
   AND(ISNUMBER(F95),MOD(F95,3)=0),"배",
   AND(ISNUMBER(F95),F95&gt;0),"자"
)</f>
        <v>배</v>
      </c>
      <c r="AH95" s="26" t="str" cm="1">
        <f t="array" ref="AH95">_xlfn.IFS(
   OR(G95="",ISBLANK(G95),G95=0),0,
   ISNUMBER(MATCH(G95,{2,3,5,7,11,13,17,19,23,29,31,37,41,43},0)),"소",
   AND(ISNUMBER(G95),MOD(G95,3)=0),"배",
   AND(ISNUMBER(G95),G95&gt;0),"자"
)</f>
        <v>자</v>
      </c>
      <c r="AI95" s="30"/>
      <c r="AJ95" s="3">
        <f t="shared" si="50"/>
        <v>3</v>
      </c>
      <c r="AK95" s="3">
        <f t="shared" si="51"/>
        <v>2</v>
      </c>
      <c r="AL95" s="3">
        <f t="shared" si="52"/>
        <v>1</v>
      </c>
      <c r="AM95" s="33"/>
      <c r="AN95" s="3">
        <f t="shared" si="53"/>
        <v>2</v>
      </c>
      <c r="AO95" s="3">
        <f t="shared" si="54"/>
        <v>1</v>
      </c>
      <c r="AP95" s="3">
        <f t="shared" si="55"/>
        <v>1</v>
      </c>
      <c r="AQ95" s="3">
        <f t="shared" si="56"/>
        <v>2</v>
      </c>
      <c r="AR95" s="3">
        <f t="shared" si="57"/>
        <v>0</v>
      </c>
      <c r="AS95" s="28" t="e">
        <f>#REF!</f>
        <v>#REF!</v>
      </c>
      <c r="AT95" s="28" t="e">
        <f>#REF!*2</f>
        <v>#REF!</v>
      </c>
      <c r="AU95" s="28" t="e">
        <f>#REF!</f>
        <v>#REF!</v>
      </c>
      <c r="AV95" s="28" t="e">
        <f>#REF!*2</f>
        <v>#REF!</v>
      </c>
      <c r="AW95" s="28" t="e">
        <f>#REF!</f>
        <v>#REF!</v>
      </c>
      <c r="AX95" s="28" t="e">
        <f>#REF!*2</f>
        <v>#REF!</v>
      </c>
      <c r="AY95" s="28" t="e">
        <f>#REF!</f>
        <v>#REF!</v>
      </c>
      <c r="AZ95" s="28" t="e">
        <f>#REF!*2</f>
        <v>#REF!</v>
      </c>
      <c r="BA95" s="28" t="e">
        <f>#REF!</f>
        <v>#REF!</v>
      </c>
      <c r="BB95" s="28" t="e">
        <f>#REF!*2</f>
        <v>#REF!</v>
      </c>
      <c r="BC95" s="28" t="e">
        <f>#REF!</f>
        <v>#REF!</v>
      </c>
      <c r="BD95" s="28" t="e">
        <f>#REF!*2</f>
        <v>#REF!</v>
      </c>
      <c r="BE95" s="9" t="e">
        <f>#REF!-#REF!</f>
        <v>#REF!</v>
      </c>
      <c r="BF95" s="9" t="e">
        <f>#REF!-#REF!</f>
        <v>#REF!</v>
      </c>
      <c r="BG95" s="9" t="e">
        <f>#REF!-#REF!</f>
        <v>#REF!</v>
      </c>
      <c r="BH95" s="9" t="e">
        <f>#REF!-#REF!</f>
        <v>#REF!</v>
      </c>
      <c r="BI95" s="9" t="e">
        <f>#REF!-#REF!</f>
        <v>#REF!</v>
      </c>
      <c r="BJ95" s="33"/>
      <c r="BK95" s="3">
        <f t="shared" si="58"/>
        <v>2</v>
      </c>
      <c r="BL95" s="3">
        <f t="shared" si="59"/>
        <v>1</v>
      </c>
      <c r="BM95" s="3">
        <f t="shared" si="60"/>
        <v>1</v>
      </c>
      <c r="BN95" s="3">
        <f t="shared" si="61"/>
        <v>2</v>
      </c>
      <c r="BO95" s="3">
        <f t="shared" si="62"/>
        <v>0</v>
      </c>
      <c r="BP95" s="28" t="e">
        <f>#REF!</f>
        <v>#REF!</v>
      </c>
      <c r="BQ95" s="28" t="e">
        <f>#REF!*2</f>
        <v>#REF!</v>
      </c>
      <c r="BR95" s="28" t="e">
        <f>#REF!</f>
        <v>#REF!</v>
      </c>
      <c r="BS95" s="28" t="e">
        <f>#REF!*2</f>
        <v>#REF!</v>
      </c>
      <c r="BT95" s="28" t="e">
        <f>#REF!</f>
        <v>#REF!</v>
      </c>
      <c r="BU95" s="28" t="e">
        <f>#REF!*2</f>
        <v>#REF!</v>
      </c>
      <c r="BV95" s="28" t="e">
        <f>#REF!</f>
        <v>#REF!</v>
      </c>
      <c r="BW95" s="28" t="e">
        <f>#REF!*2</f>
        <v>#REF!</v>
      </c>
      <c r="BX95" s="28" t="e">
        <f>#REF!</f>
        <v>#REF!</v>
      </c>
      <c r="BY95" s="28" t="e">
        <f>#REF!*2</f>
        <v>#REF!</v>
      </c>
      <c r="BZ95" s="28" t="e">
        <f>#REF!</f>
        <v>#REF!</v>
      </c>
      <c r="CA95" s="28" t="e">
        <f>#REF!*2</f>
        <v>#REF!</v>
      </c>
      <c r="CB95" s="9">
        <f t="shared" si="63"/>
        <v>2</v>
      </c>
      <c r="CC95" s="9">
        <f t="shared" si="64"/>
        <v>2</v>
      </c>
      <c r="CD95" s="9">
        <f t="shared" si="65"/>
        <v>10</v>
      </c>
      <c r="CE95" s="9">
        <f t="shared" si="66"/>
        <v>9</v>
      </c>
      <c r="CF95" s="9">
        <f t="shared" si="67"/>
        <v>5</v>
      </c>
      <c r="CG95" s="33"/>
      <c r="CH95" s="9">
        <f t="shared" si="68"/>
        <v>2</v>
      </c>
      <c r="CI95" s="9">
        <f t="shared" si="69"/>
        <v>2</v>
      </c>
      <c r="CJ95" s="9">
        <f t="shared" si="70"/>
        <v>10</v>
      </c>
      <c r="CK95" s="9">
        <f t="shared" si="71"/>
        <v>9</v>
      </c>
      <c r="CL95" s="9">
        <f t="shared" si="72"/>
        <v>5</v>
      </c>
      <c r="CM95" s="32"/>
      <c r="CN95" s="3">
        <f t="shared" si="73"/>
        <v>2</v>
      </c>
      <c r="CO95" s="3">
        <f t="shared" si="74"/>
        <v>2</v>
      </c>
      <c r="CP95" s="3">
        <f t="shared" si="75"/>
        <v>2</v>
      </c>
      <c r="CQ95" s="3">
        <f t="shared" si="76"/>
        <v>1</v>
      </c>
      <c r="CR95" s="3">
        <f t="shared" si="77"/>
        <v>1</v>
      </c>
      <c r="CS95" s="31"/>
      <c r="CT95" s="3" cm="1">
        <f t="array" ref="CT95">SUMPRODUCT(--(MOD(CH95:CL95,2)=1))</f>
        <v>2</v>
      </c>
      <c r="CU95" s="3">
        <f t="shared" si="78"/>
        <v>3</v>
      </c>
      <c r="CV95" s="30"/>
      <c r="CW95" s="3" cm="1">
        <f t="array" ref="CW95">SUMPRODUCT(--(MOD(CH95:CL95,10)&gt;=1), --(MOD(CH95:CL95,10)&lt;=5))</f>
        <v>3</v>
      </c>
      <c r="CX95" s="3">
        <f t="shared" si="79"/>
        <v>2</v>
      </c>
      <c r="CY95" s="30"/>
      <c r="CZ95" s="3" cm="1">
        <f t="array" ref="CZ95">IFERROR(COUNT(_xlfn._xlws.FILTER(CH95:CL95, ISNUMBER(MATCH(CH95:CL95, {2,3,5,7,11,13,17,19,23,29,31,37,41,43}, 0)))), 0)</f>
        <v>3</v>
      </c>
      <c r="DA95" s="3" cm="1">
        <f t="array" ref="DA95">IFERROR(COUNT(_xlfn._xlws.FILTER(CH95:CL95, ISNUMBER(MATCH(CH95:CL95, {1,4,8,10,14,16,20,22,25,26,28,32,34,35,38,40,44}, 0)))), 0)</f>
        <v>1</v>
      </c>
      <c r="DB95" s="3" cm="1">
        <f t="array" ref="DB95">IFERROR(COUNT(_xlfn._xlws.FILTER(CH95:CL95, ISNUMBER(MATCH(CH95:CL95, {6,9,12,15,18,21,24,27,30,33,36,39,42,45}, 0)))), 0)</f>
        <v>1</v>
      </c>
      <c r="DC95" s="29"/>
      <c r="DD95" s="28" t="e">
        <f>#REF!</f>
        <v>#REF!</v>
      </c>
      <c r="DE95" s="28" t="e">
        <f>#REF!*2</f>
        <v>#REF!</v>
      </c>
      <c r="DF95" s="28" t="e">
        <f>#REF!</f>
        <v>#REF!</v>
      </c>
      <c r="DG95" s="28" t="e">
        <f>#REF!*2</f>
        <v>#REF!</v>
      </c>
      <c r="DH95" s="28" t="e">
        <f>#REF!</f>
        <v>#REF!</v>
      </c>
      <c r="DI95" s="28" t="e">
        <f>#REF!*2</f>
        <v>#REF!</v>
      </c>
      <c r="DJ95" s="28" t="e">
        <f>#REF!</f>
        <v>#REF!</v>
      </c>
      <c r="DK95" s="28" t="e">
        <f>#REF!*2</f>
        <v>#REF!</v>
      </c>
      <c r="DL95" s="28" t="e">
        <f>#REF!</f>
        <v>#REF!</v>
      </c>
      <c r="DM95" s="28" t="e">
        <f>#REF!*2</f>
        <v>#REF!</v>
      </c>
      <c r="DN95" s="27"/>
      <c r="DO95" s="26" t="str" cm="1">
        <f t="array" ref="DO95">_xlfn.IFS(
   OR(CH95="",ISBLANK(CH95),CH95=0),0,
   ISNUMBER(MATCH(CH95,{2,3,5,7,11,13,17,19,23,29,31,37,41,43},0)),"소",
   AND(ISNUMBER(CH95),MOD(CH95,3)=0),"배",
   AND(ISNUMBER(CH95),CH95&gt;0),"자"
)</f>
        <v>소</v>
      </c>
      <c r="DP95" s="26" t="str" cm="1">
        <f t="array" ref="DP95">_xlfn.IFS(
   OR(CI95="",ISBLANK(CI95),CI95=0),0,
   ISNUMBER(MATCH(CI95,{2,3,5,7,11,13,17,19,23,29,31,37,41,43},0)),"소",
   AND(ISNUMBER(CI95),MOD(CI95,3)=0),"배",
   AND(ISNUMBER(CI95),CI95&gt;0),"자"
)</f>
        <v>소</v>
      </c>
      <c r="DQ95" s="26" t="str" cm="1">
        <f t="array" ref="DQ95">_xlfn.IFS(
   OR(CJ95="",ISBLANK(CJ95),CJ95=0),0,
   ISNUMBER(MATCH(CJ95,{2,3,5,7,11,13,17,19,23,29,31,37,41,43},0)),"소",
   AND(ISNUMBER(CJ95),MOD(CJ95,3)=0),"배",
   AND(ISNUMBER(CJ95),CJ95&gt;0),"자"
)</f>
        <v>자</v>
      </c>
      <c r="DR95" s="26" t="str" cm="1">
        <f t="array" ref="DR95">_xlfn.IFS(
   OR(CK95="",ISBLANK(CK95),CK95=0),0,
   ISNUMBER(MATCH(CK95,{2,3,5,7,11,13,17,19,23,29,31,37,41,43},0)),"소",
   AND(ISNUMBER(CK95),MOD(CK95,3)=0),"배",
   AND(ISNUMBER(CK95),CK95&gt;0),"자"
)</f>
        <v>배</v>
      </c>
      <c r="DS95" s="26" t="str" cm="1">
        <f t="array" ref="DS95">_xlfn.IFS(
   OR(CL95="",ISBLANK(CL95),CL95=0),0,
   ISNUMBER(MATCH(CL95,{2,3,5,7,11,13,17,19,23,29,31,37,41,43},0)),"소",
   AND(ISNUMBER(CL95),MOD(CL95,3)=0),"배",
   AND(ISNUMBER(CL95),CL95&gt;0),"자"
)</f>
        <v>소</v>
      </c>
      <c r="DT95" s="25"/>
    </row>
    <row r="96" spans="1:124" x14ac:dyDescent="0.3">
      <c r="B96" s="3">
        <v>3</v>
      </c>
      <c r="C96" s="3">
        <v>7</v>
      </c>
      <c r="D96" s="3">
        <v>15</v>
      </c>
      <c r="E96" s="3">
        <v>16</v>
      </c>
      <c r="F96" s="3">
        <v>19</v>
      </c>
      <c r="G96" s="3">
        <v>43</v>
      </c>
      <c r="H96" s="32"/>
      <c r="I96" s="3">
        <f t="shared" si="40"/>
        <v>1</v>
      </c>
      <c r="J96" s="3">
        <f t="shared" si="41"/>
        <v>1</v>
      </c>
      <c r="K96" s="3">
        <f t="shared" si="42"/>
        <v>1</v>
      </c>
      <c r="L96" s="3">
        <f t="shared" si="43"/>
        <v>2</v>
      </c>
      <c r="M96" s="3">
        <f t="shared" si="44"/>
        <v>1</v>
      </c>
      <c r="N96" s="3">
        <f t="shared" si="45"/>
        <v>1</v>
      </c>
      <c r="O96" s="32"/>
      <c r="P96" s="3" cm="1">
        <f t="array" ref="P96">SUMPRODUCT(--(MOD(B96:G96,2)=1))</f>
        <v>5</v>
      </c>
      <c r="Q96" s="3">
        <f t="shared" si="46"/>
        <v>1</v>
      </c>
      <c r="R96" s="34"/>
      <c r="S96" s="3">
        <f t="shared" si="47"/>
        <v>5</v>
      </c>
      <c r="T96" s="3">
        <f t="shared" si="48"/>
        <v>1</v>
      </c>
      <c r="U96" s="34"/>
      <c r="V96" s="3" cm="1">
        <f t="array" ref="V96">SUMPRODUCT(--(MOD(B96:G96,10)&gt;=1), --(MOD(B96:G96,10)&lt;=5))</f>
        <v>3</v>
      </c>
      <c r="W96" s="3">
        <f t="shared" si="49"/>
        <v>3</v>
      </c>
      <c r="X96" s="34"/>
      <c r="Y96" s="3" cm="1">
        <f t="array" ref="Y96">IFERROR(COUNT(_xlfn._xlws.FILTER(B96:G96, ISNUMBER(MATCH(B96:G96, {2,3,5,7,11,13,17,19,23,29,31,37,41,43}, 0)))), 0)</f>
        <v>4</v>
      </c>
      <c r="Z96" s="3" cm="1">
        <f t="array" ref="Z96">IFERROR(COUNT(_xlfn._xlws.FILTER(B96:G96, ISNUMBER(MATCH(B96:G96, {1,4,8,10,14,16,20,22,25,26,28,32,34,35,38,40,44}, 0)))), 0)</f>
        <v>1</v>
      </c>
      <c r="AA96" s="3" cm="1">
        <f t="array" ref="AA96">IFERROR(COUNT(_xlfn._xlws.FILTER(B96:G96, ISNUMBER(MATCH(B96:G96, {6,9,12,15,18,21,24,27,30,33,36,39,42,45}, 0)))), 0)</f>
        <v>1</v>
      </c>
      <c r="AB96" s="30"/>
      <c r="AC96" s="26" t="str" cm="1">
        <f t="array" ref="AC96">_xlfn.IFS(
   OR(B96="",ISBLANK(B96),B96=0),0,
   ISNUMBER(MATCH(B96,{2,3,5,7,11,13,17,19,23,29,31,37,41,43},0)),"소",
   AND(ISNUMBER(B96),MOD(B96,3)=0),"배",
   AND(ISNUMBER(B96),B96&gt;0),"자"
)</f>
        <v>소</v>
      </c>
      <c r="AD96" s="26" t="str" cm="1">
        <f t="array" ref="AD96">_xlfn.IFS(
   OR(C96="",ISBLANK(C96),C96=0),0,
   ISNUMBER(MATCH(C96,{2,3,5,7,11,13,17,19,23,29,31,37,41,43},0)),"소",
   AND(ISNUMBER(C96),MOD(C96,3)=0),"배",
   AND(ISNUMBER(C96),C96&gt;0),"자"
)</f>
        <v>소</v>
      </c>
      <c r="AE96" s="26" t="str" cm="1">
        <f t="array" ref="AE96">_xlfn.IFS(
   OR(D96="",ISBLANK(D96),D96=0),0,
   ISNUMBER(MATCH(D96,{2,3,5,7,11,13,17,19,23,29,31,37,41,43},0)),"소",
   AND(ISNUMBER(D96),MOD(D96,3)=0),"배",
   AND(ISNUMBER(D96),D96&gt;0),"자"
)</f>
        <v>배</v>
      </c>
      <c r="AF96" s="26" t="str" cm="1">
        <f t="array" ref="AF96">_xlfn.IFS(
   OR(E96="",ISBLANK(E96),E96=0),0,
   ISNUMBER(MATCH(E96,{2,3,5,7,11,13,17,19,23,29,31,37,41,43},0)),"소",
   AND(ISNUMBER(E96),MOD(E96,3)=0),"배",
   AND(ISNUMBER(E96),E96&gt;0),"자"
)</f>
        <v>자</v>
      </c>
      <c r="AG96" s="26" t="str" cm="1">
        <f t="array" ref="AG96">_xlfn.IFS(
   OR(F96="",ISBLANK(F96),F96=0),0,
   ISNUMBER(MATCH(F96,{2,3,5,7,11,13,17,19,23,29,31,37,41,43},0)),"소",
   AND(ISNUMBER(F96),MOD(F96,3)=0),"배",
   AND(ISNUMBER(F96),F96&gt;0),"자"
)</f>
        <v>소</v>
      </c>
      <c r="AH96" s="26" t="str" cm="1">
        <f t="array" ref="AH96">_xlfn.IFS(
   OR(G96="",ISBLANK(G96),G96=0),0,
   ISNUMBER(MATCH(G96,{2,3,5,7,11,13,17,19,23,29,31,37,41,43},0)),"소",
   AND(ISNUMBER(G96),MOD(G96,3)=0),"배",
   AND(ISNUMBER(G96),G96&gt;0),"자"
)</f>
        <v>소</v>
      </c>
      <c r="AI96" s="30"/>
      <c r="AJ96" s="3">
        <f t="shared" si="50"/>
        <v>2</v>
      </c>
      <c r="AK96" s="3">
        <f t="shared" si="51"/>
        <v>3</v>
      </c>
      <c r="AL96" s="3">
        <f t="shared" si="52"/>
        <v>1</v>
      </c>
      <c r="AM96" s="33"/>
      <c r="AN96" s="3">
        <f t="shared" si="53"/>
        <v>2</v>
      </c>
      <c r="AO96" s="3">
        <f t="shared" si="54"/>
        <v>2</v>
      </c>
      <c r="AP96" s="3">
        <f t="shared" si="55"/>
        <v>1</v>
      </c>
      <c r="AQ96" s="3">
        <f t="shared" si="56"/>
        <v>0</v>
      </c>
      <c r="AR96" s="3">
        <f t="shared" si="57"/>
        <v>1</v>
      </c>
      <c r="AS96" s="28" t="e">
        <f>#REF!</f>
        <v>#REF!</v>
      </c>
      <c r="AT96" s="28" t="e">
        <f>#REF!*2</f>
        <v>#REF!</v>
      </c>
      <c r="AU96" s="28" t="e">
        <f>#REF!</f>
        <v>#REF!</v>
      </c>
      <c r="AV96" s="28" t="e">
        <f>#REF!*2</f>
        <v>#REF!</v>
      </c>
      <c r="AW96" s="28" t="e">
        <f>#REF!</f>
        <v>#REF!</v>
      </c>
      <c r="AX96" s="28" t="e">
        <f>#REF!*2</f>
        <v>#REF!</v>
      </c>
      <c r="AY96" s="28" t="e">
        <f>#REF!</f>
        <v>#REF!</v>
      </c>
      <c r="AZ96" s="28" t="e">
        <f>#REF!*2</f>
        <v>#REF!</v>
      </c>
      <c r="BA96" s="28" t="e">
        <f>#REF!</f>
        <v>#REF!</v>
      </c>
      <c r="BB96" s="28" t="e">
        <f>#REF!*2</f>
        <v>#REF!</v>
      </c>
      <c r="BC96" s="28" t="e">
        <f>#REF!</f>
        <v>#REF!</v>
      </c>
      <c r="BD96" s="28" t="e">
        <f>#REF!*2</f>
        <v>#REF!</v>
      </c>
      <c r="BE96" s="9" t="e">
        <f>#REF!-#REF!</f>
        <v>#REF!</v>
      </c>
      <c r="BF96" s="9" t="e">
        <f>#REF!-#REF!</f>
        <v>#REF!</v>
      </c>
      <c r="BG96" s="9" t="e">
        <f>#REF!-#REF!</f>
        <v>#REF!</v>
      </c>
      <c r="BH96" s="9" t="e">
        <f>#REF!-#REF!</f>
        <v>#REF!</v>
      </c>
      <c r="BI96" s="9" t="e">
        <f>#REF!-#REF!</f>
        <v>#REF!</v>
      </c>
      <c r="BJ96" s="33"/>
      <c r="BK96" s="3">
        <f t="shared" si="58"/>
        <v>2</v>
      </c>
      <c r="BL96" s="3">
        <f t="shared" si="59"/>
        <v>3</v>
      </c>
      <c r="BM96" s="3">
        <f t="shared" si="60"/>
        <v>0</v>
      </c>
      <c r="BN96" s="3">
        <f t="shared" si="61"/>
        <v>0</v>
      </c>
      <c r="BO96" s="3">
        <f t="shared" si="62"/>
        <v>1</v>
      </c>
      <c r="BP96" s="28" t="e">
        <f>#REF!</f>
        <v>#REF!</v>
      </c>
      <c r="BQ96" s="28" t="e">
        <f>#REF!*2</f>
        <v>#REF!</v>
      </c>
      <c r="BR96" s="28" t="e">
        <f>#REF!</f>
        <v>#REF!</v>
      </c>
      <c r="BS96" s="28" t="e">
        <f>#REF!*2</f>
        <v>#REF!</v>
      </c>
      <c r="BT96" s="28" t="e">
        <f>#REF!</f>
        <v>#REF!</v>
      </c>
      <c r="BU96" s="28" t="e">
        <f>#REF!*2</f>
        <v>#REF!</v>
      </c>
      <c r="BV96" s="28" t="e">
        <f>#REF!</f>
        <v>#REF!</v>
      </c>
      <c r="BW96" s="28" t="e">
        <f>#REF!*2</f>
        <v>#REF!</v>
      </c>
      <c r="BX96" s="28" t="e">
        <f>#REF!</f>
        <v>#REF!</v>
      </c>
      <c r="BY96" s="28" t="e">
        <f>#REF!*2</f>
        <v>#REF!</v>
      </c>
      <c r="BZ96" s="28" t="e">
        <f>#REF!</f>
        <v>#REF!</v>
      </c>
      <c r="CA96" s="28" t="e">
        <f>#REF!*2</f>
        <v>#REF!</v>
      </c>
      <c r="CB96" s="9">
        <f t="shared" si="63"/>
        <v>4</v>
      </c>
      <c r="CC96" s="9">
        <f t="shared" si="64"/>
        <v>8</v>
      </c>
      <c r="CD96" s="9">
        <f t="shared" si="65"/>
        <v>1</v>
      </c>
      <c r="CE96" s="9">
        <f t="shared" si="66"/>
        <v>3</v>
      </c>
      <c r="CF96" s="9">
        <f t="shared" si="67"/>
        <v>24</v>
      </c>
      <c r="CG96" s="33"/>
      <c r="CH96" s="9">
        <f t="shared" si="68"/>
        <v>4</v>
      </c>
      <c r="CI96" s="9">
        <f t="shared" si="69"/>
        <v>8</v>
      </c>
      <c r="CJ96" s="9">
        <f t="shared" si="70"/>
        <v>1</v>
      </c>
      <c r="CK96" s="9">
        <f t="shared" si="71"/>
        <v>3</v>
      </c>
      <c r="CL96" s="9">
        <f t="shared" si="72"/>
        <v>24</v>
      </c>
      <c r="CM96" s="32"/>
      <c r="CN96" s="3">
        <f t="shared" si="73"/>
        <v>2</v>
      </c>
      <c r="CO96" s="3">
        <f t="shared" si="74"/>
        <v>2</v>
      </c>
      <c r="CP96" s="3">
        <f t="shared" si="75"/>
        <v>1</v>
      </c>
      <c r="CQ96" s="3">
        <f t="shared" si="76"/>
        <v>1</v>
      </c>
      <c r="CR96" s="3">
        <f t="shared" si="77"/>
        <v>2</v>
      </c>
      <c r="CS96" s="31"/>
      <c r="CT96" s="3" cm="1">
        <f t="array" ref="CT96">SUMPRODUCT(--(MOD(CH96:CL96,2)=1))</f>
        <v>2</v>
      </c>
      <c r="CU96" s="3">
        <f t="shared" si="78"/>
        <v>3</v>
      </c>
      <c r="CV96" s="30"/>
      <c r="CW96" s="3" cm="1">
        <f t="array" ref="CW96">SUMPRODUCT(--(MOD(CH96:CL96,10)&gt;=1), --(MOD(CH96:CL96,10)&lt;=5))</f>
        <v>4</v>
      </c>
      <c r="CX96" s="3">
        <f t="shared" si="79"/>
        <v>1</v>
      </c>
      <c r="CY96" s="30"/>
      <c r="CZ96" s="3" cm="1">
        <f t="array" ref="CZ96">IFERROR(COUNT(_xlfn._xlws.FILTER(CH96:CL96, ISNUMBER(MATCH(CH96:CL96, {2,3,5,7,11,13,17,19,23,29,31,37,41,43}, 0)))), 0)</f>
        <v>1</v>
      </c>
      <c r="DA96" s="3" cm="1">
        <f t="array" ref="DA96">IFERROR(COUNT(_xlfn._xlws.FILTER(CH96:CL96, ISNUMBER(MATCH(CH96:CL96, {1,4,8,10,14,16,20,22,25,26,28,32,34,35,38,40,44}, 0)))), 0)</f>
        <v>3</v>
      </c>
      <c r="DB96" s="3" cm="1">
        <f t="array" ref="DB96">IFERROR(COUNT(_xlfn._xlws.FILTER(CH96:CL96, ISNUMBER(MATCH(CH96:CL96, {6,9,12,15,18,21,24,27,30,33,36,39,42,45}, 0)))), 0)</f>
        <v>1</v>
      </c>
      <c r="DC96" s="29"/>
      <c r="DD96" s="28" t="e">
        <f>#REF!</f>
        <v>#REF!</v>
      </c>
      <c r="DE96" s="28" t="e">
        <f>#REF!*2</f>
        <v>#REF!</v>
      </c>
      <c r="DF96" s="28" t="e">
        <f>#REF!</f>
        <v>#REF!</v>
      </c>
      <c r="DG96" s="28" t="e">
        <f>#REF!*2</f>
        <v>#REF!</v>
      </c>
      <c r="DH96" s="28" t="e">
        <f>#REF!</f>
        <v>#REF!</v>
      </c>
      <c r="DI96" s="28" t="e">
        <f>#REF!*2</f>
        <v>#REF!</v>
      </c>
      <c r="DJ96" s="28" t="e">
        <f>#REF!</f>
        <v>#REF!</v>
      </c>
      <c r="DK96" s="28" t="e">
        <f>#REF!*2</f>
        <v>#REF!</v>
      </c>
      <c r="DL96" s="28" t="e">
        <f>#REF!</f>
        <v>#REF!</v>
      </c>
      <c r="DM96" s="28" t="e">
        <f>#REF!*2</f>
        <v>#REF!</v>
      </c>
      <c r="DN96" s="27"/>
      <c r="DO96" s="26" t="str" cm="1">
        <f t="array" ref="DO96">_xlfn.IFS(
   OR(CH96="",ISBLANK(CH96),CH96=0),0,
   ISNUMBER(MATCH(CH96,{2,3,5,7,11,13,17,19,23,29,31,37,41,43},0)),"소",
   AND(ISNUMBER(CH96),MOD(CH96,3)=0),"배",
   AND(ISNUMBER(CH96),CH96&gt;0),"자"
)</f>
        <v>자</v>
      </c>
      <c r="DP96" s="26" t="str" cm="1">
        <f t="array" ref="DP96">_xlfn.IFS(
   OR(CI96="",ISBLANK(CI96),CI96=0),0,
   ISNUMBER(MATCH(CI96,{2,3,5,7,11,13,17,19,23,29,31,37,41,43},0)),"소",
   AND(ISNUMBER(CI96),MOD(CI96,3)=0),"배",
   AND(ISNUMBER(CI96),CI96&gt;0),"자"
)</f>
        <v>자</v>
      </c>
      <c r="DQ96" s="26" t="str" cm="1">
        <f t="array" ref="DQ96">_xlfn.IFS(
   OR(CJ96="",ISBLANK(CJ96),CJ96=0),0,
   ISNUMBER(MATCH(CJ96,{2,3,5,7,11,13,17,19,23,29,31,37,41,43},0)),"소",
   AND(ISNUMBER(CJ96),MOD(CJ96,3)=0),"배",
   AND(ISNUMBER(CJ96),CJ96&gt;0),"자"
)</f>
        <v>자</v>
      </c>
      <c r="DR96" s="26" t="str" cm="1">
        <f t="array" ref="DR96">_xlfn.IFS(
   OR(CK96="",ISBLANK(CK96),CK96=0),0,
   ISNUMBER(MATCH(CK96,{2,3,5,7,11,13,17,19,23,29,31,37,41,43},0)),"소",
   AND(ISNUMBER(CK96),MOD(CK96,3)=0),"배",
   AND(ISNUMBER(CK96),CK96&gt;0),"자"
)</f>
        <v>소</v>
      </c>
      <c r="DS96" s="26" t="str" cm="1">
        <f t="array" ref="DS96">_xlfn.IFS(
   OR(CL96="",ISBLANK(CL96),CL96=0),0,
   ISNUMBER(MATCH(CL96,{2,3,5,7,11,13,17,19,23,29,31,37,41,43},0)),"소",
   AND(ISNUMBER(CL96),MOD(CL96,3)=0),"배",
   AND(ISNUMBER(CL96),CL96&gt;0),"자"
)</f>
        <v>배</v>
      </c>
      <c r="DT96" s="25"/>
    </row>
    <row r="97" spans="2:124" x14ac:dyDescent="0.3">
      <c r="B97" s="3">
        <v>5</v>
      </c>
      <c r="C97" s="3">
        <v>6</v>
      </c>
      <c r="D97" s="3">
        <v>11</v>
      </c>
      <c r="E97" s="3">
        <v>27</v>
      </c>
      <c r="F97" s="3">
        <v>43</v>
      </c>
      <c r="G97" s="3">
        <v>44</v>
      </c>
      <c r="H97" s="32"/>
      <c r="I97" s="3">
        <f t="shared" si="40"/>
        <v>1</v>
      </c>
      <c r="J97" s="3">
        <f t="shared" si="41"/>
        <v>2</v>
      </c>
      <c r="K97" s="3">
        <f t="shared" si="42"/>
        <v>1</v>
      </c>
      <c r="L97" s="3">
        <f t="shared" si="43"/>
        <v>1</v>
      </c>
      <c r="M97" s="3">
        <f t="shared" si="44"/>
        <v>1</v>
      </c>
      <c r="N97" s="3">
        <f t="shared" si="45"/>
        <v>2</v>
      </c>
      <c r="O97" s="32"/>
      <c r="P97" s="3" cm="1">
        <f t="array" ref="P97">SUMPRODUCT(--(MOD(B97:G97,2)=1))</f>
        <v>4</v>
      </c>
      <c r="Q97" s="3">
        <f t="shared" si="46"/>
        <v>2</v>
      </c>
      <c r="R97" s="34"/>
      <c r="S97" s="3">
        <f t="shared" si="47"/>
        <v>3</v>
      </c>
      <c r="T97" s="3">
        <f t="shared" si="48"/>
        <v>3</v>
      </c>
      <c r="U97" s="34"/>
      <c r="V97" s="3" cm="1">
        <f t="array" ref="V97">SUMPRODUCT(--(MOD(B97:G97,10)&gt;=1), --(MOD(B97:G97,10)&lt;=5))</f>
        <v>4</v>
      </c>
      <c r="W97" s="3">
        <f t="shared" si="49"/>
        <v>2</v>
      </c>
      <c r="X97" s="34"/>
      <c r="Y97" s="3" cm="1">
        <f t="array" ref="Y97">IFERROR(COUNT(_xlfn._xlws.FILTER(B97:G97, ISNUMBER(MATCH(B97:G97, {2,3,5,7,11,13,17,19,23,29,31,37,41,43}, 0)))), 0)</f>
        <v>3</v>
      </c>
      <c r="Z97" s="3" cm="1">
        <f t="array" ref="Z97">IFERROR(COUNT(_xlfn._xlws.FILTER(B97:G97, ISNUMBER(MATCH(B97:G97, {1,4,8,10,14,16,20,22,25,26,28,32,34,35,38,40,44}, 0)))), 0)</f>
        <v>1</v>
      </c>
      <c r="AA97" s="3" cm="1">
        <f t="array" ref="AA97">IFERROR(COUNT(_xlfn._xlws.FILTER(B97:G97, ISNUMBER(MATCH(B97:G97, {6,9,12,15,18,21,24,27,30,33,36,39,42,45}, 0)))), 0)</f>
        <v>2</v>
      </c>
      <c r="AB97" s="30"/>
      <c r="AC97" s="26" t="str" cm="1">
        <f t="array" ref="AC97">_xlfn.IFS(
   OR(B97="",ISBLANK(B97),B97=0),0,
   ISNUMBER(MATCH(B97,{2,3,5,7,11,13,17,19,23,29,31,37,41,43},0)),"소",
   AND(ISNUMBER(B97),MOD(B97,3)=0),"배",
   AND(ISNUMBER(B97),B97&gt;0),"자"
)</f>
        <v>소</v>
      </c>
      <c r="AD97" s="26" t="str" cm="1">
        <f t="array" ref="AD97">_xlfn.IFS(
   OR(C97="",ISBLANK(C97),C97=0),0,
   ISNUMBER(MATCH(C97,{2,3,5,7,11,13,17,19,23,29,31,37,41,43},0)),"소",
   AND(ISNUMBER(C97),MOD(C97,3)=0),"배",
   AND(ISNUMBER(C97),C97&gt;0),"자"
)</f>
        <v>배</v>
      </c>
      <c r="AE97" s="26" t="str" cm="1">
        <f t="array" ref="AE97">_xlfn.IFS(
   OR(D97="",ISBLANK(D97),D97=0),0,
   ISNUMBER(MATCH(D97,{2,3,5,7,11,13,17,19,23,29,31,37,41,43},0)),"소",
   AND(ISNUMBER(D97),MOD(D97,3)=0),"배",
   AND(ISNUMBER(D97),D97&gt;0),"자"
)</f>
        <v>소</v>
      </c>
      <c r="AF97" s="26" t="str" cm="1">
        <f t="array" ref="AF97">_xlfn.IFS(
   OR(E97="",ISBLANK(E97),E97=0),0,
   ISNUMBER(MATCH(E97,{2,3,5,7,11,13,17,19,23,29,31,37,41,43},0)),"소",
   AND(ISNUMBER(E97),MOD(E97,3)=0),"배",
   AND(ISNUMBER(E97),E97&gt;0),"자"
)</f>
        <v>배</v>
      </c>
      <c r="AG97" s="26" t="str" cm="1">
        <f t="array" ref="AG97">_xlfn.IFS(
   OR(F97="",ISBLANK(F97),F97=0),0,
   ISNUMBER(MATCH(F97,{2,3,5,7,11,13,17,19,23,29,31,37,41,43},0)),"소",
   AND(ISNUMBER(F97),MOD(F97,3)=0),"배",
   AND(ISNUMBER(F97),F97&gt;0),"자"
)</f>
        <v>소</v>
      </c>
      <c r="AH97" s="26" t="str" cm="1">
        <f t="array" ref="AH97">_xlfn.IFS(
   OR(G97="",ISBLANK(G97),G97=0),0,
   ISNUMBER(MATCH(G97,{2,3,5,7,11,13,17,19,23,29,31,37,41,43},0)),"소",
   AND(ISNUMBER(G97),MOD(G97,3)=0),"배",
   AND(ISNUMBER(G97),G97&gt;0),"자"
)</f>
        <v>자</v>
      </c>
      <c r="AI97" s="30"/>
      <c r="AJ97" s="3">
        <f t="shared" si="50"/>
        <v>3</v>
      </c>
      <c r="AK97" s="3">
        <f t="shared" si="51"/>
        <v>1</v>
      </c>
      <c r="AL97" s="3">
        <f t="shared" si="52"/>
        <v>2</v>
      </c>
      <c r="AM97" s="33"/>
      <c r="AN97" s="3">
        <f t="shared" si="53"/>
        <v>2</v>
      </c>
      <c r="AO97" s="3">
        <f t="shared" si="54"/>
        <v>1</v>
      </c>
      <c r="AP97" s="3">
        <f t="shared" si="55"/>
        <v>1</v>
      </c>
      <c r="AQ97" s="3">
        <f t="shared" si="56"/>
        <v>0</v>
      </c>
      <c r="AR97" s="3">
        <f t="shared" si="57"/>
        <v>2</v>
      </c>
      <c r="AS97" s="28" t="e">
        <f>#REF!</f>
        <v>#REF!</v>
      </c>
      <c r="AT97" s="28" t="e">
        <f>#REF!*2</f>
        <v>#REF!</v>
      </c>
      <c r="AU97" s="28" t="e">
        <f>#REF!</f>
        <v>#REF!</v>
      </c>
      <c r="AV97" s="28" t="e">
        <f>#REF!*2</f>
        <v>#REF!</v>
      </c>
      <c r="AW97" s="28" t="e">
        <f>#REF!</f>
        <v>#REF!</v>
      </c>
      <c r="AX97" s="28" t="e">
        <f>#REF!*2</f>
        <v>#REF!</v>
      </c>
      <c r="AY97" s="28" t="e">
        <f>#REF!</f>
        <v>#REF!</v>
      </c>
      <c r="AZ97" s="28" t="e">
        <f>#REF!*2</f>
        <v>#REF!</v>
      </c>
      <c r="BA97" s="28" t="e">
        <f>#REF!</f>
        <v>#REF!</v>
      </c>
      <c r="BB97" s="28" t="e">
        <f>#REF!*2</f>
        <v>#REF!</v>
      </c>
      <c r="BC97" s="28" t="e">
        <f>#REF!</f>
        <v>#REF!</v>
      </c>
      <c r="BD97" s="28" t="e">
        <f>#REF!*2</f>
        <v>#REF!</v>
      </c>
      <c r="BE97" s="9" t="e">
        <f>#REF!-#REF!</f>
        <v>#REF!</v>
      </c>
      <c r="BF97" s="9" t="e">
        <f>#REF!-#REF!</f>
        <v>#REF!</v>
      </c>
      <c r="BG97" s="9" t="e">
        <f>#REF!-#REF!</f>
        <v>#REF!</v>
      </c>
      <c r="BH97" s="9" t="e">
        <f>#REF!-#REF!</f>
        <v>#REF!</v>
      </c>
      <c r="BI97" s="9" t="e">
        <f>#REF!-#REF!</f>
        <v>#REF!</v>
      </c>
      <c r="BJ97" s="33"/>
      <c r="BK97" s="3">
        <f t="shared" si="58"/>
        <v>2</v>
      </c>
      <c r="BL97" s="3">
        <f t="shared" si="59"/>
        <v>1</v>
      </c>
      <c r="BM97" s="3">
        <f t="shared" si="60"/>
        <v>1</v>
      </c>
      <c r="BN97" s="3">
        <f t="shared" si="61"/>
        <v>0</v>
      </c>
      <c r="BO97" s="3">
        <f t="shared" si="62"/>
        <v>2</v>
      </c>
      <c r="BP97" s="28" t="e">
        <f>#REF!</f>
        <v>#REF!</v>
      </c>
      <c r="BQ97" s="28" t="e">
        <f>#REF!*2</f>
        <v>#REF!</v>
      </c>
      <c r="BR97" s="28" t="e">
        <f>#REF!</f>
        <v>#REF!</v>
      </c>
      <c r="BS97" s="28" t="e">
        <f>#REF!*2</f>
        <v>#REF!</v>
      </c>
      <c r="BT97" s="28" t="e">
        <f>#REF!</f>
        <v>#REF!</v>
      </c>
      <c r="BU97" s="28" t="e">
        <f>#REF!*2</f>
        <v>#REF!</v>
      </c>
      <c r="BV97" s="28" t="e">
        <f>#REF!</f>
        <v>#REF!</v>
      </c>
      <c r="BW97" s="28" t="e">
        <f>#REF!*2</f>
        <v>#REF!</v>
      </c>
      <c r="BX97" s="28" t="e">
        <f>#REF!</f>
        <v>#REF!</v>
      </c>
      <c r="BY97" s="28" t="e">
        <f>#REF!*2</f>
        <v>#REF!</v>
      </c>
      <c r="BZ97" s="28" t="e">
        <f>#REF!</f>
        <v>#REF!</v>
      </c>
      <c r="CA97" s="28" t="e">
        <f>#REF!*2</f>
        <v>#REF!</v>
      </c>
      <c r="CB97" s="9">
        <f t="shared" si="63"/>
        <v>1</v>
      </c>
      <c r="CC97" s="9">
        <f t="shared" si="64"/>
        <v>5</v>
      </c>
      <c r="CD97" s="9">
        <f t="shared" si="65"/>
        <v>16</v>
      </c>
      <c r="CE97" s="9">
        <f t="shared" si="66"/>
        <v>16</v>
      </c>
      <c r="CF97" s="9">
        <f t="shared" si="67"/>
        <v>1</v>
      </c>
      <c r="CG97" s="33"/>
      <c r="CH97" s="9">
        <f t="shared" si="68"/>
        <v>1</v>
      </c>
      <c r="CI97" s="9">
        <f t="shared" si="69"/>
        <v>5</v>
      </c>
      <c r="CJ97" s="9">
        <f t="shared" si="70"/>
        <v>16</v>
      </c>
      <c r="CK97" s="9">
        <f t="shared" si="71"/>
        <v>16</v>
      </c>
      <c r="CL97" s="9">
        <f t="shared" si="72"/>
        <v>1</v>
      </c>
      <c r="CM97" s="32"/>
      <c r="CN97" s="3">
        <f t="shared" si="73"/>
        <v>1</v>
      </c>
      <c r="CO97" s="3">
        <f t="shared" si="74"/>
        <v>1</v>
      </c>
      <c r="CP97" s="3">
        <f t="shared" si="75"/>
        <v>2</v>
      </c>
      <c r="CQ97" s="3">
        <f t="shared" si="76"/>
        <v>2</v>
      </c>
      <c r="CR97" s="3">
        <f t="shared" si="77"/>
        <v>1</v>
      </c>
      <c r="CS97" s="31"/>
      <c r="CT97" s="3" cm="1">
        <f t="array" ref="CT97">SUMPRODUCT(--(MOD(CH97:CL97,2)=1))</f>
        <v>3</v>
      </c>
      <c r="CU97" s="3">
        <f t="shared" si="78"/>
        <v>2</v>
      </c>
      <c r="CV97" s="30"/>
      <c r="CW97" s="3" cm="1">
        <f t="array" ref="CW97">SUMPRODUCT(--(MOD(CH97:CL97,10)&gt;=1), --(MOD(CH97:CL97,10)&lt;=5))</f>
        <v>3</v>
      </c>
      <c r="CX97" s="3">
        <f t="shared" si="79"/>
        <v>2</v>
      </c>
      <c r="CY97" s="30"/>
      <c r="CZ97" s="3" cm="1">
        <f t="array" ref="CZ97">IFERROR(COUNT(_xlfn._xlws.FILTER(CH97:CL97, ISNUMBER(MATCH(CH97:CL97, {2,3,5,7,11,13,17,19,23,29,31,37,41,43}, 0)))), 0)</f>
        <v>1</v>
      </c>
      <c r="DA97" s="3" cm="1">
        <f t="array" ref="DA97">IFERROR(COUNT(_xlfn._xlws.FILTER(CH97:CL97, ISNUMBER(MATCH(CH97:CL97, {1,4,8,10,14,16,20,22,25,26,28,32,34,35,38,40,44}, 0)))), 0)</f>
        <v>4</v>
      </c>
      <c r="DB97" s="3" cm="1">
        <f t="array" ref="DB97">IFERROR(COUNT(_xlfn._xlws.FILTER(CH97:CL97, ISNUMBER(MATCH(CH97:CL97, {6,9,12,15,18,21,24,27,30,33,36,39,42,45}, 0)))), 0)</f>
        <v>0</v>
      </c>
      <c r="DC97" s="29"/>
      <c r="DD97" s="28" t="e">
        <f>#REF!</f>
        <v>#REF!</v>
      </c>
      <c r="DE97" s="28" t="e">
        <f>#REF!*2</f>
        <v>#REF!</v>
      </c>
      <c r="DF97" s="28" t="e">
        <f>#REF!</f>
        <v>#REF!</v>
      </c>
      <c r="DG97" s="28" t="e">
        <f>#REF!*2</f>
        <v>#REF!</v>
      </c>
      <c r="DH97" s="28" t="e">
        <f>#REF!</f>
        <v>#REF!</v>
      </c>
      <c r="DI97" s="28" t="e">
        <f>#REF!*2</f>
        <v>#REF!</v>
      </c>
      <c r="DJ97" s="28" t="e">
        <f>#REF!</f>
        <v>#REF!</v>
      </c>
      <c r="DK97" s="28" t="e">
        <f>#REF!*2</f>
        <v>#REF!</v>
      </c>
      <c r="DL97" s="28" t="e">
        <f>#REF!</f>
        <v>#REF!</v>
      </c>
      <c r="DM97" s="28" t="e">
        <f>#REF!*2</f>
        <v>#REF!</v>
      </c>
      <c r="DN97" s="27"/>
      <c r="DO97" s="26" t="str" cm="1">
        <f t="array" ref="DO97">_xlfn.IFS(
   OR(CH97="",ISBLANK(CH97),CH97=0),0,
   ISNUMBER(MATCH(CH97,{2,3,5,7,11,13,17,19,23,29,31,37,41,43},0)),"소",
   AND(ISNUMBER(CH97),MOD(CH97,3)=0),"배",
   AND(ISNUMBER(CH97),CH97&gt;0),"자"
)</f>
        <v>자</v>
      </c>
      <c r="DP97" s="26" t="str" cm="1">
        <f t="array" ref="DP97">_xlfn.IFS(
   OR(CI97="",ISBLANK(CI97),CI97=0),0,
   ISNUMBER(MATCH(CI97,{2,3,5,7,11,13,17,19,23,29,31,37,41,43},0)),"소",
   AND(ISNUMBER(CI97),MOD(CI97,3)=0),"배",
   AND(ISNUMBER(CI97),CI97&gt;0),"자"
)</f>
        <v>소</v>
      </c>
      <c r="DQ97" s="26" t="str" cm="1">
        <f t="array" ref="DQ97">_xlfn.IFS(
   OR(CJ97="",ISBLANK(CJ97),CJ97=0),0,
   ISNUMBER(MATCH(CJ97,{2,3,5,7,11,13,17,19,23,29,31,37,41,43},0)),"소",
   AND(ISNUMBER(CJ97),MOD(CJ97,3)=0),"배",
   AND(ISNUMBER(CJ97),CJ97&gt;0),"자"
)</f>
        <v>자</v>
      </c>
      <c r="DR97" s="26" t="str" cm="1">
        <f t="array" ref="DR97">_xlfn.IFS(
   OR(CK97="",ISBLANK(CK97),CK97=0),0,
   ISNUMBER(MATCH(CK97,{2,3,5,7,11,13,17,19,23,29,31,37,41,43},0)),"소",
   AND(ISNUMBER(CK97),MOD(CK97,3)=0),"배",
   AND(ISNUMBER(CK97),CK97&gt;0),"자"
)</f>
        <v>자</v>
      </c>
      <c r="DS97" s="26" t="str" cm="1">
        <f t="array" ref="DS97">_xlfn.IFS(
   OR(CL97="",ISBLANK(CL97),CL97=0),0,
   ISNUMBER(MATCH(CL97,{2,3,5,7,11,13,17,19,23,29,31,37,41,43},0)),"소",
   AND(ISNUMBER(CL97),MOD(CL97,3)=0),"배",
   AND(ISNUMBER(CL97),CL97&gt;0),"자"
)</f>
        <v>자</v>
      </c>
      <c r="DT97" s="25"/>
    </row>
    <row r="98" spans="2:124" x14ac:dyDescent="0.3">
      <c r="B98" s="3">
        <v>3</v>
      </c>
      <c r="C98" s="3">
        <v>16</v>
      </c>
      <c r="D98" s="3">
        <v>18</v>
      </c>
      <c r="E98" s="3">
        <v>24</v>
      </c>
      <c r="F98" s="3">
        <v>40</v>
      </c>
      <c r="G98" s="3">
        <v>44</v>
      </c>
      <c r="H98" s="32"/>
      <c r="I98" s="3">
        <f t="shared" si="40"/>
        <v>1</v>
      </c>
      <c r="J98" s="3">
        <f t="shared" si="41"/>
        <v>2</v>
      </c>
      <c r="K98" s="3">
        <f t="shared" si="42"/>
        <v>2</v>
      </c>
      <c r="L98" s="3">
        <f t="shared" si="43"/>
        <v>2</v>
      </c>
      <c r="M98" s="3">
        <f t="shared" si="44"/>
        <v>2</v>
      </c>
      <c r="N98" s="3">
        <f t="shared" si="45"/>
        <v>2</v>
      </c>
      <c r="O98" s="32"/>
      <c r="P98" s="3" cm="1">
        <f t="array" ref="P98">SUMPRODUCT(--(MOD(B98:G98,2)=1))</f>
        <v>1</v>
      </c>
      <c r="Q98" s="3">
        <f t="shared" si="46"/>
        <v>5</v>
      </c>
      <c r="R98" s="34"/>
      <c r="S98" s="3">
        <f t="shared" si="47"/>
        <v>3</v>
      </c>
      <c r="T98" s="3">
        <f t="shared" si="48"/>
        <v>3</v>
      </c>
      <c r="U98" s="34"/>
      <c r="V98" s="3" cm="1">
        <f t="array" ref="V98">SUMPRODUCT(--(MOD(B98:G98,10)&gt;=1), --(MOD(B98:G98,10)&lt;=5))</f>
        <v>3</v>
      </c>
      <c r="W98" s="3">
        <f t="shared" si="49"/>
        <v>3</v>
      </c>
      <c r="X98" s="34"/>
      <c r="Y98" s="3" cm="1">
        <f t="array" ref="Y98">IFERROR(COUNT(_xlfn._xlws.FILTER(B98:G98, ISNUMBER(MATCH(B98:G98, {2,3,5,7,11,13,17,19,23,29,31,37,41,43}, 0)))), 0)</f>
        <v>1</v>
      </c>
      <c r="Z98" s="3" cm="1">
        <f t="array" ref="Z98">IFERROR(COUNT(_xlfn._xlws.FILTER(B98:G98, ISNUMBER(MATCH(B98:G98, {1,4,8,10,14,16,20,22,25,26,28,32,34,35,38,40,44}, 0)))), 0)</f>
        <v>3</v>
      </c>
      <c r="AA98" s="3" cm="1">
        <f t="array" ref="AA98">IFERROR(COUNT(_xlfn._xlws.FILTER(B98:G98, ISNUMBER(MATCH(B98:G98, {6,9,12,15,18,21,24,27,30,33,36,39,42,45}, 0)))), 0)</f>
        <v>2</v>
      </c>
      <c r="AB98" s="30"/>
      <c r="AC98" s="26" t="str" cm="1">
        <f t="array" ref="AC98">_xlfn.IFS(
   OR(B98="",ISBLANK(B98),B98=0),0,
   ISNUMBER(MATCH(B98,{2,3,5,7,11,13,17,19,23,29,31,37,41,43},0)),"소",
   AND(ISNUMBER(B98),MOD(B98,3)=0),"배",
   AND(ISNUMBER(B98),B98&gt;0),"자"
)</f>
        <v>소</v>
      </c>
      <c r="AD98" s="26" t="str" cm="1">
        <f t="array" ref="AD98">_xlfn.IFS(
   OR(C98="",ISBLANK(C98),C98=0),0,
   ISNUMBER(MATCH(C98,{2,3,5,7,11,13,17,19,23,29,31,37,41,43},0)),"소",
   AND(ISNUMBER(C98),MOD(C98,3)=0),"배",
   AND(ISNUMBER(C98),C98&gt;0),"자"
)</f>
        <v>자</v>
      </c>
      <c r="AE98" s="26" t="str" cm="1">
        <f t="array" ref="AE98">_xlfn.IFS(
   OR(D98="",ISBLANK(D98),D98=0),0,
   ISNUMBER(MATCH(D98,{2,3,5,7,11,13,17,19,23,29,31,37,41,43},0)),"소",
   AND(ISNUMBER(D98),MOD(D98,3)=0),"배",
   AND(ISNUMBER(D98),D98&gt;0),"자"
)</f>
        <v>배</v>
      </c>
      <c r="AF98" s="26" t="str" cm="1">
        <f t="array" ref="AF98">_xlfn.IFS(
   OR(E98="",ISBLANK(E98),E98=0),0,
   ISNUMBER(MATCH(E98,{2,3,5,7,11,13,17,19,23,29,31,37,41,43},0)),"소",
   AND(ISNUMBER(E98),MOD(E98,3)=0),"배",
   AND(ISNUMBER(E98),E98&gt;0),"자"
)</f>
        <v>배</v>
      </c>
      <c r="AG98" s="26" t="str" cm="1">
        <f t="array" ref="AG98">_xlfn.IFS(
   OR(F98="",ISBLANK(F98),F98=0),0,
   ISNUMBER(MATCH(F98,{2,3,5,7,11,13,17,19,23,29,31,37,41,43},0)),"소",
   AND(ISNUMBER(F98),MOD(F98,3)=0),"배",
   AND(ISNUMBER(F98),F98&gt;0),"자"
)</f>
        <v>자</v>
      </c>
      <c r="AH98" s="26" t="str" cm="1">
        <f t="array" ref="AH98">_xlfn.IFS(
   OR(G98="",ISBLANK(G98),G98=0),0,
   ISNUMBER(MATCH(G98,{2,3,5,7,11,13,17,19,23,29,31,37,41,43},0)),"소",
   AND(ISNUMBER(G98),MOD(G98,3)=0),"배",
   AND(ISNUMBER(G98),G98&gt;0),"자"
)</f>
        <v>자</v>
      </c>
      <c r="AI98" s="30"/>
      <c r="AJ98" s="3">
        <f t="shared" si="50"/>
        <v>1</v>
      </c>
      <c r="AK98" s="3">
        <f t="shared" si="51"/>
        <v>3</v>
      </c>
      <c r="AL98" s="3">
        <f t="shared" si="52"/>
        <v>2</v>
      </c>
      <c r="AM98" s="33"/>
      <c r="AN98" s="3">
        <f t="shared" si="53"/>
        <v>1</v>
      </c>
      <c r="AO98" s="3">
        <f t="shared" si="54"/>
        <v>2</v>
      </c>
      <c r="AP98" s="3">
        <f t="shared" si="55"/>
        <v>1</v>
      </c>
      <c r="AQ98" s="3">
        <f t="shared" si="56"/>
        <v>0</v>
      </c>
      <c r="AR98" s="3">
        <f t="shared" si="57"/>
        <v>2</v>
      </c>
      <c r="AS98" s="28" t="e">
        <f>#REF!</f>
        <v>#REF!</v>
      </c>
      <c r="AT98" s="28" t="e">
        <f>#REF!*2</f>
        <v>#REF!</v>
      </c>
      <c r="AU98" s="28" t="e">
        <f>#REF!</f>
        <v>#REF!</v>
      </c>
      <c r="AV98" s="28" t="e">
        <f>#REF!*2</f>
        <v>#REF!</v>
      </c>
      <c r="AW98" s="28" t="e">
        <f>#REF!</f>
        <v>#REF!</v>
      </c>
      <c r="AX98" s="28" t="e">
        <f>#REF!*2</f>
        <v>#REF!</v>
      </c>
      <c r="AY98" s="28" t="e">
        <f>#REF!</f>
        <v>#REF!</v>
      </c>
      <c r="AZ98" s="28" t="e">
        <f>#REF!*2</f>
        <v>#REF!</v>
      </c>
      <c r="BA98" s="28" t="e">
        <f>#REF!</f>
        <v>#REF!</v>
      </c>
      <c r="BB98" s="28" t="e">
        <f>#REF!*2</f>
        <v>#REF!</v>
      </c>
      <c r="BC98" s="28" t="e">
        <f>#REF!</f>
        <v>#REF!</v>
      </c>
      <c r="BD98" s="28" t="e">
        <f>#REF!*2</f>
        <v>#REF!</v>
      </c>
      <c r="BE98" s="9" t="e">
        <f>#REF!-#REF!</f>
        <v>#REF!</v>
      </c>
      <c r="BF98" s="9" t="e">
        <f>#REF!-#REF!</f>
        <v>#REF!</v>
      </c>
      <c r="BG98" s="9" t="e">
        <f>#REF!-#REF!</f>
        <v>#REF!</v>
      </c>
      <c r="BH98" s="9" t="e">
        <f>#REF!-#REF!</f>
        <v>#REF!</v>
      </c>
      <c r="BI98" s="9" t="e">
        <f>#REF!-#REF!</f>
        <v>#REF!</v>
      </c>
      <c r="BJ98" s="33"/>
      <c r="BK98" s="3">
        <f t="shared" si="58"/>
        <v>1</v>
      </c>
      <c r="BL98" s="3">
        <f t="shared" si="59"/>
        <v>2</v>
      </c>
      <c r="BM98" s="3">
        <f t="shared" si="60"/>
        <v>1</v>
      </c>
      <c r="BN98" s="3">
        <f t="shared" si="61"/>
        <v>0</v>
      </c>
      <c r="BO98" s="3">
        <f t="shared" si="62"/>
        <v>2</v>
      </c>
      <c r="BP98" s="28" t="e">
        <f>#REF!</f>
        <v>#REF!</v>
      </c>
      <c r="BQ98" s="28" t="e">
        <f>#REF!*2</f>
        <v>#REF!</v>
      </c>
      <c r="BR98" s="28" t="e">
        <f>#REF!</f>
        <v>#REF!</v>
      </c>
      <c r="BS98" s="28" t="e">
        <f>#REF!*2</f>
        <v>#REF!</v>
      </c>
      <c r="BT98" s="28" t="e">
        <f>#REF!</f>
        <v>#REF!</v>
      </c>
      <c r="BU98" s="28" t="e">
        <f>#REF!*2</f>
        <v>#REF!</v>
      </c>
      <c r="BV98" s="28" t="e">
        <f>#REF!</f>
        <v>#REF!</v>
      </c>
      <c r="BW98" s="28" t="e">
        <f>#REF!*2</f>
        <v>#REF!</v>
      </c>
      <c r="BX98" s="28" t="e">
        <f>#REF!</f>
        <v>#REF!</v>
      </c>
      <c r="BY98" s="28" t="e">
        <f>#REF!*2</f>
        <v>#REF!</v>
      </c>
      <c r="BZ98" s="28" t="e">
        <f>#REF!</f>
        <v>#REF!</v>
      </c>
      <c r="CA98" s="28" t="e">
        <f>#REF!*2</f>
        <v>#REF!</v>
      </c>
      <c r="CB98" s="9">
        <f t="shared" si="63"/>
        <v>13</v>
      </c>
      <c r="CC98" s="9">
        <f t="shared" si="64"/>
        <v>2</v>
      </c>
      <c r="CD98" s="9">
        <f t="shared" si="65"/>
        <v>6</v>
      </c>
      <c r="CE98" s="9">
        <f t="shared" si="66"/>
        <v>16</v>
      </c>
      <c r="CF98" s="9">
        <f t="shared" si="67"/>
        <v>4</v>
      </c>
      <c r="CG98" s="33"/>
      <c r="CH98" s="9">
        <f t="shared" si="68"/>
        <v>13</v>
      </c>
      <c r="CI98" s="9">
        <f t="shared" si="69"/>
        <v>2</v>
      </c>
      <c r="CJ98" s="9">
        <f t="shared" si="70"/>
        <v>6</v>
      </c>
      <c r="CK98" s="9">
        <f t="shared" si="71"/>
        <v>16</v>
      </c>
      <c r="CL98" s="9">
        <f t="shared" si="72"/>
        <v>4</v>
      </c>
      <c r="CM98" s="32"/>
      <c r="CN98" s="3">
        <f t="shared" si="73"/>
        <v>1</v>
      </c>
      <c r="CO98" s="3">
        <f t="shared" si="74"/>
        <v>2</v>
      </c>
      <c r="CP98" s="3">
        <f t="shared" si="75"/>
        <v>2</v>
      </c>
      <c r="CQ98" s="3">
        <f t="shared" si="76"/>
        <v>2</v>
      </c>
      <c r="CR98" s="3">
        <f t="shared" si="77"/>
        <v>2</v>
      </c>
      <c r="CS98" s="31"/>
      <c r="CT98" s="3" cm="1">
        <f t="array" ref="CT98">SUMPRODUCT(--(MOD(CH98:CL98,2)=1))</f>
        <v>1</v>
      </c>
      <c r="CU98" s="3">
        <f t="shared" si="78"/>
        <v>4</v>
      </c>
      <c r="CV98" s="30"/>
      <c r="CW98" s="3" cm="1">
        <f t="array" ref="CW98">SUMPRODUCT(--(MOD(CH98:CL98,10)&gt;=1), --(MOD(CH98:CL98,10)&lt;=5))</f>
        <v>3</v>
      </c>
      <c r="CX98" s="3">
        <f t="shared" si="79"/>
        <v>2</v>
      </c>
      <c r="CY98" s="30"/>
      <c r="CZ98" s="3" cm="1">
        <f t="array" ref="CZ98">IFERROR(COUNT(_xlfn._xlws.FILTER(CH98:CL98, ISNUMBER(MATCH(CH98:CL98, {2,3,5,7,11,13,17,19,23,29,31,37,41,43}, 0)))), 0)</f>
        <v>2</v>
      </c>
      <c r="DA98" s="3" cm="1">
        <f t="array" ref="DA98">IFERROR(COUNT(_xlfn._xlws.FILTER(CH98:CL98, ISNUMBER(MATCH(CH98:CL98, {1,4,8,10,14,16,20,22,25,26,28,32,34,35,38,40,44}, 0)))), 0)</f>
        <v>2</v>
      </c>
      <c r="DB98" s="3" cm="1">
        <f t="array" ref="DB98">IFERROR(COUNT(_xlfn._xlws.FILTER(CH98:CL98, ISNUMBER(MATCH(CH98:CL98, {6,9,12,15,18,21,24,27,30,33,36,39,42,45}, 0)))), 0)</f>
        <v>1</v>
      </c>
      <c r="DC98" s="29"/>
      <c r="DD98" s="28" t="e">
        <f>#REF!</f>
        <v>#REF!</v>
      </c>
      <c r="DE98" s="28" t="e">
        <f>#REF!*2</f>
        <v>#REF!</v>
      </c>
      <c r="DF98" s="28" t="e">
        <f>#REF!</f>
        <v>#REF!</v>
      </c>
      <c r="DG98" s="28" t="e">
        <f>#REF!*2</f>
        <v>#REF!</v>
      </c>
      <c r="DH98" s="28" t="e">
        <f>#REF!</f>
        <v>#REF!</v>
      </c>
      <c r="DI98" s="28" t="e">
        <f>#REF!*2</f>
        <v>#REF!</v>
      </c>
      <c r="DJ98" s="28" t="e">
        <f>#REF!</f>
        <v>#REF!</v>
      </c>
      <c r="DK98" s="28" t="e">
        <f>#REF!*2</f>
        <v>#REF!</v>
      </c>
      <c r="DL98" s="28" t="e">
        <f>#REF!</f>
        <v>#REF!</v>
      </c>
      <c r="DM98" s="28" t="e">
        <f>#REF!*2</f>
        <v>#REF!</v>
      </c>
      <c r="DN98" s="27"/>
      <c r="DO98" s="26" t="str" cm="1">
        <f t="array" ref="DO98">_xlfn.IFS(
   OR(CH98="",ISBLANK(CH98),CH98=0),0,
   ISNUMBER(MATCH(CH98,{2,3,5,7,11,13,17,19,23,29,31,37,41,43},0)),"소",
   AND(ISNUMBER(CH98),MOD(CH98,3)=0),"배",
   AND(ISNUMBER(CH98),CH98&gt;0),"자"
)</f>
        <v>소</v>
      </c>
      <c r="DP98" s="26" t="str" cm="1">
        <f t="array" ref="DP98">_xlfn.IFS(
   OR(CI98="",ISBLANK(CI98),CI98=0),0,
   ISNUMBER(MATCH(CI98,{2,3,5,7,11,13,17,19,23,29,31,37,41,43},0)),"소",
   AND(ISNUMBER(CI98),MOD(CI98,3)=0),"배",
   AND(ISNUMBER(CI98),CI98&gt;0),"자"
)</f>
        <v>소</v>
      </c>
      <c r="DQ98" s="26" t="str" cm="1">
        <f t="array" ref="DQ98">_xlfn.IFS(
   OR(CJ98="",ISBLANK(CJ98),CJ98=0),0,
   ISNUMBER(MATCH(CJ98,{2,3,5,7,11,13,17,19,23,29,31,37,41,43},0)),"소",
   AND(ISNUMBER(CJ98),MOD(CJ98,3)=0),"배",
   AND(ISNUMBER(CJ98),CJ98&gt;0),"자"
)</f>
        <v>배</v>
      </c>
      <c r="DR98" s="26" t="str" cm="1">
        <f t="array" ref="DR98">_xlfn.IFS(
   OR(CK98="",ISBLANK(CK98),CK98=0),0,
   ISNUMBER(MATCH(CK98,{2,3,5,7,11,13,17,19,23,29,31,37,41,43},0)),"소",
   AND(ISNUMBER(CK98),MOD(CK98,3)=0),"배",
   AND(ISNUMBER(CK98),CK98&gt;0),"자"
)</f>
        <v>자</v>
      </c>
      <c r="DS98" s="26" t="str" cm="1">
        <f t="array" ref="DS98">_xlfn.IFS(
   OR(CL98="",ISBLANK(CL98),CL98=0),0,
   ISNUMBER(MATCH(CL98,{2,3,5,7,11,13,17,19,23,29,31,37,41,43},0)),"소",
   AND(ISNUMBER(CL98),MOD(CL98,3)=0),"배",
   AND(ISNUMBER(CL98),CL98&gt;0),"자"
)</f>
        <v>자</v>
      </c>
      <c r="DT98" s="25"/>
    </row>
    <row r="99" spans="2:124" x14ac:dyDescent="0.3">
      <c r="B99" s="3">
        <v>6</v>
      </c>
      <c r="C99" s="3">
        <v>12</v>
      </c>
      <c r="D99" s="3">
        <v>18</v>
      </c>
      <c r="E99" s="3">
        <v>37</v>
      </c>
      <c r="F99" s="3">
        <v>40</v>
      </c>
      <c r="G99" s="3">
        <v>41</v>
      </c>
      <c r="H99" s="32"/>
      <c r="I99" s="3">
        <f t="shared" si="40"/>
        <v>2</v>
      </c>
      <c r="J99" s="3">
        <f t="shared" si="41"/>
        <v>2</v>
      </c>
      <c r="K99" s="3">
        <f t="shared" si="42"/>
        <v>2</v>
      </c>
      <c r="L99" s="3">
        <f t="shared" si="43"/>
        <v>1</v>
      </c>
      <c r="M99" s="3">
        <f t="shared" si="44"/>
        <v>2</v>
      </c>
      <c r="N99" s="3">
        <f t="shared" si="45"/>
        <v>1</v>
      </c>
      <c r="O99" s="32"/>
      <c r="P99" s="3" cm="1">
        <f t="array" ref="P99">SUMPRODUCT(--(MOD(B99:G99,2)=1))</f>
        <v>2</v>
      </c>
      <c r="Q99" s="3">
        <f t="shared" si="46"/>
        <v>4</v>
      </c>
      <c r="R99" s="34"/>
      <c r="S99" s="3">
        <f t="shared" si="47"/>
        <v>3</v>
      </c>
      <c r="T99" s="3">
        <f t="shared" si="48"/>
        <v>3</v>
      </c>
      <c r="U99" s="34"/>
      <c r="V99" s="3" cm="1">
        <f t="array" ref="V99">SUMPRODUCT(--(MOD(B99:G99,10)&gt;=1), --(MOD(B99:G99,10)&lt;=5))</f>
        <v>2</v>
      </c>
      <c r="W99" s="3">
        <f t="shared" si="49"/>
        <v>4</v>
      </c>
      <c r="X99" s="34"/>
      <c r="Y99" s="3" cm="1">
        <f t="array" ref="Y99">IFERROR(COUNT(_xlfn._xlws.FILTER(B99:G99, ISNUMBER(MATCH(B99:G99, {2,3,5,7,11,13,17,19,23,29,31,37,41,43}, 0)))), 0)</f>
        <v>2</v>
      </c>
      <c r="Z99" s="3" cm="1">
        <f t="array" ref="Z99">IFERROR(COUNT(_xlfn._xlws.FILTER(B99:G99, ISNUMBER(MATCH(B99:G99, {1,4,8,10,14,16,20,22,25,26,28,32,34,35,38,40,44}, 0)))), 0)</f>
        <v>1</v>
      </c>
      <c r="AA99" s="3" cm="1">
        <f t="array" ref="AA99">IFERROR(COUNT(_xlfn._xlws.FILTER(B99:G99, ISNUMBER(MATCH(B99:G99, {6,9,12,15,18,21,24,27,30,33,36,39,42,45}, 0)))), 0)</f>
        <v>3</v>
      </c>
      <c r="AB99" s="30"/>
      <c r="AC99" s="26" t="str" cm="1">
        <f t="array" ref="AC99">_xlfn.IFS(
   OR(B99="",ISBLANK(B99),B99=0),0,
   ISNUMBER(MATCH(B99,{2,3,5,7,11,13,17,19,23,29,31,37,41,43},0)),"소",
   AND(ISNUMBER(B99),MOD(B99,3)=0),"배",
   AND(ISNUMBER(B99),B99&gt;0),"자"
)</f>
        <v>배</v>
      </c>
      <c r="AD99" s="26" t="str" cm="1">
        <f t="array" ref="AD99">_xlfn.IFS(
   OR(C99="",ISBLANK(C99),C99=0),0,
   ISNUMBER(MATCH(C99,{2,3,5,7,11,13,17,19,23,29,31,37,41,43},0)),"소",
   AND(ISNUMBER(C99),MOD(C99,3)=0),"배",
   AND(ISNUMBER(C99),C99&gt;0),"자"
)</f>
        <v>배</v>
      </c>
      <c r="AE99" s="26" t="str" cm="1">
        <f t="array" ref="AE99">_xlfn.IFS(
   OR(D99="",ISBLANK(D99),D99=0),0,
   ISNUMBER(MATCH(D99,{2,3,5,7,11,13,17,19,23,29,31,37,41,43},0)),"소",
   AND(ISNUMBER(D99),MOD(D99,3)=0),"배",
   AND(ISNUMBER(D99),D99&gt;0),"자"
)</f>
        <v>배</v>
      </c>
      <c r="AF99" s="26" t="str" cm="1">
        <f t="array" ref="AF99">_xlfn.IFS(
   OR(E99="",ISBLANK(E99),E99=0),0,
   ISNUMBER(MATCH(E99,{2,3,5,7,11,13,17,19,23,29,31,37,41,43},0)),"소",
   AND(ISNUMBER(E99),MOD(E99,3)=0),"배",
   AND(ISNUMBER(E99),E99&gt;0),"자"
)</f>
        <v>소</v>
      </c>
      <c r="AG99" s="26" t="str" cm="1">
        <f t="array" ref="AG99">_xlfn.IFS(
   OR(F99="",ISBLANK(F99),F99=0),0,
   ISNUMBER(MATCH(F99,{2,3,5,7,11,13,17,19,23,29,31,37,41,43},0)),"소",
   AND(ISNUMBER(F99),MOD(F99,3)=0),"배",
   AND(ISNUMBER(F99),F99&gt;0),"자"
)</f>
        <v>자</v>
      </c>
      <c r="AH99" s="26" t="str" cm="1">
        <f t="array" ref="AH99">_xlfn.IFS(
   OR(G99="",ISBLANK(G99),G99=0),0,
   ISNUMBER(MATCH(G99,{2,3,5,7,11,13,17,19,23,29,31,37,41,43},0)),"소",
   AND(ISNUMBER(G99),MOD(G99,3)=0),"배",
   AND(ISNUMBER(G99),G99&gt;0),"자"
)</f>
        <v>소</v>
      </c>
      <c r="AI99" s="30"/>
      <c r="AJ99" s="3">
        <f t="shared" si="50"/>
        <v>2</v>
      </c>
      <c r="AK99" s="3">
        <f t="shared" si="51"/>
        <v>1</v>
      </c>
      <c r="AL99" s="3">
        <f t="shared" si="52"/>
        <v>3</v>
      </c>
      <c r="AM99" s="33"/>
      <c r="AN99" s="3">
        <f t="shared" si="53"/>
        <v>1</v>
      </c>
      <c r="AO99" s="3">
        <f t="shared" si="54"/>
        <v>2</v>
      </c>
      <c r="AP99" s="3">
        <f t="shared" si="55"/>
        <v>0</v>
      </c>
      <c r="AQ99" s="3">
        <f t="shared" si="56"/>
        <v>0</v>
      </c>
      <c r="AR99" s="3">
        <f t="shared" si="57"/>
        <v>3</v>
      </c>
      <c r="AS99" s="28" t="e">
        <f>#REF!</f>
        <v>#REF!</v>
      </c>
      <c r="AT99" s="28" t="e">
        <f>#REF!*2</f>
        <v>#REF!</v>
      </c>
      <c r="AU99" s="28" t="e">
        <f>#REF!</f>
        <v>#REF!</v>
      </c>
      <c r="AV99" s="28" t="e">
        <f>#REF!*2</f>
        <v>#REF!</v>
      </c>
      <c r="AW99" s="28" t="e">
        <f>#REF!</f>
        <v>#REF!</v>
      </c>
      <c r="AX99" s="28" t="e">
        <f>#REF!*2</f>
        <v>#REF!</v>
      </c>
      <c r="AY99" s="28" t="e">
        <f>#REF!</f>
        <v>#REF!</v>
      </c>
      <c r="AZ99" s="28" t="e">
        <f>#REF!*2</f>
        <v>#REF!</v>
      </c>
      <c r="BA99" s="28" t="e">
        <f>#REF!</f>
        <v>#REF!</v>
      </c>
      <c r="BB99" s="28" t="e">
        <f>#REF!*2</f>
        <v>#REF!</v>
      </c>
      <c r="BC99" s="28" t="e">
        <f>#REF!</f>
        <v>#REF!</v>
      </c>
      <c r="BD99" s="28" t="e">
        <f>#REF!*2</f>
        <v>#REF!</v>
      </c>
      <c r="BE99" s="9" t="e">
        <f>#REF!-#REF!</f>
        <v>#REF!</v>
      </c>
      <c r="BF99" s="9" t="e">
        <f>#REF!-#REF!</f>
        <v>#REF!</v>
      </c>
      <c r="BG99" s="9" t="e">
        <f>#REF!-#REF!</f>
        <v>#REF!</v>
      </c>
      <c r="BH99" s="9" t="e">
        <f>#REF!-#REF!</f>
        <v>#REF!</v>
      </c>
      <c r="BI99" s="9" t="e">
        <f>#REF!-#REF!</f>
        <v>#REF!</v>
      </c>
      <c r="BJ99" s="33"/>
      <c r="BK99" s="3">
        <f t="shared" si="58"/>
        <v>1</v>
      </c>
      <c r="BL99" s="3">
        <f t="shared" si="59"/>
        <v>2</v>
      </c>
      <c r="BM99" s="3">
        <f t="shared" si="60"/>
        <v>0</v>
      </c>
      <c r="BN99" s="3">
        <f t="shared" si="61"/>
        <v>1</v>
      </c>
      <c r="BO99" s="3">
        <f t="shared" si="62"/>
        <v>2</v>
      </c>
      <c r="BP99" s="28" t="e">
        <f>#REF!</f>
        <v>#REF!</v>
      </c>
      <c r="BQ99" s="28" t="e">
        <f>#REF!*2</f>
        <v>#REF!</v>
      </c>
      <c r="BR99" s="28" t="e">
        <f>#REF!</f>
        <v>#REF!</v>
      </c>
      <c r="BS99" s="28" t="e">
        <f>#REF!*2</f>
        <v>#REF!</v>
      </c>
      <c r="BT99" s="28" t="e">
        <f>#REF!</f>
        <v>#REF!</v>
      </c>
      <c r="BU99" s="28" t="e">
        <f>#REF!*2</f>
        <v>#REF!</v>
      </c>
      <c r="BV99" s="28" t="e">
        <f>#REF!</f>
        <v>#REF!</v>
      </c>
      <c r="BW99" s="28" t="e">
        <f>#REF!*2</f>
        <v>#REF!</v>
      </c>
      <c r="BX99" s="28" t="e">
        <f>#REF!</f>
        <v>#REF!</v>
      </c>
      <c r="BY99" s="28" t="e">
        <f>#REF!*2</f>
        <v>#REF!</v>
      </c>
      <c r="BZ99" s="28" t="e">
        <f>#REF!</f>
        <v>#REF!</v>
      </c>
      <c r="CA99" s="28" t="e">
        <f>#REF!*2</f>
        <v>#REF!</v>
      </c>
      <c r="CB99" s="9">
        <f t="shared" si="63"/>
        <v>6</v>
      </c>
      <c r="CC99" s="9">
        <f t="shared" si="64"/>
        <v>6</v>
      </c>
      <c r="CD99" s="9">
        <f t="shared" si="65"/>
        <v>19</v>
      </c>
      <c r="CE99" s="9">
        <f t="shared" si="66"/>
        <v>3</v>
      </c>
      <c r="CF99" s="9">
        <f t="shared" si="67"/>
        <v>1</v>
      </c>
      <c r="CG99" s="33"/>
      <c r="CH99" s="9">
        <f t="shared" si="68"/>
        <v>6</v>
      </c>
      <c r="CI99" s="9">
        <f t="shared" si="69"/>
        <v>6</v>
      </c>
      <c r="CJ99" s="9">
        <f t="shared" si="70"/>
        <v>19</v>
      </c>
      <c r="CK99" s="9">
        <f t="shared" si="71"/>
        <v>3</v>
      </c>
      <c r="CL99" s="9">
        <f t="shared" si="72"/>
        <v>1</v>
      </c>
      <c r="CM99" s="32"/>
      <c r="CN99" s="3">
        <f t="shared" si="73"/>
        <v>2</v>
      </c>
      <c r="CO99" s="3">
        <f t="shared" si="74"/>
        <v>2</v>
      </c>
      <c r="CP99" s="3">
        <f t="shared" si="75"/>
        <v>1</v>
      </c>
      <c r="CQ99" s="3">
        <f t="shared" si="76"/>
        <v>1</v>
      </c>
      <c r="CR99" s="3">
        <f t="shared" si="77"/>
        <v>1</v>
      </c>
      <c r="CS99" s="31"/>
      <c r="CT99" s="3" cm="1">
        <f t="array" ref="CT99">SUMPRODUCT(--(MOD(CH99:CL99,2)=1))</f>
        <v>3</v>
      </c>
      <c r="CU99" s="3">
        <f t="shared" si="78"/>
        <v>2</v>
      </c>
      <c r="CV99" s="30"/>
      <c r="CW99" s="3" cm="1">
        <f t="array" ref="CW99">SUMPRODUCT(--(MOD(CH99:CL99,10)&gt;=1), --(MOD(CH99:CL99,10)&lt;=5))</f>
        <v>2</v>
      </c>
      <c r="CX99" s="3">
        <f t="shared" si="79"/>
        <v>3</v>
      </c>
      <c r="CY99" s="30"/>
      <c r="CZ99" s="3" cm="1">
        <f t="array" ref="CZ99">IFERROR(COUNT(_xlfn._xlws.FILTER(CH99:CL99, ISNUMBER(MATCH(CH99:CL99, {2,3,5,7,11,13,17,19,23,29,31,37,41,43}, 0)))), 0)</f>
        <v>2</v>
      </c>
      <c r="DA99" s="3" cm="1">
        <f t="array" ref="DA99">IFERROR(COUNT(_xlfn._xlws.FILTER(CH99:CL99, ISNUMBER(MATCH(CH99:CL99, {1,4,8,10,14,16,20,22,25,26,28,32,34,35,38,40,44}, 0)))), 0)</f>
        <v>1</v>
      </c>
      <c r="DB99" s="3" cm="1">
        <f t="array" ref="DB99">IFERROR(COUNT(_xlfn._xlws.FILTER(CH99:CL99, ISNUMBER(MATCH(CH99:CL99, {6,9,12,15,18,21,24,27,30,33,36,39,42,45}, 0)))), 0)</f>
        <v>2</v>
      </c>
      <c r="DC99" s="29"/>
      <c r="DD99" s="28" t="e">
        <f>#REF!</f>
        <v>#REF!</v>
      </c>
      <c r="DE99" s="28" t="e">
        <f>#REF!*2</f>
        <v>#REF!</v>
      </c>
      <c r="DF99" s="28" t="e">
        <f>#REF!</f>
        <v>#REF!</v>
      </c>
      <c r="DG99" s="28" t="e">
        <f>#REF!*2</f>
        <v>#REF!</v>
      </c>
      <c r="DH99" s="28" t="e">
        <f>#REF!</f>
        <v>#REF!</v>
      </c>
      <c r="DI99" s="28" t="e">
        <f>#REF!*2</f>
        <v>#REF!</v>
      </c>
      <c r="DJ99" s="28" t="e">
        <f>#REF!</f>
        <v>#REF!</v>
      </c>
      <c r="DK99" s="28" t="e">
        <f>#REF!*2</f>
        <v>#REF!</v>
      </c>
      <c r="DL99" s="28" t="e">
        <f>#REF!</f>
        <v>#REF!</v>
      </c>
      <c r="DM99" s="28" t="e">
        <f>#REF!*2</f>
        <v>#REF!</v>
      </c>
      <c r="DN99" s="27"/>
      <c r="DO99" s="26" t="str" cm="1">
        <f t="array" ref="DO99">_xlfn.IFS(
   OR(CH99="",ISBLANK(CH99),CH99=0),0,
   ISNUMBER(MATCH(CH99,{2,3,5,7,11,13,17,19,23,29,31,37,41,43},0)),"소",
   AND(ISNUMBER(CH99),MOD(CH99,3)=0),"배",
   AND(ISNUMBER(CH99),CH99&gt;0),"자"
)</f>
        <v>배</v>
      </c>
      <c r="DP99" s="26" t="str" cm="1">
        <f t="array" ref="DP99">_xlfn.IFS(
   OR(CI99="",ISBLANK(CI99),CI99=0),0,
   ISNUMBER(MATCH(CI99,{2,3,5,7,11,13,17,19,23,29,31,37,41,43},0)),"소",
   AND(ISNUMBER(CI99),MOD(CI99,3)=0),"배",
   AND(ISNUMBER(CI99),CI99&gt;0),"자"
)</f>
        <v>배</v>
      </c>
      <c r="DQ99" s="26" t="str" cm="1">
        <f t="array" ref="DQ99">_xlfn.IFS(
   OR(CJ99="",ISBLANK(CJ99),CJ99=0),0,
   ISNUMBER(MATCH(CJ99,{2,3,5,7,11,13,17,19,23,29,31,37,41,43},0)),"소",
   AND(ISNUMBER(CJ99),MOD(CJ99,3)=0),"배",
   AND(ISNUMBER(CJ99),CJ99&gt;0),"자"
)</f>
        <v>소</v>
      </c>
      <c r="DR99" s="26" t="str" cm="1">
        <f t="array" ref="DR99">_xlfn.IFS(
   OR(CK99="",ISBLANK(CK99),CK99=0),0,
   ISNUMBER(MATCH(CK99,{2,3,5,7,11,13,17,19,23,29,31,37,41,43},0)),"소",
   AND(ISNUMBER(CK99),MOD(CK99,3)=0),"배",
   AND(ISNUMBER(CK99),CK99&gt;0),"자"
)</f>
        <v>소</v>
      </c>
      <c r="DS99" s="26" t="str" cm="1">
        <f t="array" ref="DS99">_xlfn.IFS(
   OR(CL99="",ISBLANK(CL99),CL99=0),0,
   ISNUMBER(MATCH(CL99,{2,3,5,7,11,13,17,19,23,29,31,37,41,43},0)),"소",
   AND(ISNUMBER(CL99),MOD(CL99,3)=0),"배",
   AND(ISNUMBER(CL99),CL99&gt;0),"자"
)</f>
        <v>자</v>
      </c>
      <c r="DT99" s="25"/>
    </row>
    <row r="100" spans="2:124" x14ac:dyDescent="0.3">
      <c r="B100" s="3">
        <v>8</v>
      </c>
      <c r="C100" s="3">
        <v>10</v>
      </c>
      <c r="D100" s="3">
        <v>14</v>
      </c>
      <c r="E100" s="3">
        <v>20</v>
      </c>
      <c r="F100" s="3">
        <v>33</v>
      </c>
      <c r="G100" s="3">
        <v>41</v>
      </c>
      <c r="H100" s="32"/>
      <c r="I100" s="3">
        <f t="shared" si="40"/>
        <v>2</v>
      </c>
      <c r="J100" s="3">
        <f t="shared" si="41"/>
        <v>2</v>
      </c>
      <c r="K100" s="3">
        <f t="shared" si="42"/>
        <v>2</v>
      </c>
      <c r="L100" s="3">
        <f t="shared" si="43"/>
        <v>2</v>
      </c>
      <c r="M100" s="3">
        <f t="shared" si="44"/>
        <v>1</v>
      </c>
      <c r="N100" s="3">
        <f t="shared" si="45"/>
        <v>1</v>
      </c>
      <c r="O100" s="32"/>
      <c r="P100" s="3" cm="1">
        <f t="array" ref="P100">SUMPRODUCT(--(MOD(B100:G100,2)=1))</f>
        <v>2</v>
      </c>
      <c r="Q100" s="3">
        <f t="shared" si="46"/>
        <v>4</v>
      </c>
      <c r="R100" s="34"/>
      <c r="S100" s="3">
        <f t="shared" si="47"/>
        <v>4</v>
      </c>
      <c r="T100" s="3">
        <f t="shared" si="48"/>
        <v>2</v>
      </c>
      <c r="U100" s="34"/>
      <c r="V100" s="3" cm="1">
        <f t="array" ref="V100">SUMPRODUCT(--(MOD(B100:G100,10)&gt;=1), --(MOD(B100:G100,10)&lt;=5))</f>
        <v>3</v>
      </c>
      <c r="W100" s="3">
        <f t="shared" si="49"/>
        <v>3</v>
      </c>
      <c r="X100" s="34"/>
      <c r="Y100" s="3" cm="1">
        <f t="array" ref="Y100">IFERROR(COUNT(_xlfn._xlws.FILTER(B100:G100, ISNUMBER(MATCH(B100:G100, {2,3,5,7,11,13,17,19,23,29,31,37,41,43}, 0)))), 0)</f>
        <v>1</v>
      </c>
      <c r="Z100" s="3" cm="1">
        <f t="array" ref="Z100">IFERROR(COUNT(_xlfn._xlws.FILTER(B100:G100, ISNUMBER(MATCH(B100:G100, {1,4,8,10,14,16,20,22,25,26,28,32,34,35,38,40,44}, 0)))), 0)</f>
        <v>4</v>
      </c>
      <c r="AA100" s="3" cm="1">
        <f t="array" ref="AA100">IFERROR(COUNT(_xlfn._xlws.FILTER(B100:G100, ISNUMBER(MATCH(B100:G100, {6,9,12,15,18,21,24,27,30,33,36,39,42,45}, 0)))), 0)</f>
        <v>1</v>
      </c>
      <c r="AB100" s="30"/>
      <c r="AC100" s="26" t="str" cm="1">
        <f t="array" ref="AC100">_xlfn.IFS(
   OR(B100="",ISBLANK(B100),B100=0),0,
   ISNUMBER(MATCH(B100,{2,3,5,7,11,13,17,19,23,29,31,37,41,43},0)),"소",
   AND(ISNUMBER(B100),MOD(B100,3)=0),"배",
   AND(ISNUMBER(B100),B100&gt;0),"자"
)</f>
        <v>자</v>
      </c>
      <c r="AD100" s="26" t="str" cm="1">
        <f t="array" ref="AD100">_xlfn.IFS(
   OR(C100="",ISBLANK(C100),C100=0),0,
   ISNUMBER(MATCH(C100,{2,3,5,7,11,13,17,19,23,29,31,37,41,43},0)),"소",
   AND(ISNUMBER(C100),MOD(C100,3)=0),"배",
   AND(ISNUMBER(C100),C100&gt;0),"자"
)</f>
        <v>자</v>
      </c>
      <c r="AE100" s="26" t="str" cm="1">
        <f t="array" ref="AE100">_xlfn.IFS(
   OR(D100="",ISBLANK(D100),D100=0),0,
   ISNUMBER(MATCH(D100,{2,3,5,7,11,13,17,19,23,29,31,37,41,43},0)),"소",
   AND(ISNUMBER(D100),MOD(D100,3)=0),"배",
   AND(ISNUMBER(D100),D100&gt;0),"자"
)</f>
        <v>자</v>
      </c>
      <c r="AF100" s="26" t="str" cm="1">
        <f t="array" ref="AF100">_xlfn.IFS(
   OR(E100="",ISBLANK(E100),E100=0),0,
   ISNUMBER(MATCH(E100,{2,3,5,7,11,13,17,19,23,29,31,37,41,43},0)),"소",
   AND(ISNUMBER(E100),MOD(E100,3)=0),"배",
   AND(ISNUMBER(E100),E100&gt;0),"자"
)</f>
        <v>자</v>
      </c>
      <c r="AG100" s="26" t="str" cm="1">
        <f t="array" ref="AG100">_xlfn.IFS(
   OR(F100="",ISBLANK(F100),F100=0),0,
   ISNUMBER(MATCH(F100,{2,3,5,7,11,13,17,19,23,29,31,37,41,43},0)),"소",
   AND(ISNUMBER(F100),MOD(F100,3)=0),"배",
   AND(ISNUMBER(F100),F100&gt;0),"자"
)</f>
        <v>배</v>
      </c>
      <c r="AH100" s="26" t="str" cm="1">
        <f t="array" ref="AH100">_xlfn.IFS(
   OR(G100="",ISBLANK(G100),G100=0),0,
   ISNUMBER(MATCH(G100,{2,3,5,7,11,13,17,19,23,29,31,37,41,43},0)),"소",
   AND(ISNUMBER(G100),MOD(G100,3)=0),"배",
   AND(ISNUMBER(G100),G100&gt;0),"자"
)</f>
        <v>소</v>
      </c>
      <c r="AI100" s="30"/>
      <c r="AJ100" s="3">
        <f t="shared" si="50"/>
        <v>3</v>
      </c>
      <c r="AK100" s="3">
        <f t="shared" si="51"/>
        <v>1</v>
      </c>
      <c r="AL100" s="3">
        <f t="shared" si="52"/>
        <v>2</v>
      </c>
      <c r="AM100" s="33"/>
      <c r="AN100" s="3">
        <f t="shared" si="53"/>
        <v>1</v>
      </c>
      <c r="AO100" s="3">
        <f t="shared" si="54"/>
        <v>2</v>
      </c>
      <c r="AP100" s="3">
        <f t="shared" si="55"/>
        <v>1</v>
      </c>
      <c r="AQ100" s="3">
        <f t="shared" si="56"/>
        <v>1</v>
      </c>
      <c r="AR100" s="3">
        <f t="shared" si="57"/>
        <v>1</v>
      </c>
      <c r="AS100" s="28" t="e">
        <f>#REF!</f>
        <v>#REF!</v>
      </c>
      <c r="AT100" s="28" t="e">
        <f>#REF!*2</f>
        <v>#REF!</v>
      </c>
      <c r="AU100" s="28" t="e">
        <f>#REF!</f>
        <v>#REF!</v>
      </c>
      <c r="AV100" s="28" t="e">
        <f>#REF!*2</f>
        <v>#REF!</v>
      </c>
      <c r="AW100" s="28" t="e">
        <f>#REF!</f>
        <v>#REF!</v>
      </c>
      <c r="AX100" s="28" t="e">
        <f>#REF!*2</f>
        <v>#REF!</v>
      </c>
      <c r="AY100" s="28" t="e">
        <f>#REF!</f>
        <v>#REF!</v>
      </c>
      <c r="AZ100" s="28" t="e">
        <f>#REF!*2</f>
        <v>#REF!</v>
      </c>
      <c r="BA100" s="28" t="e">
        <f>#REF!</f>
        <v>#REF!</v>
      </c>
      <c r="BB100" s="28" t="e">
        <f>#REF!*2</f>
        <v>#REF!</v>
      </c>
      <c r="BC100" s="28" t="e">
        <f>#REF!</f>
        <v>#REF!</v>
      </c>
      <c r="BD100" s="28" t="e">
        <f>#REF!*2</f>
        <v>#REF!</v>
      </c>
      <c r="BE100" s="9" t="e">
        <f>#REF!-#REF!</f>
        <v>#REF!</v>
      </c>
      <c r="BF100" s="9" t="e">
        <f>#REF!-#REF!</f>
        <v>#REF!</v>
      </c>
      <c r="BG100" s="9" t="e">
        <f>#REF!-#REF!</f>
        <v>#REF!</v>
      </c>
      <c r="BH100" s="9" t="e">
        <f>#REF!-#REF!</f>
        <v>#REF!</v>
      </c>
      <c r="BI100" s="9" t="e">
        <f>#REF!-#REF!</f>
        <v>#REF!</v>
      </c>
      <c r="BJ100" s="33"/>
      <c r="BK100" s="3">
        <f t="shared" si="58"/>
        <v>1</v>
      </c>
      <c r="BL100" s="3">
        <f t="shared" si="59"/>
        <v>2</v>
      </c>
      <c r="BM100" s="3">
        <f t="shared" si="60"/>
        <v>1</v>
      </c>
      <c r="BN100" s="3">
        <f t="shared" si="61"/>
        <v>1</v>
      </c>
      <c r="BO100" s="3">
        <f t="shared" si="62"/>
        <v>1</v>
      </c>
      <c r="BP100" s="28" t="e">
        <f>#REF!</f>
        <v>#REF!</v>
      </c>
      <c r="BQ100" s="28" t="e">
        <f>#REF!*2</f>
        <v>#REF!</v>
      </c>
      <c r="BR100" s="28" t="e">
        <f>#REF!</f>
        <v>#REF!</v>
      </c>
      <c r="BS100" s="28" t="e">
        <f>#REF!*2</f>
        <v>#REF!</v>
      </c>
      <c r="BT100" s="28" t="e">
        <f>#REF!</f>
        <v>#REF!</v>
      </c>
      <c r="BU100" s="28" t="e">
        <f>#REF!*2</f>
        <v>#REF!</v>
      </c>
      <c r="BV100" s="28" t="e">
        <f>#REF!</f>
        <v>#REF!</v>
      </c>
      <c r="BW100" s="28" t="e">
        <f>#REF!*2</f>
        <v>#REF!</v>
      </c>
      <c r="BX100" s="28" t="e">
        <f>#REF!</f>
        <v>#REF!</v>
      </c>
      <c r="BY100" s="28" t="e">
        <f>#REF!*2</f>
        <v>#REF!</v>
      </c>
      <c r="BZ100" s="28" t="e">
        <f>#REF!</f>
        <v>#REF!</v>
      </c>
      <c r="CA100" s="28" t="e">
        <f>#REF!*2</f>
        <v>#REF!</v>
      </c>
      <c r="CB100" s="9">
        <f t="shared" si="63"/>
        <v>2</v>
      </c>
      <c r="CC100" s="9">
        <f t="shared" si="64"/>
        <v>4</v>
      </c>
      <c r="CD100" s="9">
        <f t="shared" si="65"/>
        <v>6</v>
      </c>
      <c r="CE100" s="9">
        <f t="shared" si="66"/>
        <v>13</v>
      </c>
      <c r="CF100" s="9">
        <f t="shared" si="67"/>
        <v>8</v>
      </c>
      <c r="CG100" s="33"/>
      <c r="CH100" s="9">
        <f t="shared" si="68"/>
        <v>2</v>
      </c>
      <c r="CI100" s="9">
        <f t="shared" si="69"/>
        <v>4</v>
      </c>
      <c r="CJ100" s="9">
        <f t="shared" si="70"/>
        <v>6</v>
      </c>
      <c r="CK100" s="9">
        <f t="shared" si="71"/>
        <v>13</v>
      </c>
      <c r="CL100" s="9">
        <f t="shared" si="72"/>
        <v>8</v>
      </c>
      <c r="CM100" s="32"/>
      <c r="CN100" s="3">
        <f t="shared" si="73"/>
        <v>2</v>
      </c>
      <c r="CO100" s="3">
        <f t="shared" si="74"/>
        <v>2</v>
      </c>
      <c r="CP100" s="3">
        <f t="shared" si="75"/>
        <v>2</v>
      </c>
      <c r="CQ100" s="3">
        <f t="shared" si="76"/>
        <v>1</v>
      </c>
      <c r="CR100" s="3">
        <f t="shared" si="77"/>
        <v>2</v>
      </c>
      <c r="CS100" s="31"/>
      <c r="CT100" s="3" cm="1">
        <f t="array" ref="CT100">SUMPRODUCT(--(MOD(CH100:CL100,2)=1))</f>
        <v>1</v>
      </c>
      <c r="CU100" s="3">
        <f t="shared" si="78"/>
        <v>4</v>
      </c>
      <c r="CV100" s="30"/>
      <c r="CW100" s="3" cm="1">
        <f t="array" ref="CW100">SUMPRODUCT(--(MOD(CH100:CL100,10)&gt;=1), --(MOD(CH100:CL100,10)&lt;=5))</f>
        <v>3</v>
      </c>
      <c r="CX100" s="3">
        <f t="shared" si="79"/>
        <v>2</v>
      </c>
      <c r="CY100" s="30"/>
      <c r="CZ100" s="3" cm="1">
        <f t="array" ref="CZ100">IFERROR(COUNT(_xlfn._xlws.FILTER(CH100:CL100, ISNUMBER(MATCH(CH100:CL100, {2,3,5,7,11,13,17,19,23,29,31,37,41,43}, 0)))), 0)</f>
        <v>2</v>
      </c>
      <c r="DA100" s="3" cm="1">
        <f t="array" ref="DA100">IFERROR(COUNT(_xlfn._xlws.FILTER(CH100:CL100, ISNUMBER(MATCH(CH100:CL100, {1,4,8,10,14,16,20,22,25,26,28,32,34,35,38,40,44}, 0)))), 0)</f>
        <v>2</v>
      </c>
      <c r="DB100" s="3" cm="1">
        <f t="array" ref="DB100">IFERROR(COUNT(_xlfn._xlws.FILTER(CH100:CL100, ISNUMBER(MATCH(CH100:CL100, {6,9,12,15,18,21,24,27,30,33,36,39,42,45}, 0)))), 0)</f>
        <v>1</v>
      </c>
      <c r="DC100" s="29"/>
      <c r="DD100" s="28" t="e">
        <f>#REF!</f>
        <v>#REF!</v>
      </c>
      <c r="DE100" s="28" t="e">
        <f>#REF!*2</f>
        <v>#REF!</v>
      </c>
      <c r="DF100" s="28" t="e">
        <f>#REF!</f>
        <v>#REF!</v>
      </c>
      <c r="DG100" s="28" t="e">
        <f>#REF!*2</f>
        <v>#REF!</v>
      </c>
      <c r="DH100" s="28" t="e">
        <f>#REF!</f>
        <v>#REF!</v>
      </c>
      <c r="DI100" s="28" t="e">
        <f>#REF!*2</f>
        <v>#REF!</v>
      </c>
      <c r="DJ100" s="28" t="e">
        <f>#REF!</f>
        <v>#REF!</v>
      </c>
      <c r="DK100" s="28" t="e">
        <f>#REF!*2</f>
        <v>#REF!</v>
      </c>
      <c r="DL100" s="28" t="e">
        <f>#REF!</f>
        <v>#REF!</v>
      </c>
      <c r="DM100" s="28" t="e">
        <f>#REF!*2</f>
        <v>#REF!</v>
      </c>
      <c r="DN100" s="27"/>
      <c r="DO100" s="26" t="str" cm="1">
        <f t="array" ref="DO100">_xlfn.IFS(
   OR(CH100="",ISBLANK(CH100),CH100=0),0,
   ISNUMBER(MATCH(CH100,{2,3,5,7,11,13,17,19,23,29,31,37,41,43},0)),"소",
   AND(ISNUMBER(CH100),MOD(CH100,3)=0),"배",
   AND(ISNUMBER(CH100),CH100&gt;0),"자"
)</f>
        <v>소</v>
      </c>
      <c r="DP100" s="26" t="str" cm="1">
        <f t="array" ref="DP100">_xlfn.IFS(
   OR(CI100="",ISBLANK(CI100),CI100=0),0,
   ISNUMBER(MATCH(CI100,{2,3,5,7,11,13,17,19,23,29,31,37,41,43},0)),"소",
   AND(ISNUMBER(CI100),MOD(CI100,3)=0),"배",
   AND(ISNUMBER(CI100),CI100&gt;0),"자"
)</f>
        <v>자</v>
      </c>
      <c r="DQ100" s="26" t="str" cm="1">
        <f t="array" ref="DQ100">_xlfn.IFS(
   OR(CJ100="",ISBLANK(CJ100),CJ100=0),0,
   ISNUMBER(MATCH(CJ100,{2,3,5,7,11,13,17,19,23,29,31,37,41,43},0)),"소",
   AND(ISNUMBER(CJ100),MOD(CJ100,3)=0),"배",
   AND(ISNUMBER(CJ100),CJ100&gt;0),"자"
)</f>
        <v>배</v>
      </c>
      <c r="DR100" s="26" t="str" cm="1">
        <f t="array" ref="DR100">_xlfn.IFS(
   OR(CK100="",ISBLANK(CK100),CK100=0),0,
   ISNUMBER(MATCH(CK100,{2,3,5,7,11,13,17,19,23,29,31,37,41,43},0)),"소",
   AND(ISNUMBER(CK100),MOD(CK100,3)=0),"배",
   AND(ISNUMBER(CK100),CK100&gt;0),"자"
)</f>
        <v>소</v>
      </c>
      <c r="DS100" s="26" t="str" cm="1">
        <f t="array" ref="DS100">_xlfn.IFS(
   OR(CL100="",ISBLANK(CL100),CL100=0),0,
   ISNUMBER(MATCH(CL100,{2,3,5,7,11,13,17,19,23,29,31,37,41,43},0)),"소",
   AND(ISNUMBER(CL100),MOD(CL100,3)=0),"배",
   AND(ISNUMBER(CL100),CL100&gt;0),"자"
)</f>
        <v>자</v>
      </c>
      <c r="DT100" s="25"/>
    </row>
    <row r="101" spans="2:124" x14ac:dyDescent="0.3">
      <c r="B101" s="3">
        <v>1</v>
      </c>
      <c r="C101" s="3">
        <v>13</v>
      </c>
      <c r="D101" s="3">
        <v>21</v>
      </c>
      <c r="E101" s="3">
        <v>25</v>
      </c>
      <c r="F101" s="3">
        <v>28</v>
      </c>
      <c r="G101" s="3">
        <v>31</v>
      </c>
      <c r="H101" s="32"/>
      <c r="I101" s="3">
        <f t="shared" si="40"/>
        <v>1</v>
      </c>
      <c r="J101" s="3">
        <f t="shared" si="41"/>
        <v>1</v>
      </c>
      <c r="K101" s="3">
        <f t="shared" si="42"/>
        <v>1</v>
      </c>
      <c r="L101" s="3">
        <f t="shared" si="43"/>
        <v>1</v>
      </c>
      <c r="M101" s="3">
        <f t="shared" si="44"/>
        <v>2</v>
      </c>
      <c r="N101" s="3">
        <f t="shared" si="45"/>
        <v>1</v>
      </c>
      <c r="O101" s="32"/>
      <c r="P101" s="3" cm="1">
        <f t="array" ref="P101">SUMPRODUCT(--(MOD(B101:G101,2)=1))</f>
        <v>5</v>
      </c>
      <c r="Q101" s="3">
        <f t="shared" si="46"/>
        <v>1</v>
      </c>
      <c r="R101" s="34"/>
      <c r="S101" s="3">
        <f t="shared" si="47"/>
        <v>3</v>
      </c>
      <c r="T101" s="3">
        <f t="shared" si="48"/>
        <v>3</v>
      </c>
      <c r="U101" s="34"/>
      <c r="V101" s="3" cm="1">
        <f t="array" ref="V101">SUMPRODUCT(--(MOD(B101:G101,10)&gt;=1), --(MOD(B101:G101,10)&lt;=5))</f>
        <v>5</v>
      </c>
      <c r="W101" s="3">
        <f t="shared" si="49"/>
        <v>1</v>
      </c>
      <c r="X101" s="34"/>
      <c r="Y101" s="3" cm="1">
        <f t="array" ref="Y101">IFERROR(COUNT(_xlfn._xlws.FILTER(B101:G101, ISNUMBER(MATCH(B101:G101, {2,3,5,7,11,13,17,19,23,29,31,37,41,43}, 0)))), 0)</f>
        <v>2</v>
      </c>
      <c r="Z101" s="3" cm="1">
        <f t="array" ref="Z101">IFERROR(COUNT(_xlfn._xlws.FILTER(B101:G101, ISNUMBER(MATCH(B101:G101, {1,4,8,10,14,16,20,22,25,26,28,32,34,35,38,40,44}, 0)))), 0)</f>
        <v>3</v>
      </c>
      <c r="AA101" s="3" cm="1">
        <f t="array" ref="AA101">IFERROR(COUNT(_xlfn._xlws.FILTER(B101:G101, ISNUMBER(MATCH(B101:G101, {6,9,12,15,18,21,24,27,30,33,36,39,42,45}, 0)))), 0)</f>
        <v>1</v>
      </c>
      <c r="AB101" s="30"/>
      <c r="AC101" s="26" t="str" cm="1">
        <f t="array" ref="AC101">_xlfn.IFS(
   OR(B101="",ISBLANK(B101),B101=0),0,
   ISNUMBER(MATCH(B101,{2,3,5,7,11,13,17,19,23,29,31,37,41,43},0)),"소",
   AND(ISNUMBER(B101),MOD(B101,3)=0),"배",
   AND(ISNUMBER(B101),B101&gt;0),"자"
)</f>
        <v>자</v>
      </c>
      <c r="AD101" s="26" t="str" cm="1">
        <f t="array" ref="AD101">_xlfn.IFS(
   OR(C101="",ISBLANK(C101),C101=0),0,
   ISNUMBER(MATCH(C101,{2,3,5,7,11,13,17,19,23,29,31,37,41,43},0)),"소",
   AND(ISNUMBER(C101),MOD(C101,3)=0),"배",
   AND(ISNUMBER(C101),C101&gt;0),"자"
)</f>
        <v>소</v>
      </c>
      <c r="AE101" s="26" t="str" cm="1">
        <f t="array" ref="AE101">_xlfn.IFS(
   OR(D101="",ISBLANK(D101),D101=0),0,
   ISNUMBER(MATCH(D101,{2,3,5,7,11,13,17,19,23,29,31,37,41,43},0)),"소",
   AND(ISNUMBER(D101),MOD(D101,3)=0),"배",
   AND(ISNUMBER(D101),D101&gt;0),"자"
)</f>
        <v>배</v>
      </c>
      <c r="AF101" s="26" t="str" cm="1">
        <f t="array" ref="AF101">_xlfn.IFS(
   OR(E101="",ISBLANK(E101),E101=0),0,
   ISNUMBER(MATCH(E101,{2,3,5,7,11,13,17,19,23,29,31,37,41,43},0)),"소",
   AND(ISNUMBER(E101),MOD(E101,3)=0),"배",
   AND(ISNUMBER(E101),E101&gt;0),"자"
)</f>
        <v>자</v>
      </c>
      <c r="AG101" s="26" t="str" cm="1">
        <f t="array" ref="AG101">_xlfn.IFS(
   OR(F101="",ISBLANK(F101),F101=0),0,
   ISNUMBER(MATCH(F101,{2,3,5,7,11,13,17,19,23,29,31,37,41,43},0)),"소",
   AND(ISNUMBER(F101),MOD(F101,3)=0),"배",
   AND(ISNUMBER(F101),F101&gt;0),"자"
)</f>
        <v>자</v>
      </c>
      <c r="AH101" s="26" t="str" cm="1">
        <f t="array" ref="AH101">_xlfn.IFS(
   OR(G101="",ISBLANK(G101),G101=0),0,
   ISNUMBER(MATCH(G101,{2,3,5,7,11,13,17,19,23,29,31,37,41,43},0)),"소",
   AND(ISNUMBER(G101),MOD(G101,3)=0),"배",
   AND(ISNUMBER(G101),G101&gt;0),"자"
)</f>
        <v>소</v>
      </c>
      <c r="AI101" s="30"/>
      <c r="AJ101" s="3">
        <f t="shared" si="50"/>
        <v>2</v>
      </c>
      <c r="AK101" s="3">
        <f t="shared" si="51"/>
        <v>4</v>
      </c>
      <c r="AL101" s="3">
        <f t="shared" si="52"/>
        <v>0</v>
      </c>
      <c r="AM101" s="33"/>
      <c r="AN101" s="3">
        <f t="shared" si="53"/>
        <v>1</v>
      </c>
      <c r="AO101" s="3">
        <f t="shared" si="54"/>
        <v>1</v>
      </c>
      <c r="AP101" s="3">
        <f t="shared" si="55"/>
        <v>2</v>
      </c>
      <c r="AQ101" s="3">
        <f t="shared" si="56"/>
        <v>2</v>
      </c>
      <c r="AR101" s="3">
        <f t="shared" si="57"/>
        <v>0</v>
      </c>
      <c r="AS101" s="28" t="e">
        <f>#REF!</f>
        <v>#REF!</v>
      </c>
      <c r="AT101" s="28" t="e">
        <f>#REF!*2</f>
        <v>#REF!</v>
      </c>
      <c r="AU101" s="28" t="e">
        <f>#REF!</f>
        <v>#REF!</v>
      </c>
      <c r="AV101" s="28" t="e">
        <f>#REF!*2</f>
        <v>#REF!</v>
      </c>
      <c r="AW101" s="28" t="e">
        <f>#REF!</f>
        <v>#REF!</v>
      </c>
      <c r="AX101" s="28" t="e">
        <f>#REF!*2</f>
        <v>#REF!</v>
      </c>
      <c r="AY101" s="28" t="e">
        <f>#REF!</f>
        <v>#REF!</v>
      </c>
      <c r="AZ101" s="28" t="e">
        <f>#REF!*2</f>
        <v>#REF!</v>
      </c>
      <c r="BA101" s="28" t="e">
        <f>#REF!</f>
        <v>#REF!</v>
      </c>
      <c r="BB101" s="28" t="e">
        <f>#REF!*2</f>
        <v>#REF!</v>
      </c>
      <c r="BC101" s="28" t="e">
        <f>#REF!</f>
        <v>#REF!</v>
      </c>
      <c r="BD101" s="28" t="e">
        <f>#REF!*2</f>
        <v>#REF!</v>
      </c>
      <c r="BE101" s="9" t="e">
        <f>#REF!-#REF!</f>
        <v>#REF!</v>
      </c>
      <c r="BF101" s="9" t="e">
        <f>#REF!-#REF!</f>
        <v>#REF!</v>
      </c>
      <c r="BG101" s="9" t="e">
        <f>#REF!-#REF!</f>
        <v>#REF!</v>
      </c>
      <c r="BH101" s="9" t="e">
        <f>#REF!-#REF!</f>
        <v>#REF!</v>
      </c>
      <c r="BI101" s="9" t="e">
        <f>#REF!-#REF!</f>
        <v>#REF!</v>
      </c>
      <c r="BJ101" s="33"/>
      <c r="BK101" s="3">
        <f t="shared" si="58"/>
        <v>1</v>
      </c>
      <c r="BL101" s="3">
        <f t="shared" si="59"/>
        <v>1</v>
      </c>
      <c r="BM101" s="3">
        <f t="shared" si="60"/>
        <v>3</v>
      </c>
      <c r="BN101" s="3">
        <f t="shared" si="61"/>
        <v>1</v>
      </c>
      <c r="BO101" s="3">
        <f t="shared" si="62"/>
        <v>0</v>
      </c>
      <c r="BP101" s="28" t="e">
        <f>#REF!</f>
        <v>#REF!</v>
      </c>
      <c r="BQ101" s="28" t="e">
        <f>#REF!*2</f>
        <v>#REF!</v>
      </c>
      <c r="BR101" s="28" t="e">
        <f>#REF!</f>
        <v>#REF!</v>
      </c>
      <c r="BS101" s="28" t="e">
        <f>#REF!*2</f>
        <v>#REF!</v>
      </c>
      <c r="BT101" s="28" t="e">
        <f>#REF!</f>
        <v>#REF!</v>
      </c>
      <c r="BU101" s="28" t="e">
        <f>#REF!*2</f>
        <v>#REF!</v>
      </c>
      <c r="BV101" s="28" t="e">
        <f>#REF!</f>
        <v>#REF!</v>
      </c>
      <c r="BW101" s="28" t="e">
        <f>#REF!*2</f>
        <v>#REF!</v>
      </c>
      <c r="BX101" s="28" t="e">
        <f>#REF!</f>
        <v>#REF!</v>
      </c>
      <c r="BY101" s="28" t="e">
        <f>#REF!*2</f>
        <v>#REF!</v>
      </c>
      <c r="BZ101" s="28" t="e">
        <f>#REF!</f>
        <v>#REF!</v>
      </c>
      <c r="CA101" s="28" t="e">
        <f>#REF!*2</f>
        <v>#REF!</v>
      </c>
      <c r="CB101" s="9">
        <f t="shared" si="63"/>
        <v>12</v>
      </c>
      <c r="CC101" s="9">
        <f t="shared" si="64"/>
        <v>8</v>
      </c>
      <c r="CD101" s="9">
        <f t="shared" si="65"/>
        <v>4</v>
      </c>
      <c r="CE101" s="9">
        <f t="shared" si="66"/>
        <v>3</v>
      </c>
      <c r="CF101" s="9">
        <f t="shared" si="67"/>
        <v>3</v>
      </c>
      <c r="CG101" s="33"/>
      <c r="CH101" s="9">
        <f t="shared" si="68"/>
        <v>12</v>
      </c>
      <c r="CI101" s="9">
        <f t="shared" si="69"/>
        <v>8</v>
      </c>
      <c r="CJ101" s="9">
        <f t="shared" si="70"/>
        <v>4</v>
      </c>
      <c r="CK101" s="9">
        <f t="shared" si="71"/>
        <v>3</v>
      </c>
      <c r="CL101" s="9">
        <f t="shared" si="72"/>
        <v>3</v>
      </c>
      <c r="CM101" s="32"/>
      <c r="CN101" s="3">
        <f t="shared" si="73"/>
        <v>2</v>
      </c>
      <c r="CO101" s="3">
        <f t="shared" si="74"/>
        <v>2</v>
      </c>
      <c r="CP101" s="3">
        <f t="shared" si="75"/>
        <v>2</v>
      </c>
      <c r="CQ101" s="3">
        <f t="shared" si="76"/>
        <v>1</v>
      </c>
      <c r="CR101" s="3">
        <f t="shared" si="77"/>
        <v>1</v>
      </c>
      <c r="CS101" s="31"/>
      <c r="CT101" s="3" cm="1">
        <f t="array" ref="CT101">SUMPRODUCT(--(MOD(CH101:CL101,2)=1))</f>
        <v>2</v>
      </c>
      <c r="CU101" s="3">
        <f t="shared" si="78"/>
        <v>3</v>
      </c>
      <c r="CV101" s="30"/>
      <c r="CW101" s="3" cm="1">
        <f t="array" ref="CW101">SUMPRODUCT(--(MOD(CH101:CL101,10)&gt;=1), --(MOD(CH101:CL101,10)&lt;=5))</f>
        <v>4</v>
      </c>
      <c r="CX101" s="3">
        <f t="shared" si="79"/>
        <v>1</v>
      </c>
      <c r="CY101" s="30"/>
      <c r="CZ101" s="3" cm="1">
        <f t="array" ref="CZ101">IFERROR(COUNT(_xlfn._xlws.FILTER(CH101:CL101, ISNUMBER(MATCH(CH101:CL101, {2,3,5,7,11,13,17,19,23,29,31,37,41,43}, 0)))), 0)</f>
        <v>2</v>
      </c>
      <c r="DA101" s="3" cm="1">
        <f t="array" ref="DA101">IFERROR(COUNT(_xlfn._xlws.FILTER(CH101:CL101, ISNUMBER(MATCH(CH101:CL101, {1,4,8,10,14,16,20,22,25,26,28,32,34,35,38,40,44}, 0)))), 0)</f>
        <v>2</v>
      </c>
      <c r="DB101" s="3" cm="1">
        <f t="array" ref="DB101">IFERROR(COUNT(_xlfn._xlws.FILTER(CH101:CL101, ISNUMBER(MATCH(CH101:CL101, {6,9,12,15,18,21,24,27,30,33,36,39,42,45}, 0)))), 0)</f>
        <v>1</v>
      </c>
      <c r="DC101" s="29"/>
      <c r="DD101" s="28" t="e">
        <f>#REF!</f>
        <v>#REF!</v>
      </c>
      <c r="DE101" s="28" t="e">
        <f>#REF!*2</f>
        <v>#REF!</v>
      </c>
      <c r="DF101" s="28" t="e">
        <f>#REF!</f>
        <v>#REF!</v>
      </c>
      <c r="DG101" s="28" t="e">
        <f>#REF!*2</f>
        <v>#REF!</v>
      </c>
      <c r="DH101" s="28" t="e">
        <f>#REF!</f>
        <v>#REF!</v>
      </c>
      <c r="DI101" s="28" t="e">
        <f>#REF!*2</f>
        <v>#REF!</v>
      </c>
      <c r="DJ101" s="28" t="e">
        <f>#REF!</f>
        <v>#REF!</v>
      </c>
      <c r="DK101" s="28" t="e">
        <f>#REF!*2</f>
        <v>#REF!</v>
      </c>
      <c r="DL101" s="28" t="e">
        <f>#REF!</f>
        <v>#REF!</v>
      </c>
      <c r="DM101" s="28" t="e">
        <f>#REF!*2</f>
        <v>#REF!</v>
      </c>
      <c r="DN101" s="27"/>
      <c r="DO101" s="26" t="str" cm="1">
        <f t="array" ref="DO101">_xlfn.IFS(
   OR(CH101="",ISBLANK(CH101),CH101=0),0,
   ISNUMBER(MATCH(CH101,{2,3,5,7,11,13,17,19,23,29,31,37,41,43},0)),"소",
   AND(ISNUMBER(CH101),MOD(CH101,3)=0),"배",
   AND(ISNUMBER(CH101),CH101&gt;0),"자"
)</f>
        <v>배</v>
      </c>
      <c r="DP101" s="26" t="str" cm="1">
        <f t="array" ref="DP101">_xlfn.IFS(
   OR(CI101="",ISBLANK(CI101),CI101=0),0,
   ISNUMBER(MATCH(CI101,{2,3,5,7,11,13,17,19,23,29,31,37,41,43},0)),"소",
   AND(ISNUMBER(CI101),MOD(CI101,3)=0),"배",
   AND(ISNUMBER(CI101),CI101&gt;0),"자"
)</f>
        <v>자</v>
      </c>
      <c r="DQ101" s="26" t="str" cm="1">
        <f t="array" ref="DQ101">_xlfn.IFS(
   OR(CJ101="",ISBLANK(CJ101),CJ101=0),0,
   ISNUMBER(MATCH(CJ101,{2,3,5,7,11,13,17,19,23,29,31,37,41,43},0)),"소",
   AND(ISNUMBER(CJ101),MOD(CJ101,3)=0),"배",
   AND(ISNUMBER(CJ101),CJ101&gt;0),"자"
)</f>
        <v>자</v>
      </c>
      <c r="DR101" s="26" t="str" cm="1">
        <f t="array" ref="DR101">_xlfn.IFS(
   OR(CK101="",ISBLANK(CK101),CK101=0),0,
   ISNUMBER(MATCH(CK101,{2,3,5,7,11,13,17,19,23,29,31,37,41,43},0)),"소",
   AND(ISNUMBER(CK101),MOD(CK101,3)=0),"배",
   AND(ISNUMBER(CK101),CK101&gt;0),"자"
)</f>
        <v>소</v>
      </c>
      <c r="DS101" s="26" t="str" cm="1">
        <f t="array" ref="DS101">_xlfn.IFS(
   OR(CL101="",ISBLANK(CL101),CL101=0),0,
   ISNUMBER(MATCH(CL101,{2,3,5,7,11,13,17,19,23,29,31,37,41,43},0)),"소",
   AND(ISNUMBER(CL101),MOD(CL101,3)=0),"배",
   AND(ISNUMBER(CL101),CL101&gt;0),"자"
)</f>
        <v>소</v>
      </c>
      <c r="DT101" s="25"/>
    </row>
    <row r="102" spans="2:124" x14ac:dyDescent="0.3">
      <c r="B102" s="3">
        <v>4</v>
      </c>
      <c r="C102" s="3">
        <v>15</v>
      </c>
      <c r="D102" s="3">
        <v>17</v>
      </c>
      <c r="E102" s="3">
        <v>23</v>
      </c>
      <c r="F102" s="3">
        <v>27</v>
      </c>
      <c r="G102" s="3">
        <v>36</v>
      </c>
      <c r="H102" s="32"/>
      <c r="I102" s="3">
        <f t="shared" si="40"/>
        <v>2</v>
      </c>
      <c r="J102" s="3">
        <f t="shared" si="41"/>
        <v>1</v>
      </c>
      <c r="K102" s="3">
        <f t="shared" si="42"/>
        <v>1</v>
      </c>
      <c r="L102" s="3">
        <f t="shared" si="43"/>
        <v>1</v>
      </c>
      <c r="M102" s="3">
        <f t="shared" si="44"/>
        <v>1</v>
      </c>
      <c r="N102" s="3">
        <f t="shared" si="45"/>
        <v>2</v>
      </c>
      <c r="O102" s="32"/>
      <c r="P102" s="3" cm="1">
        <f t="array" ref="P102">SUMPRODUCT(--(MOD(B102:G102,2)=1))</f>
        <v>4</v>
      </c>
      <c r="Q102" s="3">
        <f t="shared" si="46"/>
        <v>2</v>
      </c>
      <c r="R102" s="34"/>
      <c r="S102" s="3">
        <f t="shared" si="47"/>
        <v>4</v>
      </c>
      <c r="T102" s="3">
        <f t="shared" si="48"/>
        <v>2</v>
      </c>
      <c r="U102" s="34"/>
      <c r="V102" s="3" cm="1">
        <f t="array" ref="V102">SUMPRODUCT(--(MOD(B102:G102,10)&gt;=1), --(MOD(B102:G102,10)&lt;=5))</f>
        <v>3</v>
      </c>
      <c r="W102" s="3">
        <f t="shared" si="49"/>
        <v>3</v>
      </c>
      <c r="X102" s="34"/>
      <c r="Y102" s="3" cm="1">
        <f t="array" ref="Y102">IFERROR(COUNT(_xlfn._xlws.FILTER(B102:G102, ISNUMBER(MATCH(B102:G102, {2,3,5,7,11,13,17,19,23,29,31,37,41,43}, 0)))), 0)</f>
        <v>2</v>
      </c>
      <c r="Z102" s="3" cm="1">
        <f t="array" ref="Z102">IFERROR(COUNT(_xlfn._xlws.FILTER(B102:G102, ISNUMBER(MATCH(B102:G102, {1,4,8,10,14,16,20,22,25,26,28,32,34,35,38,40,44}, 0)))), 0)</f>
        <v>1</v>
      </c>
      <c r="AA102" s="3" cm="1">
        <f t="array" ref="AA102">IFERROR(COUNT(_xlfn._xlws.FILTER(B102:G102, ISNUMBER(MATCH(B102:G102, {6,9,12,15,18,21,24,27,30,33,36,39,42,45}, 0)))), 0)</f>
        <v>3</v>
      </c>
      <c r="AB102" s="30"/>
      <c r="AC102" s="26" t="str" cm="1">
        <f t="array" ref="AC102">_xlfn.IFS(
   OR(B102="",ISBLANK(B102),B102=0),0,
   ISNUMBER(MATCH(B102,{2,3,5,7,11,13,17,19,23,29,31,37,41,43},0)),"소",
   AND(ISNUMBER(B102),MOD(B102,3)=0),"배",
   AND(ISNUMBER(B102),B102&gt;0),"자"
)</f>
        <v>자</v>
      </c>
      <c r="AD102" s="26" t="str" cm="1">
        <f t="array" ref="AD102">_xlfn.IFS(
   OR(C102="",ISBLANK(C102),C102=0),0,
   ISNUMBER(MATCH(C102,{2,3,5,7,11,13,17,19,23,29,31,37,41,43},0)),"소",
   AND(ISNUMBER(C102),MOD(C102,3)=0),"배",
   AND(ISNUMBER(C102),C102&gt;0),"자"
)</f>
        <v>배</v>
      </c>
      <c r="AE102" s="26" t="str" cm="1">
        <f t="array" ref="AE102">_xlfn.IFS(
   OR(D102="",ISBLANK(D102),D102=0),0,
   ISNUMBER(MATCH(D102,{2,3,5,7,11,13,17,19,23,29,31,37,41,43},0)),"소",
   AND(ISNUMBER(D102),MOD(D102,3)=0),"배",
   AND(ISNUMBER(D102),D102&gt;0),"자"
)</f>
        <v>소</v>
      </c>
      <c r="AF102" s="26" t="str" cm="1">
        <f t="array" ref="AF102">_xlfn.IFS(
   OR(E102="",ISBLANK(E102),E102=0),0,
   ISNUMBER(MATCH(E102,{2,3,5,7,11,13,17,19,23,29,31,37,41,43},0)),"소",
   AND(ISNUMBER(E102),MOD(E102,3)=0),"배",
   AND(ISNUMBER(E102),E102&gt;0),"자"
)</f>
        <v>소</v>
      </c>
      <c r="AG102" s="26" t="str" cm="1">
        <f t="array" ref="AG102">_xlfn.IFS(
   OR(F102="",ISBLANK(F102),F102=0),0,
   ISNUMBER(MATCH(F102,{2,3,5,7,11,13,17,19,23,29,31,37,41,43},0)),"소",
   AND(ISNUMBER(F102),MOD(F102,3)=0),"배",
   AND(ISNUMBER(F102),F102&gt;0),"자"
)</f>
        <v>배</v>
      </c>
      <c r="AH102" s="26" t="str" cm="1">
        <f t="array" ref="AH102">_xlfn.IFS(
   OR(G102="",ISBLANK(G102),G102=0),0,
   ISNUMBER(MATCH(G102,{2,3,5,7,11,13,17,19,23,29,31,37,41,43},0)),"소",
   AND(ISNUMBER(G102),MOD(G102,3)=0),"배",
   AND(ISNUMBER(G102),G102&gt;0),"자"
)</f>
        <v>배</v>
      </c>
      <c r="AI102" s="30"/>
      <c r="AJ102" s="3">
        <f t="shared" si="50"/>
        <v>1</v>
      </c>
      <c r="AK102" s="3">
        <f t="shared" si="51"/>
        <v>4</v>
      </c>
      <c r="AL102" s="3">
        <f t="shared" si="52"/>
        <v>1</v>
      </c>
      <c r="AM102" s="33"/>
      <c r="AN102" s="3">
        <f t="shared" si="53"/>
        <v>1</v>
      </c>
      <c r="AO102" s="3">
        <f t="shared" si="54"/>
        <v>2</v>
      </c>
      <c r="AP102" s="3">
        <f t="shared" si="55"/>
        <v>2</v>
      </c>
      <c r="AQ102" s="3">
        <f t="shared" si="56"/>
        <v>1</v>
      </c>
      <c r="AR102" s="3">
        <f t="shared" si="57"/>
        <v>0</v>
      </c>
      <c r="AS102" s="28" t="e">
        <f>#REF!</f>
        <v>#REF!</v>
      </c>
      <c r="AT102" s="28" t="e">
        <f>#REF!*2</f>
        <v>#REF!</v>
      </c>
      <c r="AU102" s="28" t="e">
        <f>#REF!</f>
        <v>#REF!</v>
      </c>
      <c r="AV102" s="28" t="e">
        <f>#REF!*2</f>
        <v>#REF!</v>
      </c>
      <c r="AW102" s="28" t="e">
        <f>#REF!</f>
        <v>#REF!</v>
      </c>
      <c r="AX102" s="28" t="e">
        <f>#REF!*2</f>
        <v>#REF!</v>
      </c>
      <c r="AY102" s="28" t="e">
        <f>#REF!</f>
        <v>#REF!</v>
      </c>
      <c r="AZ102" s="28" t="e">
        <f>#REF!*2</f>
        <v>#REF!</v>
      </c>
      <c r="BA102" s="28" t="e">
        <f>#REF!</f>
        <v>#REF!</v>
      </c>
      <c r="BB102" s="28" t="e">
        <f>#REF!*2</f>
        <v>#REF!</v>
      </c>
      <c r="BC102" s="28" t="e">
        <f>#REF!</f>
        <v>#REF!</v>
      </c>
      <c r="BD102" s="28" t="e">
        <f>#REF!*2</f>
        <v>#REF!</v>
      </c>
      <c r="BE102" s="9" t="e">
        <f>#REF!-#REF!</f>
        <v>#REF!</v>
      </c>
      <c r="BF102" s="9" t="e">
        <f>#REF!-#REF!</f>
        <v>#REF!</v>
      </c>
      <c r="BG102" s="9" t="e">
        <f>#REF!-#REF!</f>
        <v>#REF!</v>
      </c>
      <c r="BH102" s="9" t="e">
        <f>#REF!-#REF!</f>
        <v>#REF!</v>
      </c>
      <c r="BI102" s="9" t="e">
        <f>#REF!-#REF!</f>
        <v>#REF!</v>
      </c>
      <c r="BJ102" s="33"/>
      <c r="BK102" s="3">
        <f t="shared" si="58"/>
        <v>1</v>
      </c>
      <c r="BL102" s="3">
        <f t="shared" si="59"/>
        <v>2</v>
      </c>
      <c r="BM102" s="3">
        <f t="shared" si="60"/>
        <v>2</v>
      </c>
      <c r="BN102" s="3">
        <f t="shared" si="61"/>
        <v>1</v>
      </c>
      <c r="BO102" s="3">
        <f t="shared" si="62"/>
        <v>0</v>
      </c>
      <c r="BP102" s="28" t="e">
        <f>#REF!</f>
        <v>#REF!</v>
      </c>
      <c r="BQ102" s="28" t="e">
        <f>#REF!*2</f>
        <v>#REF!</v>
      </c>
      <c r="BR102" s="28" t="e">
        <f>#REF!</f>
        <v>#REF!</v>
      </c>
      <c r="BS102" s="28" t="e">
        <f>#REF!*2</f>
        <v>#REF!</v>
      </c>
      <c r="BT102" s="28" t="e">
        <f>#REF!</f>
        <v>#REF!</v>
      </c>
      <c r="BU102" s="28" t="e">
        <f>#REF!*2</f>
        <v>#REF!</v>
      </c>
      <c r="BV102" s="28" t="e">
        <f>#REF!</f>
        <v>#REF!</v>
      </c>
      <c r="BW102" s="28" t="e">
        <f>#REF!*2</f>
        <v>#REF!</v>
      </c>
      <c r="BX102" s="28" t="e">
        <f>#REF!</f>
        <v>#REF!</v>
      </c>
      <c r="BY102" s="28" t="e">
        <f>#REF!*2</f>
        <v>#REF!</v>
      </c>
      <c r="BZ102" s="28" t="e">
        <f>#REF!</f>
        <v>#REF!</v>
      </c>
      <c r="CA102" s="28" t="e">
        <f>#REF!*2</f>
        <v>#REF!</v>
      </c>
      <c r="CB102" s="9">
        <f t="shared" si="63"/>
        <v>11</v>
      </c>
      <c r="CC102" s="9">
        <f t="shared" si="64"/>
        <v>2</v>
      </c>
      <c r="CD102" s="9">
        <f t="shared" si="65"/>
        <v>6</v>
      </c>
      <c r="CE102" s="9">
        <f t="shared" si="66"/>
        <v>4</v>
      </c>
      <c r="CF102" s="9">
        <f t="shared" si="67"/>
        <v>9</v>
      </c>
      <c r="CG102" s="33"/>
      <c r="CH102" s="9">
        <f t="shared" si="68"/>
        <v>11</v>
      </c>
      <c r="CI102" s="9">
        <f t="shared" si="69"/>
        <v>2</v>
      </c>
      <c r="CJ102" s="9">
        <f t="shared" si="70"/>
        <v>6</v>
      </c>
      <c r="CK102" s="9">
        <f t="shared" si="71"/>
        <v>4</v>
      </c>
      <c r="CL102" s="9">
        <f t="shared" si="72"/>
        <v>9</v>
      </c>
      <c r="CM102" s="32"/>
      <c r="CN102" s="3">
        <f t="shared" si="73"/>
        <v>1</v>
      </c>
      <c r="CO102" s="3">
        <f t="shared" si="74"/>
        <v>2</v>
      </c>
      <c r="CP102" s="3">
        <f t="shared" si="75"/>
        <v>2</v>
      </c>
      <c r="CQ102" s="3">
        <f t="shared" si="76"/>
        <v>2</v>
      </c>
      <c r="CR102" s="3">
        <f t="shared" si="77"/>
        <v>1</v>
      </c>
      <c r="CS102" s="31"/>
      <c r="CT102" s="3" cm="1">
        <f t="array" ref="CT102">SUMPRODUCT(--(MOD(CH102:CL102,2)=1))</f>
        <v>2</v>
      </c>
      <c r="CU102" s="3">
        <f t="shared" si="78"/>
        <v>3</v>
      </c>
      <c r="CV102" s="30"/>
      <c r="CW102" s="3" cm="1">
        <f t="array" ref="CW102">SUMPRODUCT(--(MOD(CH102:CL102,10)&gt;=1), --(MOD(CH102:CL102,10)&lt;=5))</f>
        <v>3</v>
      </c>
      <c r="CX102" s="3">
        <f t="shared" si="79"/>
        <v>2</v>
      </c>
      <c r="CY102" s="30"/>
      <c r="CZ102" s="3" cm="1">
        <f t="array" ref="CZ102">IFERROR(COUNT(_xlfn._xlws.FILTER(CH102:CL102, ISNUMBER(MATCH(CH102:CL102, {2,3,5,7,11,13,17,19,23,29,31,37,41,43}, 0)))), 0)</f>
        <v>2</v>
      </c>
      <c r="DA102" s="3" cm="1">
        <f t="array" ref="DA102">IFERROR(COUNT(_xlfn._xlws.FILTER(CH102:CL102, ISNUMBER(MATCH(CH102:CL102, {1,4,8,10,14,16,20,22,25,26,28,32,34,35,38,40,44}, 0)))), 0)</f>
        <v>1</v>
      </c>
      <c r="DB102" s="3" cm="1">
        <f t="array" ref="DB102">IFERROR(COUNT(_xlfn._xlws.FILTER(CH102:CL102, ISNUMBER(MATCH(CH102:CL102, {6,9,12,15,18,21,24,27,30,33,36,39,42,45}, 0)))), 0)</f>
        <v>2</v>
      </c>
      <c r="DC102" s="29"/>
      <c r="DD102" s="28" t="e">
        <f>#REF!</f>
        <v>#REF!</v>
      </c>
      <c r="DE102" s="28" t="e">
        <f>#REF!*2</f>
        <v>#REF!</v>
      </c>
      <c r="DF102" s="28" t="e">
        <f>#REF!</f>
        <v>#REF!</v>
      </c>
      <c r="DG102" s="28" t="e">
        <f>#REF!*2</f>
        <v>#REF!</v>
      </c>
      <c r="DH102" s="28" t="e">
        <f>#REF!</f>
        <v>#REF!</v>
      </c>
      <c r="DI102" s="28" t="e">
        <f>#REF!*2</f>
        <v>#REF!</v>
      </c>
      <c r="DJ102" s="28" t="e">
        <f>#REF!</f>
        <v>#REF!</v>
      </c>
      <c r="DK102" s="28" t="e">
        <f>#REF!*2</f>
        <v>#REF!</v>
      </c>
      <c r="DL102" s="28" t="e">
        <f>#REF!</f>
        <v>#REF!</v>
      </c>
      <c r="DM102" s="28" t="e">
        <f>#REF!*2</f>
        <v>#REF!</v>
      </c>
      <c r="DN102" s="27"/>
      <c r="DO102" s="26" t="str" cm="1">
        <f t="array" ref="DO102">_xlfn.IFS(
   OR(CH102="",ISBLANK(CH102),CH102=0),0,
   ISNUMBER(MATCH(CH102,{2,3,5,7,11,13,17,19,23,29,31,37,41,43},0)),"소",
   AND(ISNUMBER(CH102),MOD(CH102,3)=0),"배",
   AND(ISNUMBER(CH102),CH102&gt;0),"자"
)</f>
        <v>소</v>
      </c>
      <c r="DP102" s="26" t="str" cm="1">
        <f t="array" ref="DP102">_xlfn.IFS(
   OR(CI102="",ISBLANK(CI102),CI102=0),0,
   ISNUMBER(MATCH(CI102,{2,3,5,7,11,13,17,19,23,29,31,37,41,43},0)),"소",
   AND(ISNUMBER(CI102),MOD(CI102,3)=0),"배",
   AND(ISNUMBER(CI102),CI102&gt;0),"자"
)</f>
        <v>소</v>
      </c>
      <c r="DQ102" s="26" t="str" cm="1">
        <f t="array" ref="DQ102">_xlfn.IFS(
   OR(CJ102="",ISBLANK(CJ102),CJ102=0),0,
   ISNUMBER(MATCH(CJ102,{2,3,5,7,11,13,17,19,23,29,31,37,41,43},0)),"소",
   AND(ISNUMBER(CJ102),MOD(CJ102,3)=0),"배",
   AND(ISNUMBER(CJ102),CJ102&gt;0),"자"
)</f>
        <v>배</v>
      </c>
      <c r="DR102" s="26" t="str" cm="1">
        <f t="array" ref="DR102">_xlfn.IFS(
   OR(CK102="",ISBLANK(CK102),CK102=0),0,
   ISNUMBER(MATCH(CK102,{2,3,5,7,11,13,17,19,23,29,31,37,41,43},0)),"소",
   AND(ISNUMBER(CK102),MOD(CK102,3)=0),"배",
   AND(ISNUMBER(CK102),CK102&gt;0),"자"
)</f>
        <v>자</v>
      </c>
      <c r="DS102" s="26" t="str" cm="1">
        <f t="array" ref="DS102">_xlfn.IFS(
   OR(CL102="",ISBLANK(CL102),CL102=0),0,
   ISNUMBER(MATCH(CL102,{2,3,5,7,11,13,17,19,23,29,31,37,41,43},0)),"소",
   AND(ISNUMBER(CL102),MOD(CL102,3)=0),"배",
   AND(ISNUMBER(CL102),CL102&gt;0),"자"
)</f>
        <v>배</v>
      </c>
      <c r="DT102" s="25"/>
    </row>
    <row r="103" spans="2:124" x14ac:dyDescent="0.3">
      <c r="B103" s="3">
        <v>14</v>
      </c>
      <c r="C103" s="3">
        <v>16</v>
      </c>
      <c r="D103" s="3">
        <v>23</v>
      </c>
      <c r="E103" s="3">
        <v>25</v>
      </c>
      <c r="F103" s="3">
        <v>31</v>
      </c>
      <c r="G103" s="3">
        <v>37</v>
      </c>
      <c r="H103" s="32"/>
      <c r="I103" s="3">
        <f t="shared" si="40"/>
        <v>2</v>
      </c>
      <c r="J103" s="3">
        <f t="shared" si="41"/>
        <v>2</v>
      </c>
      <c r="K103" s="3">
        <f t="shared" si="42"/>
        <v>1</v>
      </c>
      <c r="L103" s="3">
        <f t="shared" si="43"/>
        <v>1</v>
      </c>
      <c r="M103" s="3">
        <f t="shared" si="44"/>
        <v>1</v>
      </c>
      <c r="N103" s="3">
        <f t="shared" si="45"/>
        <v>1</v>
      </c>
      <c r="O103" s="32"/>
      <c r="P103" s="3" cm="1">
        <f t="array" ref="P103">SUMPRODUCT(--(MOD(B103:G103,2)=1))</f>
        <v>4</v>
      </c>
      <c r="Q103" s="3">
        <f t="shared" si="46"/>
        <v>2</v>
      </c>
      <c r="R103" s="34"/>
      <c r="S103" s="3">
        <f t="shared" si="47"/>
        <v>3</v>
      </c>
      <c r="T103" s="3">
        <f t="shared" si="48"/>
        <v>3</v>
      </c>
      <c r="U103" s="34"/>
      <c r="V103" s="3" cm="1">
        <f t="array" ref="V103">SUMPRODUCT(--(MOD(B103:G103,10)&gt;=1), --(MOD(B103:G103,10)&lt;=5))</f>
        <v>4</v>
      </c>
      <c r="W103" s="3">
        <f t="shared" si="49"/>
        <v>2</v>
      </c>
      <c r="X103" s="34"/>
      <c r="Y103" s="3" cm="1">
        <f t="array" ref="Y103">IFERROR(COUNT(_xlfn._xlws.FILTER(B103:G103, ISNUMBER(MATCH(B103:G103, {2,3,5,7,11,13,17,19,23,29,31,37,41,43}, 0)))), 0)</f>
        <v>3</v>
      </c>
      <c r="Z103" s="3" cm="1">
        <f t="array" ref="Z103">IFERROR(COUNT(_xlfn._xlws.FILTER(B103:G103, ISNUMBER(MATCH(B103:G103, {1,4,8,10,14,16,20,22,25,26,28,32,34,35,38,40,44}, 0)))), 0)</f>
        <v>3</v>
      </c>
      <c r="AA103" s="3" cm="1">
        <f t="array" ref="AA103">IFERROR(COUNT(_xlfn._xlws.FILTER(B103:G103, ISNUMBER(MATCH(B103:G103, {6,9,12,15,18,21,24,27,30,33,36,39,42,45}, 0)))), 0)</f>
        <v>0</v>
      </c>
      <c r="AB103" s="30"/>
      <c r="AC103" s="26" t="str" cm="1">
        <f t="array" ref="AC103">_xlfn.IFS(
   OR(B103="",ISBLANK(B103),B103=0),0,
   ISNUMBER(MATCH(B103,{2,3,5,7,11,13,17,19,23,29,31,37,41,43},0)),"소",
   AND(ISNUMBER(B103),MOD(B103,3)=0),"배",
   AND(ISNUMBER(B103),B103&gt;0),"자"
)</f>
        <v>자</v>
      </c>
      <c r="AD103" s="26" t="str" cm="1">
        <f t="array" ref="AD103">_xlfn.IFS(
   OR(C103="",ISBLANK(C103),C103=0),0,
   ISNUMBER(MATCH(C103,{2,3,5,7,11,13,17,19,23,29,31,37,41,43},0)),"소",
   AND(ISNUMBER(C103),MOD(C103,3)=0),"배",
   AND(ISNUMBER(C103),C103&gt;0),"자"
)</f>
        <v>자</v>
      </c>
      <c r="AE103" s="26" t="str" cm="1">
        <f t="array" ref="AE103">_xlfn.IFS(
   OR(D103="",ISBLANK(D103),D103=0),0,
   ISNUMBER(MATCH(D103,{2,3,5,7,11,13,17,19,23,29,31,37,41,43},0)),"소",
   AND(ISNUMBER(D103),MOD(D103,3)=0),"배",
   AND(ISNUMBER(D103),D103&gt;0),"자"
)</f>
        <v>소</v>
      </c>
      <c r="AF103" s="26" t="str" cm="1">
        <f t="array" ref="AF103">_xlfn.IFS(
   OR(E103="",ISBLANK(E103),E103=0),0,
   ISNUMBER(MATCH(E103,{2,3,5,7,11,13,17,19,23,29,31,37,41,43},0)),"소",
   AND(ISNUMBER(E103),MOD(E103,3)=0),"배",
   AND(ISNUMBER(E103),E103&gt;0),"자"
)</f>
        <v>자</v>
      </c>
      <c r="AG103" s="26" t="str" cm="1">
        <f t="array" ref="AG103">_xlfn.IFS(
   OR(F103="",ISBLANK(F103),F103=0),0,
   ISNUMBER(MATCH(F103,{2,3,5,7,11,13,17,19,23,29,31,37,41,43},0)),"소",
   AND(ISNUMBER(F103),MOD(F103,3)=0),"배",
   AND(ISNUMBER(F103),F103&gt;0),"자"
)</f>
        <v>소</v>
      </c>
      <c r="AH103" s="26" t="str" cm="1">
        <f t="array" ref="AH103">_xlfn.IFS(
   OR(G103="",ISBLANK(G103),G103=0),0,
   ISNUMBER(MATCH(G103,{2,3,5,7,11,13,17,19,23,29,31,37,41,43},0)),"소",
   AND(ISNUMBER(G103),MOD(G103,3)=0),"배",
   AND(ISNUMBER(G103),G103&gt;0),"자"
)</f>
        <v>소</v>
      </c>
      <c r="AI103" s="30"/>
      <c r="AJ103" s="3">
        <f t="shared" si="50"/>
        <v>1</v>
      </c>
      <c r="AK103" s="3">
        <f t="shared" si="51"/>
        <v>4</v>
      </c>
      <c r="AL103" s="3">
        <f t="shared" si="52"/>
        <v>1</v>
      </c>
      <c r="AM103" s="33"/>
      <c r="AN103" s="3">
        <f t="shared" si="53"/>
        <v>0</v>
      </c>
      <c r="AO103" s="3">
        <f t="shared" si="54"/>
        <v>2</v>
      </c>
      <c r="AP103" s="3">
        <f t="shared" si="55"/>
        <v>2</v>
      </c>
      <c r="AQ103" s="3">
        <f t="shared" si="56"/>
        <v>1</v>
      </c>
      <c r="AR103" s="3">
        <f t="shared" si="57"/>
        <v>1</v>
      </c>
      <c r="AS103" s="28" t="e">
        <f>#REF!</f>
        <v>#REF!</v>
      </c>
      <c r="AT103" s="28" t="e">
        <f>#REF!*2</f>
        <v>#REF!</v>
      </c>
      <c r="AU103" s="28" t="e">
        <f>#REF!</f>
        <v>#REF!</v>
      </c>
      <c r="AV103" s="28" t="e">
        <f>#REF!*2</f>
        <v>#REF!</v>
      </c>
      <c r="AW103" s="28" t="e">
        <f>#REF!</f>
        <v>#REF!</v>
      </c>
      <c r="AX103" s="28" t="e">
        <f>#REF!*2</f>
        <v>#REF!</v>
      </c>
      <c r="AY103" s="28" t="e">
        <f>#REF!</f>
        <v>#REF!</v>
      </c>
      <c r="AZ103" s="28" t="e">
        <f>#REF!*2</f>
        <v>#REF!</v>
      </c>
      <c r="BA103" s="28" t="e">
        <f>#REF!</f>
        <v>#REF!</v>
      </c>
      <c r="BB103" s="28" t="e">
        <f>#REF!*2</f>
        <v>#REF!</v>
      </c>
      <c r="BC103" s="28" t="e">
        <f>#REF!</f>
        <v>#REF!</v>
      </c>
      <c r="BD103" s="28" t="e">
        <f>#REF!*2</f>
        <v>#REF!</v>
      </c>
      <c r="BE103" s="9" t="e">
        <f>#REF!-#REF!</f>
        <v>#REF!</v>
      </c>
      <c r="BF103" s="9" t="e">
        <f>#REF!-#REF!</f>
        <v>#REF!</v>
      </c>
      <c r="BG103" s="9" t="e">
        <f>#REF!-#REF!</f>
        <v>#REF!</v>
      </c>
      <c r="BH103" s="9" t="e">
        <f>#REF!-#REF!</f>
        <v>#REF!</v>
      </c>
      <c r="BI103" s="9" t="e">
        <f>#REF!-#REF!</f>
        <v>#REF!</v>
      </c>
      <c r="BJ103" s="33"/>
      <c r="BK103" s="3">
        <f t="shared" si="58"/>
        <v>0</v>
      </c>
      <c r="BL103" s="3">
        <f t="shared" si="59"/>
        <v>2</v>
      </c>
      <c r="BM103" s="3">
        <f t="shared" si="60"/>
        <v>2</v>
      </c>
      <c r="BN103" s="3">
        <f t="shared" si="61"/>
        <v>2</v>
      </c>
      <c r="BO103" s="3">
        <f t="shared" si="62"/>
        <v>0</v>
      </c>
      <c r="BP103" s="28" t="e">
        <f>#REF!</f>
        <v>#REF!</v>
      </c>
      <c r="BQ103" s="28" t="e">
        <f>#REF!*2</f>
        <v>#REF!</v>
      </c>
      <c r="BR103" s="28" t="e">
        <f>#REF!</f>
        <v>#REF!</v>
      </c>
      <c r="BS103" s="28" t="e">
        <f>#REF!*2</f>
        <v>#REF!</v>
      </c>
      <c r="BT103" s="28" t="e">
        <f>#REF!</f>
        <v>#REF!</v>
      </c>
      <c r="BU103" s="28" t="e">
        <f>#REF!*2</f>
        <v>#REF!</v>
      </c>
      <c r="BV103" s="28" t="e">
        <f>#REF!</f>
        <v>#REF!</v>
      </c>
      <c r="BW103" s="28" t="e">
        <f>#REF!*2</f>
        <v>#REF!</v>
      </c>
      <c r="BX103" s="28" t="e">
        <f>#REF!</f>
        <v>#REF!</v>
      </c>
      <c r="BY103" s="28" t="e">
        <f>#REF!*2</f>
        <v>#REF!</v>
      </c>
      <c r="BZ103" s="28" t="e">
        <f>#REF!</f>
        <v>#REF!</v>
      </c>
      <c r="CA103" s="28" t="e">
        <f>#REF!*2</f>
        <v>#REF!</v>
      </c>
      <c r="CB103" s="9">
        <f t="shared" si="63"/>
        <v>2</v>
      </c>
      <c r="CC103" s="9">
        <f t="shared" si="64"/>
        <v>7</v>
      </c>
      <c r="CD103" s="9">
        <f t="shared" si="65"/>
        <v>2</v>
      </c>
      <c r="CE103" s="9">
        <f t="shared" si="66"/>
        <v>6</v>
      </c>
      <c r="CF103" s="9">
        <f t="shared" si="67"/>
        <v>6</v>
      </c>
      <c r="CG103" s="33"/>
      <c r="CH103" s="9">
        <f t="shared" si="68"/>
        <v>2</v>
      </c>
      <c r="CI103" s="9">
        <f t="shared" si="69"/>
        <v>7</v>
      </c>
      <c r="CJ103" s="9">
        <f t="shared" si="70"/>
        <v>2</v>
      </c>
      <c r="CK103" s="9">
        <f t="shared" si="71"/>
        <v>6</v>
      </c>
      <c r="CL103" s="9">
        <f t="shared" si="72"/>
        <v>6</v>
      </c>
      <c r="CM103" s="32"/>
      <c r="CN103" s="3">
        <f t="shared" si="73"/>
        <v>2</v>
      </c>
      <c r="CO103" s="3">
        <f t="shared" si="74"/>
        <v>1</v>
      </c>
      <c r="CP103" s="3">
        <f t="shared" si="75"/>
        <v>2</v>
      </c>
      <c r="CQ103" s="3">
        <f t="shared" si="76"/>
        <v>2</v>
      </c>
      <c r="CR103" s="3">
        <f t="shared" si="77"/>
        <v>2</v>
      </c>
      <c r="CS103" s="31"/>
      <c r="CT103" s="3" cm="1">
        <f t="array" ref="CT103">SUMPRODUCT(--(MOD(CH103:CL103,2)=1))</f>
        <v>1</v>
      </c>
      <c r="CU103" s="3">
        <f t="shared" si="78"/>
        <v>4</v>
      </c>
      <c r="CV103" s="30"/>
      <c r="CW103" s="3" cm="1">
        <f t="array" ref="CW103">SUMPRODUCT(--(MOD(CH103:CL103,10)&gt;=1), --(MOD(CH103:CL103,10)&lt;=5))</f>
        <v>2</v>
      </c>
      <c r="CX103" s="3">
        <f t="shared" si="79"/>
        <v>3</v>
      </c>
      <c r="CY103" s="30"/>
      <c r="CZ103" s="3" cm="1">
        <f t="array" ref="CZ103">IFERROR(COUNT(_xlfn._xlws.FILTER(CH103:CL103, ISNUMBER(MATCH(CH103:CL103, {2,3,5,7,11,13,17,19,23,29,31,37,41,43}, 0)))), 0)</f>
        <v>3</v>
      </c>
      <c r="DA103" s="3" cm="1">
        <f t="array" ref="DA103">IFERROR(COUNT(_xlfn._xlws.FILTER(CH103:CL103, ISNUMBER(MATCH(CH103:CL103, {1,4,8,10,14,16,20,22,25,26,28,32,34,35,38,40,44}, 0)))), 0)</f>
        <v>0</v>
      </c>
      <c r="DB103" s="3" cm="1">
        <f t="array" ref="DB103">IFERROR(COUNT(_xlfn._xlws.FILTER(CH103:CL103, ISNUMBER(MATCH(CH103:CL103, {6,9,12,15,18,21,24,27,30,33,36,39,42,45}, 0)))), 0)</f>
        <v>2</v>
      </c>
      <c r="DC103" s="29"/>
      <c r="DD103" s="28" t="e">
        <f>#REF!</f>
        <v>#REF!</v>
      </c>
      <c r="DE103" s="28" t="e">
        <f>#REF!*2</f>
        <v>#REF!</v>
      </c>
      <c r="DF103" s="28" t="e">
        <f>#REF!</f>
        <v>#REF!</v>
      </c>
      <c r="DG103" s="28" t="e">
        <f>#REF!*2</f>
        <v>#REF!</v>
      </c>
      <c r="DH103" s="28" t="e">
        <f>#REF!</f>
        <v>#REF!</v>
      </c>
      <c r="DI103" s="28" t="e">
        <f>#REF!*2</f>
        <v>#REF!</v>
      </c>
      <c r="DJ103" s="28" t="e">
        <f>#REF!</f>
        <v>#REF!</v>
      </c>
      <c r="DK103" s="28" t="e">
        <f>#REF!*2</f>
        <v>#REF!</v>
      </c>
      <c r="DL103" s="28" t="e">
        <f>#REF!</f>
        <v>#REF!</v>
      </c>
      <c r="DM103" s="28" t="e">
        <f>#REF!*2</f>
        <v>#REF!</v>
      </c>
      <c r="DN103" s="27"/>
      <c r="DO103" s="26" t="str" cm="1">
        <f t="array" ref="DO103">_xlfn.IFS(
   OR(CH103="",ISBLANK(CH103),CH103=0),0,
   ISNUMBER(MATCH(CH103,{2,3,5,7,11,13,17,19,23,29,31,37,41,43},0)),"소",
   AND(ISNUMBER(CH103),MOD(CH103,3)=0),"배",
   AND(ISNUMBER(CH103),CH103&gt;0),"자"
)</f>
        <v>소</v>
      </c>
      <c r="DP103" s="26" t="str" cm="1">
        <f t="array" ref="DP103">_xlfn.IFS(
   OR(CI103="",ISBLANK(CI103),CI103=0),0,
   ISNUMBER(MATCH(CI103,{2,3,5,7,11,13,17,19,23,29,31,37,41,43},0)),"소",
   AND(ISNUMBER(CI103),MOD(CI103,3)=0),"배",
   AND(ISNUMBER(CI103),CI103&gt;0),"자"
)</f>
        <v>소</v>
      </c>
      <c r="DQ103" s="26" t="str" cm="1">
        <f t="array" ref="DQ103">_xlfn.IFS(
   OR(CJ103="",ISBLANK(CJ103),CJ103=0),0,
   ISNUMBER(MATCH(CJ103,{2,3,5,7,11,13,17,19,23,29,31,37,41,43},0)),"소",
   AND(ISNUMBER(CJ103),MOD(CJ103,3)=0),"배",
   AND(ISNUMBER(CJ103),CJ103&gt;0),"자"
)</f>
        <v>소</v>
      </c>
      <c r="DR103" s="26" t="str" cm="1">
        <f t="array" ref="DR103">_xlfn.IFS(
   OR(CK103="",ISBLANK(CK103),CK103=0),0,
   ISNUMBER(MATCH(CK103,{2,3,5,7,11,13,17,19,23,29,31,37,41,43},0)),"소",
   AND(ISNUMBER(CK103),MOD(CK103,3)=0),"배",
   AND(ISNUMBER(CK103),CK103&gt;0),"자"
)</f>
        <v>배</v>
      </c>
      <c r="DS103" s="26" t="str" cm="1">
        <f t="array" ref="DS103">_xlfn.IFS(
   OR(CL103="",ISBLANK(CL103),CL103=0),0,
   ISNUMBER(MATCH(CL103,{2,3,5,7,11,13,17,19,23,29,31,37,41,43},0)),"소",
   AND(ISNUMBER(CL103),MOD(CL103,3)=0),"배",
   AND(ISNUMBER(CL103),CL103&gt;0),"자"
)</f>
        <v>배</v>
      </c>
      <c r="DT103" s="25"/>
    </row>
    <row r="104" spans="2:124" x14ac:dyDescent="0.3">
      <c r="B104" s="3">
        <v>6</v>
      </c>
      <c r="C104" s="3">
        <v>17</v>
      </c>
      <c r="D104" s="3">
        <v>22</v>
      </c>
      <c r="E104" s="3">
        <v>28</v>
      </c>
      <c r="F104" s="3">
        <v>29</v>
      </c>
      <c r="G104" s="3">
        <v>32</v>
      </c>
      <c r="H104" s="32"/>
      <c r="I104" s="3">
        <f t="shared" si="40"/>
        <v>2</v>
      </c>
      <c r="J104" s="3">
        <f t="shared" si="41"/>
        <v>1</v>
      </c>
      <c r="K104" s="3">
        <f t="shared" si="42"/>
        <v>2</v>
      </c>
      <c r="L104" s="3">
        <f t="shared" si="43"/>
        <v>2</v>
      </c>
      <c r="M104" s="3">
        <f t="shared" si="44"/>
        <v>1</v>
      </c>
      <c r="N104" s="3">
        <f t="shared" si="45"/>
        <v>2</v>
      </c>
      <c r="O104" s="32"/>
      <c r="P104" s="3" cm="1">
        <f t="array" ref="P104">SUMPRODUCT(--(MOD(B104:G104,2)=1))</f>
        <v>2</v>
      </c>
      <c r="Q104" s="3">
        <f t="shared" si="46"/>
        <v>4</v>
      </c>
      <c r="R104" s="34"/>
      <c r="S104" s="3">
        <f t="shared" si="47"/>
        <v>3</v>
      </c>
      <c r="T104" s="3">
        <f t="shared" si="48"/>
        <v>3</v>
      </c>
      <c r="U104" s="34"/>
      <c r="V104" s="3" cm="1">
        <f t="array" ref="V104">SUMPRODUCT(--(MOD(B104:G104,10)&gt;=1), --(MOD(B104:G104,10)&lt;=5))</f>
        <v>2</v>
      </c>
      <c r="W104" s="3">
        <f t="shared" si="49"/>
        <v>4</v>
      </c>
      <c r="X104" s="34"/>
      <c r="Y104" s="3" cm="1">
        <f t="array" ref="Y104">IFERROR(COUNT(_xlfn._xlws.FILTER(B104:G104, ISNUMBER(MATCH(B104:G104, {2,3,5,7,11,13,17,19,23,29,31,37,41,43}, 0)))), 0)</f>
        <v>2</v>
      </c>
      <c r="Z104" s="3" cm="1">
        <f t="array" ref="Z104">IFERROR(COUNT(_xlfn._xlws.FILTER(B104:G104, ISNUMBER(MATCH(B104:G104, {1,4,8,10,14,16,20,22,25,26,28,32,34,35,38,40,44}, 0)))), 0)</f>
        <v>3</v>
      </c>
      <c r="AA104" s="3" cm="1">
        <f t="array" ref="AA104">IFERROR(COUNT(_xlfn._xlws.FILTER(B104:G104, ISNUMBER(MATCH(B104:G104, {6,9,12,15,18,21,24,27,30,33,36,39,42,45}, 0)))), 0)</f>
        <v>1</v>
      </c>
      <c r="AB104" s="30"/>
      <c r="AC104" s="26" t="str" cm="1">
        <f t="array" ref="AC104">_xlfn.IFS(
   OR(B104="",ISBLANK(B104),B104=0),0,
   ISNUMBER(MATCH(B104,{2,3,5,7,11,13,17,19,23,29,31,37,41,43},0)),"소",
   AND(ISNUMBER(B104),MOD(B104,3)=0),"배",
   AND(ISNUMBER(B104),B104&gt;0),"자"
)</f>
        <v>배</v>
      </c>
      <c r="AD104" s="26" t="str" cm="1">
        <f t="array" ref="AD104">_xlfn.IFS(
   OR(C104="",ISBLANK(C104),C104=0),0,
   ISNUMBER(MATCH(C104,{2,3,5,7,11,13,17,19,23,29,31,37,41,43},0)),"소",
   AND(ISNUMBER(C104),MOD(C104,3)=0),"배",
   AND(ISNUMBER(C104),C104&gt;0),"자"
)</f>
        <v>소</v>
      </c>
      <c r="AE104" s="26" t="str" cm="1">
        <f t="array" ref="AE104">_xlfn.IFS(
   OR(D104="",ISBLANK(D104),D104=0),0,
   ISNUMBER(MATCH(D104,{2,3,5,7,11,13,17,19,23,29,31,37,41,43},0)),"소",
   AND(ISNUMBER(D104),MOD(D104,3)=0),"배",
   AND(ISNUMBER(D104),D104&gt;0),"자"
)</f>
        <v>자</v>
      </c>
      <c r="AF104" s="26" t="str" cm="1">
        <f t="array" ref="AF104">_xlfn.IFS(
   OR(E104="",ISBLANK(E104),E104=0),0,
   ISNUMBER(MATCH(E104,{2,3,5,7,11,13,17,19,23,29,31,37,41,43},0)),"소",
   AND(ISNUMBER(E104),MOD(E104,3)=0),"배",
   AND(ISNUMBER(E104),E104&gt;0),"자"
)</f>
        <v>자</v>
      </c>
      <c r="AG104" s="26" t="str" cm="1">
        <f t="array" ref="AG104">_xlfn.IFS(
   OR(F104="",ISBLANK(F104),F104=0),0,
   ISNUMBER(MATCH(F104,{2,3,5,7,11,13,17,19,23,29,31,37,41,43},0)),"소",
   AND(ISNUMBER(F104),MOD(F104,3)=0),"배",
   AND(ISNUMBER(F104),F104&gt;0),"자"
)</f>
        <v>소</v>
      </c>
      <c r="AH104" s="26" t="str" cm="1">
        <f t="array" ref="AH104">_xlfn.IFS(
   OR(G104="",ISBLANK(G104),G104=0),0,
   ISNUMBER(MATCH(G104,{2,3,5,7,11,13,17,19,23,29,31,37,41,43},0)),"소",
   AND(ISNUMBER(G104),MOD(G104,3)=0),"배",
   AND(ISNUMBER(G104),G104&gt;0),"자"
)</f>
        <v>자</v>
      </c>
      <c r="AI104" s="30"/>
      <c r="AJ104" s="3">
        <f t="shared" si="50"/>
        <v>1</v>
      </c>
      <c r="AK104" s="3">
        <f t="shared" si="51"/>
        <v>4</v>
      </c>
      <c r="AL104" s="3">
        <f t="shared" si="52"/>
        <v>1</v>
      </c>
      <c r="AM104" s="33"/>
      <c r="AN104" s="3">
        <f t="shared" si="53"/>
        <v>1</v>
      </c>
      <c r="AO104" s="3">
        <f t="shared" si="54"/>
        <v>1</v>
      </c>
      <c r="AP104" s="3">
        <f t="shared" si="55"/>
        <v>1</v>
      </c>
      <c r="AQ104" s="3">
        <f t="shared" si="56"/>
        <v>3</v>
      </c>
      <c r="AR104" s="3">
        <f t="shared" si="57"/>
        <v>0</v>
      </c>
      <c r="AS104" s="28" t="e">
        <f>#REF!</f>
        <v>#REF!</v>
      </c>
      <c r="AT104" s="28" t="e">
        <f>#REF!*2</f>
        <v>#REF!</v>
      </c>
      <c r="AU104" s="28" t="e">
        <f>#REF!</f>
        <v>#REF!</v>
      </c>
      <c r="AV104" s="28" t="e">
        <f>#REF!*2</f>
        <v>#REF!</v>
      </c>
      <c r="AW104" s="28" t="e">
        <f>#REF!</f>
        <v>#REF!</v>
      </c>
      <c r="AX104" s="28" t="e">
        <f>#REF!*2</f>
        <v>#REF!</v>
      </c>
      <c r="AY104" s="28" t="e">
        <f>#REF!</f>
        <v>#REF!</v>
      </c>
      <c r="AZ104" s="28" t="e">
        <f>#REF!*2</f>
        <v>#REF!</v>
      </c>
      <c r="BA104" s="28" t="e">
        <f>#REF!</f>
        <v>#REF!</v>
      </c>
      <c r="BB104" s="28" t="e">
        <f>#REF!*2</f>
        <v>#REF!</v>
      </c>
      <c r="BC104" s="28" t="e">
        <f>#REF!</f>
        <v>#REF!</v>
      </c>
      <c r="BD104" s="28" t="e">
        <f>#REF!*2</f>
        <v>#REF!</v>
      </c>
      <c r="BE104" s="9" t="e">
        <f>#REF!-#REF!</f>
        <v>#REF!</v>
      </c>
      <c r="BF104" s="9" t="e">
        <f>#REF!-#REF!</f>
        <v>#REF!</v>
      </c>
      <c r="BG104" s="9" t="e">
        <f>#REF!-#REF!</f>
        <v>#REF!</v>
      </c>
      <c r="BH104" s="9" t="e">
        <f>#REF!-#REF!</f>
        <v>#REF!</v>
      </c>
      <c r="BI104" s="9" t="e">
        <f>#REF!-#REF!</f>
        <v>#REF!</v>
      </c>
      <c r="BJ104" s="33"/>
      <c r="BK104" s="3">
        <f t="shared" si="58"/>
        <v>1</v>
      </c>
      <c r="BL104" s="3">
        <f t="shared" si="59"/>
        <v>1</v>
      </c>
      <c r="BM104" s="3">
        <f t="shared" si="60"/>
        <v>3</v>
      </c>
      <c r="BN104" s="3">
        <f t="shared" si="61"/>
        <v>1</v>
      </c>
      <c r="BO104" s="3">
        <f t="shared" si="62"/>
        <v>0</v>
      </c>
      <c r="BP104" s="28" t="e">
        <f>#REF!</f>
        <v>#REF!</v>
      </c>
      <c r="BQ104" s="28" t="e">
        <f>#REF!*2</f>
        <v>#REF!</v>
      </c>
      <c r="BR104" s="28" t="e">
        <f>#REF!</f>
        <v>#REF!</v>
      </c>
      <c r="BS104" s="28" t="e">
        <f>#REF!*2</f>
        <v>#REF!</v>
      </c>
      <c r="BT104" s="28" t="e">
        <f>#REF!</f>
        <v>#REF!</v>
      </c>
      <c r="BU104" s="28" t="e">
        <f>#REF!*2</f>
        <v>#REF!</v>
      </c>
      <c r="BV104" s="28" t="e">
        <f>#REF!</f>
        <v>#REF!</v>
      </c>
      <c r="BW104" s="28" t="e">
        <f>#REF!*2</f>
        <v>#REF!</v>
      </c>
      <c r="BX104" s="28" t="e">
        <f>#REF!</f>
        <v>#REF!</v>
      </c>
      <c r="BY104" s="28" t="e">
        <f>#REF!*2</f>
        <v>#REF!</v>
      </c>
      <c r="BZ104" s="28" t="e">
        <f>#REF!</f>
        <v>#REF!</v>
      </c>
      <c r="CA104" s="28" t="e">
        <f>#REF!*2</f>
        <v>#REF!</v>
      </c>
      <c r="CB104" s="9">
        <f t="shared" si="63"/>
        <v>11</v>
      </c>
      <c r="CC104" s="9">
        <f t="shared" si="64"/>
        <v>5</v>
      </c>
      <c r="CD104" s="9">
        <f t="shared" si="65"/>
        <v>6</v>
      </c>
      <c r="CE104" s="9">
        <f t="shared" si="66"/>
        <v>1</v>
      </c>
      <c r="CF104" s="9">
        <f t="shared" si="67"/>
        <v>3</v>
      </c>
      <c r="CG104" s="33"/>
      <c r="CH104" s="9">
        <f t="shared" si="68"/>
        <v>11</v>
      </c>
      <c r="CI104" s="9">
        <f t="shared" si="69"/>
        <v>5</v>
      </c>
      <c r="CJ104" s="9">
        <f t="shared" si="70"/>
        <v>6</v>
      </c>
      <c r="CK104" s="9">
        <f t="shared" si="71"/>
        <v>1</v>
      </c>
      <c r="CL104" s="9">
        <f t="shared" si="72"/>
        <v>3</v>
      </c>
      <c r="CM104" s="32"/>
      <c r="CN104" s="3">
        <f t="shared" si="73"/>
        <v>1</v>
      </c>
      <c r="CO104" s="3">
        <f t="shared" si="74"/>
        <v>1</v>
      </c>
      <c r="CP104" s="3">
        <f t="shared" si="75"/>
        <v>2</v>
      </c>
      <c r="CQ104" s="3">
        <f t="shared" si="76"/>
        <v>1</v>
      </c>
      <c r="CR104" s="3">
        <f t="shared" si="77"/>
        <v>1</v>
      </c>
      <c r="CS104" s="31"/>
      <c r="CT104" s="3" cm="1">
        <f t="array" ref="CT104">SUMPRODUCT(--(MOD(CH104:CL104,2)=1))</f>
        <v>4</v>
      </c>
      <c r="CU104" s="3">
        <f t="shared" si="78"/>
        <v>1</v>
      </c>
      <c r="CV104" s="30"/>
      <c r="CW104" s="3" cm="1">
        <f t="array" ref="CW104">SUMPRODUCT(--(MOD(CH104:CL104,10)&gt;=1), --(MOD(CH104:CL104,10)&lt;=5))</f>
        <v>4</v>
      </c>
      <c r="CX104" s="3">
        <f t="shared" si="79"/>
        <v>1</v>
      </c>
      <c r="CY104" s="30"/>
      <c r="CZ104" s="3" cm="1">
        <f t="array" ref="CZ104">IFERROR(COUNT(_xlfn._xlws.FILTER(CH104:CL104, ISNUMBER(MATCH(CH104:CL104, {2,3,5,7,11,13,17,19,23,29,31,37,41,43}, 0)))), 0)</f>
        <v>3</v>
      </c>
      <c r="DA104" s="3" cm="1">
        <f t="array" ref="DA104">IFERROR(COUNT(_xlfn._xlws.FILTER(CH104:CL104, ISNUMBER(MATCH(CH104:CL104, {1,4,8,10,14,16,20,22,25,26,28,32,34,35,38,40,44}, 0)))), 0)</f>
        <v>1</v>
      </c>
      <c r="DB104" s="3" cm="1">
        <f t="array" ref="DB104">IFERROR(COUNT(_xlfn._xlws.FILTER(CH104:CL104, ISNUMBER(MATCH(CH104:CL104, {6,9,12,15,18,21,24,27,30,33,36,39,42,45}, 0)))), 0)</f>
        <v>1</v>
      </c>
      <c r="DC104" s="29"/>
      <c r="DD104" s="28" t="e">
        <f>#REF!</f>
        <v>#REF!</v>
      </c>
      <c r="DE104" s="28" t="e">
        <f>#REF!*2</f>
        <v>#REF!</v>
      </c>
      <c r="DF104" s="28" t="e">
        <f>#REF!</f>
        <v>#REF!</v>
      </c>
      <c r="DG104" s="28" t="e">
        <f>#REF!*2</f>
        <v>#REF!</v>
      </c>
      <c r="DH104" s="28" t="e">
        <f>#REF!</f>
        <v>#REF!</v>
      </c>
      <c r="DI104" s="28" t="e">
        <f>#REF!*2</f>
        <v>#REF!</v>
      </c>
      <c r="DJ104" s="28" t="e">
        <f>#REF!</f>
        <v>#REF!</v>
      </c>
      <c r="DK104" s="28" t="e">
        <f>#REF!*2</f>
        <v>#REF!</v>
      </c>
      <c r="DL104" s="28" t="e">
        <f>#REF!</f>
        <v>#REF!</v>
      </c>
      <c r="DM104" s="28" t="e">
        <f>#REF!*2</f>
        <v>#REF!</v>
      </c>
      <c r="DN104" s="27"/>
      <c r="DO104" s="26" t="str" cm="1">
        <f t="array" ref="DO104">_xlfn.IFS(
   OR(CH104="",ISBLANK(CH104),CH104=0),0,
   ISNUMBER(MATCH(CH104,{2,3,5,7,11,13,17,19,23,29,31,37,41,43},0)),"소",
   AND(ISNUMBER(CH104),MOD(CH104,3)=0),"배",
   AND(ISNUMBER(CH104),CH104&gt;0),"자"
)</f>
        <v>소</v>
      </c>
      <c r="DP104" s="26" t="str" cm="1">
        <f t="array" ref="DP104">_xlfn.IFS(
   OR(CI104="",ISBLANK(CI104),CI104=0),0,
   ISNUMBER(MATCH(CI104,{2,3,5,7,11,13,17,19,23,29,31,37,41,43},0)),"소",
   AND(ISNUMBER(CI104),MOD(CI104,3)=0),"배",
   AND(ISNUMBER(CI104),CI104&gt;0),"자"
)</f>
        <v>소</v>
      </c>
      <c r="DQ104" s="26" t="str" cm="1">
        <f t="array" ref="DQ104">_xlfn.IFS(
   OR(CJ104="",ISBLANK(CJ104),CJ104=0),0,
   ISNUMBER(MATCH(CJ104,{2,3,5,7,11,13,17,19,23,29,31,37,41,43},0)),"소",
   AND(ISNUMBER(CJ104),MOD(CJ104,3)=0),"배",
   AND(ISNUMBER(CJ104),CJ104&gt;0),"자"
)</f>
        <v>배</v>
      </c>
      <c r="DR104" s="26" t="str" cm="1">
        <f t="array" ref="DR104">_xlfn.IFS(
   OR(CK104="",ISBLANK(CK104),CK104=0),0,
   ISNUMBER(MATCH(CK104,{2,3,5,7,11,13,17,19,23,29,31,37,41,43},0)),"소",
   AND(ISNUMBER(CK104),MOD(CK104,3)=0),"배",
   AND(ISNUMBER(CK104),CK104&gt;0),"자"
)</f>
        <v>자</v>
      </c>
      <c r="DS104" s="26" t="str" cm="1">
        <f t="array" ref="DS104">_xlfn.IFS(
   OR(CL104="",ISBLANK(CL104),CL104=0),0,
   ISNUMBER(MATCH(CL104,{2,3,5,7,11,13,17,19,23,29,31,37,41,43},0)),"소",
   AND(ISNUMBER(CL104),MOD(CL104,3)=0),"배",
   AND(ISNUMBER(CL104),CL104&gt;0),"자"
)</f>
        <v>소</v>
      </c>
      <c r="DT104" s="25"/>
    </row>
    <row r="105" spans="2:124" x14ac:dyDescent="0.3">
      <c r="B105" s="3">
        <v>2</v>
      </c>
      <c r="C105" s="3">
        <v>8</v>
      </c>
      <c r="D105" s="3">
        <v>13</v>
      </c>
      <c r="E105" s="3">
        <v>16</v>
      </c>
      <c r="F105" s="3">
        <v>23</v>
      </c>
      <c r="G105" s="3">
        <v>28</v>
      </c>
      <c r="H105" s="32"/>
      <c r="I105" s="3">
        <f t="shared" si="40"/>
        <v>2</v>
      </c>
      <c r="J105" s="3">
        <f t="shared" si="41"/>
        <v>2</v>
      </c>
      <c r="K105" s="3">
        <f t="shared" si="42"/>
        <v>1</v>
      </c>
      <c r="L105" s="3">
        <f t="shared" si="43"/>
        <v>2</v>
      </c>
      <c r="M105" s="3">
        <f t="shared" si="44"/>
        <v>1</v>
      </c>
      <c r="N105" s="3">
        <f t="shared" si="45"/>
        <v>2</v>
      </c>
      <c r="O105" s="32"/>
      <c r="P105" s="3" cm="1">
        <f t="array" ref="P105">SUMPRODUCT(--(MOD(B105:G105,2)=1))</f>
        <v>2</v>
      </c>
      <c r="Q105" s="3">
        <f t="shared" si="46"/>
        <v>4</v>
      </c>
      <c r="R105" s="34"/>
      <c r="S105" s="3">
        <f t="shared" si="47"/>
        <v>5</v>
      </c>
      <c r="T105" s="3">
        <f t="shared" si="48"/>
        <v>1</v>
      </c>
      <c r="U105" s="34"/>
      <c r="V105" s="3" cm="1">
        <f t="array" ref="V105">SUMPRODUCT(--(MOD(B105:G105,10)&gt;=1), --(MOD(B105:G105,10)&lt;=5))</f>
        <v>3</v>
      </c>
      <c r="W105" s="3">
        <f t="shared" si="49"/>
        <v>3</v>
      </c>
      <c r="X105" s="34"/>
      <c r="Y105" s="3" cm="1">
        <f t="array" ref="Y105">IFERROR(COUNT(_xlfn._xlws.FILTER(B105:G105, ISNUMBER(MATCH(B105:G105, {2,3,5,7,11,13,17,19,23,29,31,37,41,43}, 0)))), 0)</f>
        <v>3</v>
      </c>
      <c r="Z105" s="3" cm="1">
        <f t="array" ref="Z105">IFERROR(COUNT(_xlfn._xlws.FILTER(B105:G105, ISNUMBER(MATCH(B105:G105, {1,4,8,10,14,16,20,22,25,26,28,32,34,35,38,40,44}, 0)))), 0)</f>
        <v>3</v>
      </c>
      <c r="AA105" s="3" cm="1">
        <f t="array" ref="AA105">IFERROR(COUNT(_xlfn._xlws.FILTER(B105:G105, ISNUMBER(MATCH(B105:G105, {6,9,12,15,18,21,24,27,30,33,36,39,42,45}, 0)))), 0)</f>
        <v>0</v>
      </c>
      <c r="AB105" s="30"/>
      <c r="AC105" s="26" t="str" cm="1">
        <f t="array" ref="AC105">_xlfn.IFS(
   OR(B105="",ISBLANK(B105),B105=0),0,
   ISNUMBER(MATCH(B105,{2,3,5,7,11,13,17,19,23,29,31,37,41,43},0)),"소",
   AND(ISNUMBER(B105),MOD(B105,3)=0),"배",
   AND(ISNUMBER(B105),B105&gt;0),"자"
)</f>
        <v>소</v>
      </c>
      <c r="AD105" s="26" t="str" cm="1">
        <f t="array" ref="AD105">_xlfn.IFS(
   OR(C105="",ISBLANK(C105),C105=0),0,
   ISNUMBER(MATCH(C105,{2,3,5,7,11,13,17,19,23,29,31,37,41,43},0)),"소",
   AND(ISNUMBER(C105),MOD(C105,3)=0),"배",
   AND(ISNUMBER(C105),C105&gt;0),"자"
)</f>
        <v>자</v>
      </c>
      <c r="AE105" s="26" t="str" cm="1">
        <f t="array" ref="AE105">_xlfn.IFS(
   OR(D105="",ISBLANK(D105),D105=0),0,
   ISNUMBER(MATCH(D105,{2,3,5,7,11,13,17,19,23,29,31,37,41,43},0)),"소",
   AND(ISNUMBER(D105),MOD(D105,3)=0),"배",
   AND(ISNUMBER(D105),D105&gt;0),"자"
)</f>
        <v>소</v>
      </c>
      <c r="AF105" s="26" t="str" cm="1">
        <f t="array" ref="AF105">_xlfn.IFS(
   OR(E105="",ISBLANK(E105),E105=0),0,
   ISNUMBER(MATCH(E105,{2,3,5,7,11,13,17,19,23,29,31,37,41,43},0)),"소",
   AND(ISNUMBER(E105),MOD(E105,3)=0),"배",
   AND(ISNUMBER(E105),E105&gt;0),"자"
)</f>
        <v>자</v>
      </c>
      <c r="AG105" s="26" t="str" cm="1">
        <f t="array" ref="AG105">_xlfn.IFS(
   OR(F105="",ISBLANK(F105),F105=0),0,
   ISNUMBER(MATCH(F105,{2,3,5,7,11,13,17,19,23,29,31,37,41,43},0)),"소",
   AND(ISNUMBER(F105),MOD(F105,3)=0),"배",
   AND(ISNUMBER(F105),F105&gt;0),"자"
)</f>
        <v>소</v>
      </c>
      <c r="AH105" s="26" t="str" cm="1">
        <f t="array" ref="AH105">_xlfn.IFS(
   OR(G105="",ISBLANK(G105),G105=0),0,
   ISNUMBER(MATCH(G105,{2,3,5,7,11,13,17,19,23,29,31,37,41,43},0)),"소",
   AND(ISNUMBER(G105),MOD(G105,3)=0),"배",
   AND(ISNUMBER(G105),G105&gt;0),"자"
)</f>
        <v>자</v>
      </c>
      <c r="AI105" s="30"/>
      <c r="AJ105" s="3">
        <f t="shared" si="50"/>
        <v>3</v>
      </c>
      <c r="AK105" s="3">
        <f t="shared" si="51"/>
        <v>3</v>
      </c>
      <c r="AL105" s="3">
        <f t="shared" si="52"/>
        <v>0</v>
      </c>
      <c r="AM105" s="33"/>
      <c r="AN105" s="3">
        <f t="shared" si="53"/>
        <v>2</v>
      </c>
      <c r="AO105" s="3">
        <f t="shared" si="54"/>
        <v>2</v>
      </c>
      <c r="AP105" s="3">
        <f t="shared" si="55"/>
        <v>1</v>
      </c>
      <c r="AQ105" s="3">
        <f t="shared" si="56"/>
        <v>1</v>
      </c>
      <c r="AR105" s="3">
        <f t="shared" si="57"/>
        <v>0</v>
      </c>
      <c r="AS105" s="28" t="e">
        <f>#REF!</f>
        <v>#REF!</v>
      </c>
      <c r="AT105" s="28" t="e">
        <f>#REF!*2</f>
        <v>#REF!</v>
      </c>
      <c r="AU105" s="28" t="e">
        <f>#REF!</f>
        <v>#REF!</v>
      </c>
      <c r="AV105" s="28" t="e">
        <f>#REF!*2</f>
        <v>#REF!</v>
      </c>
      <c r="AW105" s="28" t="e">
        <f>#REF!</f>
        <v>#REF!</v>
      </c>
      <c r="AX105" s="28" t="e">
        <f>#REF!*2</f>
        <v>#REF!</v>
      </c>
      <c r="AY105" s="28" t="e">
        <f>#REF!</f>
        <v>#REF!</v>
      </c>
      <c r="AZ105" s="28" t="e">
        <f>#REF!*2</f>
        <v>#REF!</v>
      </c>
      <c r="BA105" s="28" t="e">
        <f>#REF!</f>
        <v>#REF!</v>
      </c>
      <c r="BB105" s="28" t="e">
        <f>#REF!*2</f>
        <v>#REF!</v>
      </c>
      <c r="BC105" s="28" t="e">
        <f>#REF!</f>
        <v>#REF!</v>
      </c>
      <c r="BD105" s="28" t="e">
        <f>#REF!*2</f>
        <v>#REF!</v>
      </c>
      <c r="BE105" s="9" t="e">
        <f>#REF!-#REF!</f>
        <v>#REF!</v>
      </c>
      <c r="BF105" s="9" t="e">
        <f>#REF!-#REF!</f>
        <v>#REF!</v>
      </c>
      <c r="BG105" s="9" t="e">
        <f>#REF!-#REF!</f>
        <v>#REF!</v>
      </c>
      <c r="BH105" s="9" t="e">
        <f>#REF!-#REF!</f>
        <v>#REF!</v>
      </c>
      <c r="BI105" s="9" t="e">
        <f>#REF!-#REF!</f>
        <v>#REF!</v>
      </c>
      <c r="BJ105" s="33"/>
      <c r="BK105" s="3">
        <f t="shared" si="58"/>
        <v>2</v>
      </c>
      <c r="BL105" s="3">
        <f t="shared" si="59"/>
        <v>2</v>
      </c>
      <c r="BM105" s="3">
        <f t="shared" si="60"/>
        <v>2</v>
      </c>
      <c r="BN105" s="3">
        <f t="shared" si="61"/>
        <v>0</v>
      </c>
      <c r="BO105" s="3">
        <f t="shared" si="62"/>
        <v>0</v>
      </c>
      <c r="BP105" s="28" t="e">
        <f>#REF!</f>
        <v>#REF!</v>
      </c>
      <c r="BQ105" s="28" t="e">
        <f>#REF!*2</f>
        <v>#REF!</v>
      </c>
      <c r="BR105" s="28" t="e">
        <f>#REF!</f>
        <v>#REF!</v>
      </c>
      <c r="BS105" s="28" t="e">
        <f>#REF!*2</f>
        <v>#REF!</v>
      </c>
      <c r="BT105" s="28" t="e">
        <f>#REF!</f>
        <v>#REF!</v>
      </c>
      <c r="BU105" s="28" t="e">
        <f>#REF!*2</f>
        <v>#REF!</v>
      </c>
      <c r="BV105" s="28" t="e">
        <f>#REF!</f>
        <v>#REF!</v>
      </c>
      <c r="BW105" s="28" t="e">
        <f>#REF!*2</f>
        <v>#REF!</v>
      </c>
      <c r="BX105" s="28" t="e">
        <f>#REF!</f>
        <v>#REF!</v>
      </c>
      <c r="BY105" s="28" t="e">
        <f>#REF!*2</f>
        <v>#REF!</v>
      </c>
      <c r="BZ105" s="28" t="e">
        <f>#REF!</f>
        <v>#REF!</v>
      </c>
      <c r="CA105" s="28" t="e">
        <f>#REF!*2</f>
        <v>#REF!</v>
      </c>
      <c r="CB105" s="9">
        <f t="shared" si="63"/>
        <v>6</v>
      </c>
      <c r="CC105" s="9">
        <f t="shared" si="64"/>
        <v>5</v>
      </c>
      <c r="CD105" s="9">
        <f t="shared" si="65"/>
        <v>3</v>
      </c>
      <c r="CE105" s="9">
        <f t="shared" si="66"/>
        <v>7</v>
      </c>
      <c r="CF105" s="9">
        <f t="shared" si="67"/>
        <v>5</v>
      </c>
      <c r="CG105" s="33"/>
      <c r="CH105" s="9">
        <f t="shared" si="68"/>
        <v>6</v>
      </c>
      <c r="CI105" s="9">
        <f t="shared" si="69"/>
        <v>5</v>
      </c>
      <c r="CJ105" s="9">
        <f t="shared" si="70"/>
        <v>3</v>
      </c>
      <c r="CK105" s="9">
        <f t="shared" si="71"/>
        <v>7</v>
      </c>
      <c r="CL105" s="9">
        <f t="shared" si="72"/>
        <v>5</v>
      </c>
      <c r="CM105" s="32"/>
      <c r="CN105" s="3">
        <f t="shared" si="73"/>
        <v>2</v>
      </c>
      <c r="CO105" s="3">
        <f t="shared" si="74"/>
        <v>1</v>
      </c>
      <c r="CP105" s="3">
        <f t="shared" si="75"/>
        <v>1</v>
      </c>
      <c r="CQ105" s="3">
        <f t="shared" si="76"/>
        <v>1</v>
      </c>
      <c r="CR105" s="3">
        <f t="shared" si="77"/>
        <v>1</v>
      </c>
      <c r="CS105" s="31"/>
      <c r="CT105" s="3" cm="1">
        <f t="array" ref="CT105">SUMPRODUCT(--(MOD(CH105:CL105,2)=1))</f>
        <v>4</v>
      </c>
      <c r="CU105" s="3">
        <f t="shared" si="78"/>
        <v>1</v>
      </c>
      <c r="CV105" s="30"/>
      <c r="CW105" s="3" cm="1">
        <f t="array" ref="CW105">SUMPRODUCT(--(MOD(CH105:CL105,10)&gt;=1), --(MOD(CH105:CL105,10)&lt;=5))</f>
        <v>3</v>
      </c>
      <c r="CX105" s="3">
        <f t="shared" si="79"/>
        <v>2</v>
      </c>
      <c r="CY105" s="30"/>
      <c r="CZ105" s="3" cm="1">
        <f t="array" ref="CZ105">IFERROR(COUNT(_xlfn._xlws.FILTER(CH105:CL105, ISNUMBER(MATCH(CH105:CL105, {2,3,5,7,11,13,17,19,23,29,31,37,41,43}, 0)))), 0)</f>
        <v>4</v>
      </c>
      <c r="DA105" s="3" cm="1">
        <f t="array" ref="DA105">IFERROR(COUNT(_xlfn._xlws.FILTER(CH105:CL105, ISNUMBER(MATCH(CH105:CL105, {1,4,8,10,14,16,20,22,25,26,28,32,34,35,38,40,44}, 0)))), 0)</f>
        <v>0</v>
      </c>
      <c r="DB105" s="3" cm="1">
        <f t="array" ref="DB105">IFERROR(COUNT(_xlfn._xlws.FILTER(CH105:CL105, ISNUMBER(MATCH(CH105:CL105, {6,9,12,15,18,21,24,27,30,33,36,39,42,45}, 0)))), 0)</f>
        <v>1</v>
      </c>
      <c r="DC105" s="29"/>
      <c r="DD105" s="28" t="e">
        <f>#REF!</f>
        <v>#REF!</v>
      </c>
      <c r="DE105" s="28" t="e">
        <f>#REF!*2</f>
        <v>#REF!</v>
      </c>
      <c r="DF105" s="28" t="e">
        <f>#REF!</f>
        <v>#REF!</v>
      </c>
      <c r="DG105" s="28" t="e">
        <f>#REF!*2</f>
        <v>#REF!</v>
      </c>
      <c r="DH105" s="28" t="e">
        <f>#REF!</f>
        <v>#REF!</v>
      </c>
      <c r="DI105" s="28" t="e">
        <f>#REF!*2</f>
        <v>#REF!</v>
      </c>
      <c r="DJ105" s="28" t="e">
        <f>#REF!</f>
        <v>#REF!</v>
      </c>
      <c r="DK105" s="28" t="e">
        <f>#REF!*2</f>
        <v>#REF!</v>
      </c>
      <c r="DL105" s="28" t="e">
        <f>#REF!</f>
        <v>#REF!</v>
      </c>
      <c r="DM105" s="28" t="e">
        <f>#REF!*2</f>
        <v>#REF!</v>
      </c>
      <c r="DN105" s="27"/>
      <c r="DO105" s="26" t="str" cm="1">
        <f t="array" ref="DO105">_xlfn.IFS(
   OR(CH105="",ISBLANK(CH105),CH105=0),0,
   ISNUMBER(MATCH(CH105,{2,3,5,7,11,13,17,19,23,29,31,37,41,43},0)),"소",
   AND(ISNUMBER(CH105),MOD(CH105,3)=0),"배",
   AND(ISNUMBER(CH105),CH105&gt;0),"자"
)</f>
        <v>배</v>
      </c>
      <c r="DP105" s="26" t="str" cm="1">
        <f t="array" ref="DP105">_xlfn.IFS(
   OR(CI105="",ISBLANK(CI105),CI105=0),0,
   ISNUMBER(MATCH(CI105,{2,3,5,7,11,13,17,19,23,29,31,37,41,43},0)),"소",
   AND(ISNUMBER(CI105),MOD(CI105,3)=0),"배",
   AND(ISNUMBER(CI105),CI105&gt;0),"자"
)</f>
        <v>소</v>
      </c>
      <c r="DQ105" s="26" t="str" cm="1">
        <f t="array" ref="DQ105">_xlfn.IFS(
   OR(CJ105="",ISBLANK(CJ105),CJ105=0),0,
   ISNUMBER(MATCH(CJ105,{2,3,5,7,11,13,17,19,23,29,31,37,41,43},0)),"소",
   AND(ISNUMBER(CJ105),MOD(CJ105,3)=0),"배",
   AND(ISNUMBER(CJ105),CJ105&gt;0),"자"
)</f>
        <v>소</v>
      </c>
      <c r="DR105" s="26" t="str" cm="1">
        <f t="array" ref="DR105">_xlfn.IFS(
   OR(CK105="",ISBLANK(CK105),CK105=0),0,
   ISNUMBER(MATCH(CK105,{2,3,5,7,11,13,17,19,23,29,31,37,41,43},0)),"소",
   AND(ISNUMBER(CK105),MOD(CK105,3)=0),"배",
   AND(ISNUMBER(CK105),CK105&gt;0),"자"
)</f>
        <v>소</v>
      </c>
      <c r="DS105" s="26" t="str" cm="1">
        <f t="array" ref="DS105">_xlfn.IFS(
   OR(CL105="",ISBLANK(CL105),CL105=0),0,
   ISNUMBER(MATCH(CL105,{2,3,5,7,11,13,17,19,23,29,31,37,41,43},0)),"소",
   AND(ISNUMBER(CL105),MOD(CL105,3)=0),"배",
   AND(ISNUMBER(CL105),CL105&gt;0),"자"
)</f>
        <v>소</v>
      </c>
      <c r="DT105" s="25"/>
    </row>
    <row r="106" spans="2:124" x14ac:dyDescent="0.3">
      <c r="B106" s="3">
        <v>5</v>
      </c>
      <c r="C106" s="3">
        <v>13</v>
      </c>
      <c r="D106" s="3">
        <v>26</v>
      </c>
      <c r="E106" s="3">
        <v>29</v>
      </c>
      <c r="F106" s="3">
        <v>37</v>
      </c>
      <c r="G106" s="3">
        <v>40</v>
      </c>
      <c r="H106" s="32"/>
      <c r="I106" s="3">
        <f t="shared" si="40"/>
        <v>1</v>
      </c>
      <c r="J106" s="3">
        <f t="shared" si="41"/>
        <v>1</v>
      </c>
      <c r="K106" s="3">
        <f t="shared" si="42"/>
        <v>2</v>
      </c>
      <c r="L106" s="3">
        <f t="shared" si="43"/>
        <v>1</v>
      </c>
      <c r="M106" s="3">
        <f t="shared" si="44"/>
        <v>1</v>
      </c>
      <c r="N106" s="3">
        <f t="shared" si="45"/>
        <v>2</v>
      </c>
      <c r="O106" s="32"/>
      <c r="P106" s="3" cm="1">
        <f t="array" ref="P106">SUMPRODUCT(--(MOD(B106:G106,2)=1))</f>
        <v>4</v>
      </c>
      <c r="Q106" s="3">
        <f t="shared" si="46"/>
        <v>2</v>
      </c>
      <c r="R106" s="34"/>
      <c r="S106" s="3">
        <f t="shared" si="47"/>
        <v>2</v>
      </c>
      <c r="T106" s="3">
        <f t="shared" si="48"/>
        <v>4</v>
      </c>
      <c r="U106" s="34"/>
      <c r="V106" s="3" cm="1">
        <f t="array" ref="V106">SUMPRODUCT(--(MOD(B106:G106,10)&gt;=1), --(MOD(B106:G106,10)&lt;=5))</f>
        <v>2</v>
      </c>
      <c r="W106" s="3">
        <f t="shared" si="49"/>
        <v>4</v>
      </c>
      <c r="X106" s="34"/>
      <c r="Y106" s="3" cm="1">
        <f t="array" ref="Y106">IFERROR(COUNT(_xlfn._xlws.FILTER(B106:G106, ISNUMBER(MATCH(B106:G106, {2,3,5,7,11,13,17,19,23,29,31,37,41,43}, 0)))), 0)</f>
        <v>4</v>
      </c>
      <c r="Z106" s="3" cm="1">
        <f t="array" ref="Z106">IFERROR(COUNT(_xlfn._xlws.FILTER(B106:G106, ISNUMBER(MATCH(B106:G106, {1,4,8,10,14,16,20,22,25,26,28,32,34,35,38,40,44}, 0)))), 0)</f>
        <v>2</v>
      </c>
      <c r="AA106" s="3" cm="1">
        <f t="array" ref="AA106">IFERROR(COUNT(_xlfn._xlws.FILTER(B106:G106, ISNUMBER(MATCH(B106:G106, {6,9,12,15,18,21,24,27,30,33,36,39,42,45}, 0)))), 0)</f>
        <v>0</v>
      </c>
      <c r="AB106" s="30"/>
      <c r="AC106" s="26" t="str" cm="1">
        <f t="array" ref="AC106">_xlfn.IFS(
   OR(B106="",ISBLANK(B106),B106=0),0,
   ISNUMBER(MATCH(B106,{2,3,5,7,11,13,17,19,23,29,31,37,41,43},0)),"소",
   AND(ISNUMBER(B106),MOD(B106,3)=0),"배",
   AND(ISNUMBER(B106),B106&gt;0),"자"
)</f>
        <v>소</v>
      </c>
      <c r="AD106" s="26" t="str" cm="1">
        <f t="array" ref="AD106">_xlfn.IFS(
   OR(C106="",ISBLANK(C106),C106=0),0,
   ISNUMBER(MATCH(C106,{2,3,5,7,11,13,17,19,23,29,31,37,41,43},0)),"소",
   AND(ISNUMBER(C106),MOD(C106,3)=0),"배",
   AND(ISNUMBER(C106),C106&gt;0),"자"
)</f>
        <v>소</v>
      </c>
      <c r="AE106" s="26" t="str" cm="1">
        <f t="array" ref="AE106">_xlfn.IFS(
   OR(D106="",ISBLANK(D106),D106=0),0,
   ISNUMBER(MATCH(D106,{2,3,5,7,11,13,17,19,23,29,31,37,41,43},0)),"소",
   AND(ISNUMBER(D106),MOD(D106,3)=0),"배",
   AND(ISNUMBER(D106),D106&gt;0),"자"
)</f>
        <v>자</v>
      </c>
      <c r="AF106" s="26" t="str" cm="1">
        <f t="array" ref="AF106">_xlfn.IFS(
   OR(E106="",ISBLANK(E106),E106=0),0,
   ISNUMBER(MATCH(E106,{2,3,5,7,11,13,17,19,23,29,31,37,41,43},0)),"소",
   AND(ISNUMBER(E106),MOD(E106,3)=0),"배",
   AND(ISNUMBER(E106),E106&gt;0),"자"
)</f>
        <v>소</v>
      </c>
      <c r="AG106" s="26" t="str" cm="1">
        <f t="array" ref="AG106">_xlfn.IFS(
   OR(F106="",ISBLANK(F106),F106=0),0,
   ISNUMBER(MATCH(F106,{2,3,5,7,11,13,17,19,23,29,31,37,41,43},0)),"소",
   AND(ISNUMBER(F106),MOD(F106,3)=0),"배",
   AND(ISNUMBER(F106),F106&gt;0),"자"
)</f>
        <v>소</v>
      </c>
      <c r="AH106" s="26" t="str" cm="1">
        <f t="array" ref="AH106">_xlfn.IFS(
   OR(G106="",ISBLANK(G106),G106=0),0,
   ISNUMBER(MATCH(G106,{2,3,5,7,11,13,17,19,23,29,31,37,41,43},0)),"소",
   AND(ISNUMBER(G106),MOD(G106,3)=0),"배",
   AND(ISNUMBER(G106),G106&gt;0),"자"
)</f>
        <v>자</v>
      </c>
      <c r="AI106" s="30"/>
      <c r="AJ106" s="3">
        <f t="shared" si="50"/>
        <v>2</v>
      </c>
      <c r="AK106" s="3">
        <f t="shared" si="51"/>
        <v>2</v>
      </c>
      <c r="AL106" s="3">
        <f t="shared" si="52"/>
        <v>2</v>
      </c>
      <c r="AM106" s="33"/>
      <c r="AN106" s="3">
        <f t="shared" si="53"/>
        <v>1</v>
      </c>
      <c r="AO106" s="3">
        <f t="shared" si="54"/>
        <v>1</v>
      </c>
      <c r="AP106" s="3">
        <f t="shared" si="55"/>
        <v>1</v>
      </c>
      <c r="AQ106" s="3">
        <f t="shared" si="56"/>
        <v>1</v>
      </c>
      <c r="AR106" s="3">
        <f t="shared" si="57"/>
        <v>2</v>
      </c>
      <c r="AS106" s="28" t="e">
        <f>#REF!</f>
        <v>#REF!</v>
      </c>
      <c r="AT106" s="28" t="e">
        <f>#REF!*2</f>
        <v>#REF!</v>
      </c>
      <c r="AU106" s="28" t="e">
        <f>#REF!</f>
        <v>#REF!</v>
      </c>
      <c r="AV106" s="28" t="e">
        <f>#REF!*2</f>
        <v>#REF!</v>
      </c>
      <c r="AW106" s="28" t="e">
        <f>#REF!</f>
        <v>#REF!</v>
      </c>
      <c r="AX106" s="28" t="e">
        <f>#REF!*2</f>
        <v>#REF!</v>
      </c>
      <c r="AY106" s="28" t="e">
        <f>#REF!</f>
        <v>#REF!</v>
      </c>
      <c r="AZ106" s="28" t="e">
        <f>#REF!*2</f>
        <v>#REF!</v>
      </c>
      <c r="BA106" s="28" t="e">
        <f>#REF!</f>
        <v>#REF!</v>
      </c>
      <c r="BB106" s="28" t="e">
        <f>#REF!*2</f>
        <v>#REF!</v>
      </c>
      <c r="BC106" s="28" t="e">
        <f>#REF!</f>
        <v>#REF!</v>
      </c>
      <c r="BD106" s="28" t="e">
        <f>#REF!*2</f>
        <v>#REF!</v>
      </c>
      <c r="BE106" s="9" t="e">
        <f>#REF!-#REF!</f>
        <v>#REF!</v>
      </c>
      <c r="BF106" s="9" t="e">
        <f>#REF!-#REF!</f>
        <v>#REF!</v>
      </c>
      <c r="BG106" s="9" t="e">
        <f>#REF!-#REF!</f>
        <v>#REF!</v>
      </c>
      <c r="BH106" s="9" t="e">
        <f>#REF!-#REF!</f>
        <v>#REF!</v>
      </c>
      <c r="BI106" s="9" t="e">
        <f>#REF!-#REF!</f>
        <v>#REF!</v>
      </c>
      <c r="BJ106" s="33"/>
      <c r="BK106" s="3">
        <f t="shared" si="58"/>
        <v>1</v>
      </c>
      <c r="BL106" s="3">
        <f t="shared" si="59"/>
        <v>1</v>
      </c>
      <c r="BM106" s="3">
        <f t="shared" si="60"/>
        <v>2</v>
      </c>
      <c r="BN106" s="3">
        <f t="shared" si="61"/>
        <v>1</v>
      </c>
      <c r="BO106" s="3">
        <f t="shared" si="62"/>
        <v>1</v>
      </c>
      <c r="BP106" s="28" t="e">
        <f>#REF!</f>
        <v>#REF!</v>
      </c>
      <c r="BQ106" s="28" t="e">
        <f>#REF!*2</f>
        <v>#REF!</v>
      </c>
      <c r="BR106" s="28" t="e">
        <f>#REF!</f>
        <v>#REF!</v>
      </c>
      <c r="BS106" s="28" t="e">
        <f>#REF!*2</f>
        <v>#REF!</v>
      </c>
      <c r="BT106" s="28" t="e">
        <f>#REF!</f>
        <v>#REF!</v>
      </c>
      <c r="BU106" s="28" t="e">
        <f>#REF!*2</f>
        <v>#REF!</v>
      </c>
      <c r="BV106" s="28" t="e">
        <f>#REF!</f>
        <v>#REF!</v>
      </c>
      <c r="BW106" s="28" t="e">
        <f>#REF!*2</f>
        <v>#REF!</v>
      </c>
      <c r="BX106" s="28" t="e">
        <f>#REF!</f>
        <v>#REF!</v>
      </c>
      <c r="BY106" s="28" t="e">
        <f>#REF!*2</f>
        <v>#REF!</v>
      </c>
      <c r="BZ106" s="28" t="e">
        <f>#REF!</f>
        <v>#REF!</v>
      </c>
      <c r="CA106" s="28" t="e">
        <f>#REF!*2</f>
        <v>#REF!</v>
      </c>
      <c r="CB106" s="9">
        <f t="shared" si="63"/>
        <v>8</v>
      </c>
      <c r="CC106" s="9">
        <f t="shared" si="64"/>
        <v>13</v>
      </c>
      <c r="CD106" s="9">
        <f t="shared" si="65"/>
        <v>3</v>
      </c>
      <c r="CE106" s="9">
        <f t="shared" si="66"/>
        <v>8</v>
      </c>
      <c r="CF106" s="9">
        <f t="shared" si="67"/>
        <v>3</v>
      </c>
      <c r="CG106" s="33"/>
      <c r="CH106" s="9">
        <f t="shared" si="68"/>
        <v>8</v>
      </c>
      <c r="CI106" s="9">
        <f t="shared" si="69"/>
        <v>13</v>
      </c>
      <c r="CJ106" s="9">
        <f t="shared" si="70"/>
        <v>3</v>
      </c>
      <c r="CK106" s="9">
        <f t="shared" si="71"/>
        <v>8</v>
      </c>
      <c r="CL106" s="9">
        <f t="shared" si="72"/>
        <v>3</v>
      </c>
      <c r="CM106" s="32"/>
      <c r="CN106" s="3">
        <f t="shared" si="73"/>
        <v>2</v>
      </c>
      <c r="CO106" s="3">
        <f t="shared" si="74"/>
        <v>1</v>
      </c>
      <c r="CP106" s="3">
        <f t="shared" si="75"/>
        <v>1</v>
      </c>
      <c r="CQ106" s="3">
        <f t="shared" si="76"/>
        <v>2</v>
      </c>
      <c r="CR106" s="3">
        <f t="shared" si="77"/>
        <v>1</v>
      </c>
      <c r="CS106" s="31"/>
      <c r="CT106" s="3" cm="1">
        <f t="array" ref="CT106">SUMPRODUCT(--(MOD(CH106:CL106,2)=1))</f>
        <v>3</v>
      </c>
      <c r="CU106" s="3">
        <f t="shared" si="78"/>
        <v>2</v>
      </c>
      <c r="CV106" s="30"/>
      <c r="CW106" s="3" cm="1">
        <f t="array" ref="CW106">SUMPRODUCT(--(MOD(CH106:CL106,10)&gt;=1), --(MOD(CH106:CL106,10)&lt;=5))</f>
        <v>3</v>
      </c>
      <c r="CX106" s="3">
        <f t="shared" si="79"/>
        <v>2</v>
      </c>
      <c r="CY106" s="30"/>
      <c r="CZ106" s="3" cm="1">
        <f t="array" ref="CZ106">IFERROR(COUNT(_xlfn._xlws.FILTER(CH106:CL106, ISNUMBER(MATCH(CH106:CL106, {2,3,5,7,11,13,17,19,23,29,31,37,41,43}, 0)))), 0)</f>
        <v>3</v>
      </c>
      <c r="DA106" s="3" cm="1">
        <f t="array" ref="DA106">IFERROR(COUNT(_xlfn._xlws.FILTER(CH106:CL106, ISNUMBER(MATCH(CH106:CL106, {1,4,8,10,14,16,20,22,25,26,28,32,34,35,38,40,44}, 0)))), 0)</f>
        <v>2</v>
      </c>
      <c r="DB106" s="3" cm="1">
        <f t="array" ref="DB106">IFERROR(COUNT(_xlfn._xlws.FILTER(CH106:CL106, ISNUMBER(MATCH(CH106:CL106, {6,9,12,15,18,21,24,27,30,33,36,39,42,45}, 0)))), 0)</f>
        <v>0</v>
      </c>
      <c r="DC106" s="29"/>
      <c r="DD106" s="28" t="e">
        <f>#REF!</f>
        <v>#REF!</v>
      </c>
      <c r="DE106" s="28" t="e">
        <f>#REF!*2</f>
        <v>#REF!</v>
      </c>
      <c r="DF106" s="28" t="e">
        <f>#REF!</f>
        <v>#REF!</v>
      </c>
      <c r="DG106" s="28" t="e">
        <f>#REF!*2</f>
        <v>#REF!</v>
      </c>
      <c r="DH106" s="28" t="e">
        <f>#REF!</f>
        <v>#REF!</v>
      </c>
      <c r="DI106" s="28" t="e">
        <f>#REF!*2</f>
        <v>#REF!</v>
      </c>
      <c r="DJ106" s="28" t="e">
        <f>#REF!</f>
        <v>#REF!</v>
      </c>
      <c r="DK106" s="28" t="e">
        <f>#REF!*2</f>
        <v>#REF!</v>
      </c>
      <c r="DL106" s="28" t="e">
        <f>#REF!</f>
        <v>#REF!</v>
      </c>
      <c r="DM106" s="28" t="e">
        <f>#REF!*2</f>
        <v>#REF!</v>
      </c>
      <c r="DN106" s="27"/>
      <c r="DO106" s="26" t="str" cm="1">
        <f t="array" ref="DO106">_xlfn.IFS(
   OR(CH106="",ISBLANK(CH106),CH106=0),0,
   ISNUMBER(MATCH(CH106,{2,3,5,7,11,13,17,19,23,29,31,37,41,43},0)),"소",
   AND(ISNUMBER(CH106),MOD(CH106,3)=0),"배",
   AND(ISNUMBER(CH106),CH106&gt;0),"자"
)</f>
        <v>자</v>
      </c>
      <c r="DP106" s="26" t="str" cm="1">
        <f t="array" ref="DP106">_xlfn.IFS(
   OR(CI106="",ISBLANK(CI106),CI106=0),0,
   ISNUMBER(MATCH(CI106,{2,3,5,7,11,13,17,19,23,29,31,37,41,43},0)),"소",
   AND(ISNUMBER(CI106),MOD(CI106,3)=0),"배",
   AND(ISNUMBER(CI106),CI106&gt;0),"자"
)</f>
        <v>소</v>
      </c>
      <c r="DQ106" s="26" t="str" cm="1">
        <f t="array" ref="DQ106">_xlfn.IFS(
   OR(CJ106="",ISBLANK(CJ106),CJ106=0),0,
   ISNUMBER(MATCH(CJ106,{2,3,5,7,11,13,17,19,23,29,31,37,41,43},0)),"소",
   AND(ISNUMBER(CJ106),MOD(CJ106,3)=0),"배",
   AND(ISNUMBER(CJ106),CJ106&gt;0),"자"
)</f>
        <v>소</v>
      </c>
      <c r="DR106" s="26" t="str" cm="1">
        <f t="array" ref="DR106">_xlfn.IFS(
   OR(CK106="",ISBLANK(CK106),CK106=0),0,
   ISNUMBER(MATCH(CK106,{2,3,5,7,11,13,17,19,23,29,31,37,41,43},0)),"소",
   AND(ISNUMBER(CK106),MOD(CK106,3)=0),"배",
   AND(ISNUMBER(CK106),CK106&gt;0),"자"
)</f>
        <v>자</v>
      </c>
      <c r="DS106" s="26" t="str" cm="1">
        <f t="array" ref="DS106">_xlfn.IFS(
   OR(CL106="",ISBLANK(CL106),CL106=0),0,
   ISNUMBER(MATCH(CL106,{2,3,5,7,11,13,17,19,23,29,31,37,41,43},0)),"소",
   AND(ISNUMBER(CL106),MOD(CL106,3)=0),"배",
   AND(ISNUMBER(CL106),CL106&gt;0),"자"
)</f>
        <v>소</v>
      </c>
      <c r="DT106" s="25"/>
    </row>
    <row r="107" spans="2:124" x14ac:dyDescent="0.3">
      <c r="B107" s="3">
        <v>3</v>
      </c>
      <c r="C107" s="3">
        <v>4</v>
      </c>
      <c r="D107" s="3">
        <v>12</v>
      </c>
      <c r="E107" s="3">
        <v>19</v>
      </c>
      <c r="F107" s="3">
        <v>22</v>
      </c>
      <c r="G107" s="3">
        <v>27</v>
      </c>
      <c r="H107" s="32"/>
      <c r="I107" s="3">
        <f t="shared" si="40"/>
        <v>1</v>
      </c>
      <c r="J107" s="3">
        <f t="shared" si="41"/>
        <v>2</v>
      </c>
      <c r="K107" s="3">
        <f t="shared" si="42"/>
        <v>2</v>
      </c>
      <c r="L107" s="3">
        <f t="shared" si="43"/>
        <v>1</v>
      </c>
      <c r="M107" s="3">
        <f t="shared" si="44"/>
        <v>2</v>
      </c>
      <c r="N107" s="3">
        <f t="shared" si="45"/>
        <v>1</v>
      </c>
      <c r="O107" s="32"/>
      <c r="P107" s="3" cm="1">
        <f t="array" ref="P107">SUMPRODUCT(--(MOD(B107:G107,2)=1))</f>
        <v>3</v>
      </c>
      <c r="Q107" s="3">
        <f t="shared" si="46"/>
        <v>3</v>
      </c>
      <c r="R107" s="34"/>
      <c r="S107" s="3">
        <f t="shared" si="47"/>
        <v>5</v>
      </c>
      <c r="T107" s="3">
        <f t="shared" si="48"/>
        <v>1</v>
      </c>
      <c r="U107" s="34"/>
      <c r="V107" s="3" cm="1">
        <f t="array" ref="V107">SUMPRODUCT(--(MOD(B107:G107,10)&gt;=1), --(MOD(B107:G107,10)&lt;=5))</f>
        <v>4</v>
      </c>
      <c r="W107" s="3">
        <f t="shared" si="49"/>
        <v>2</v>
      </c>
      <c r="X107" s="34"/>
      <c r="Y107" s="3" cm="1">
        <f t="array" ref="Y107">IFERROR(COUNT(_xlfn._xlws.FILTER(B107:G107, ISNUMBER(MATCH(B107:G107, {2,3,5,7,11,13,17,19,23,29,31,37,41,43}, 0)))), 0)</f>
        <v>2</v>
      </c>
      <c r="Z107" s="3" cm="1">
        <f t="array" ref="Z107">IFERROR(COUNT(_xlfn._xlws.FILTER(B107:G107, ISNUMBER(MATCH(B107:G107, {1,4,8,10,14,16,20,22,25,26,28,32,34,35,38,40,44}, 0)))), 0)</f>
        <v>2</v>
      </c>
      <c r="AA107" s="3" cm="1">
        <f t="array" ref="AA107">IFERROR(COUNT(_xlfn._xlws.FILTER(B107:G107, ISNUMBER(MATCH(B107:G107, {6,9,12,15,18,21,24,27,30,33,36,39,42,45}, 0)))), 0)</f>
        <v>2</v>
      </c>
      <c r="AB107" s="30"/>
      <c r="AC107" s="26" t="str" cm="1">
        <f t="array" ref="AC107">_xlfn.IFS(
   OR(B107="",ISBLANK(B107),B107=0),0,
   ISNUMBER(MATCH(B107,{2,3,5,7,11,13,17,19,23,29,31,37,41,43},0)),"소",
   AND(ISNUMBER(B107),MOD(B107,3)=0),"배",
   AND(ISNUMBER(B107),B107&gt;0),"자"
)</f>
        <v>소</v>
      </c>
      <c r="AD107" s="26" t="str" cm="1">
        <f t="array" ref="AD107">_xlfn.IFS(
   OR(C107="",ISBLANK(C107),C107=0),0,
   ISNUMBER(MATCH(C107,{2,3,5,7,11,13,17,19,23,29,31,37,41,43},0)),"소",
   AND(ISNUMBER(C107),MOD(C107,3)=0),"배",
   AND(ISNUMBER(C107),C107&gt;0),"자"
)</f>
        <v>자</v>
      </c>
      <c r="AE107" s="26" t="str" cm="1">
        <f t="array" ref="AE107">_xlfn.IFS(
   OR(D107="",ISBLANK(D107),D107=0),0,
   ISNUMBER(MATCH(D107,{2,3,5,7,11,13,17,19,23,29,31,37,41,43},0)),"소",
   AND(ISNUMBER(D107),MOD(D107,3)=0),"배",
   AND(ISNUMBER(D107),D107&gt;0),"자"
)</f>
        <v>배</v>
      </c>
      <c r="AF107" s="26" t="str" cm="1">
        <f t="array" ref="AF107">_xlfn.IFS(
   OR(E107="",ISBLANK(E107),E107=0),0,
   ISNUMBER(MATCH(E107,{2,3,5,7,11,13,17,19,23,29,31,37,41,43},0)),"소",
   AND(ISNUMBER(E107),MOD(E107,3)=0),"배",
   AND(ISNUMBER(E107),E107&gt;0),"자"
)</f>
        <v>소</v>
      </c>
      <c r="AG107" s="26" t="str" cm="1">
        <f t="array" ref="AG107">_xlfn.IFS(
   OR(F107="",ISBLANK(F107),F107=0),0,
   ISNUMBER(MATCH(F107,{2,3,5,7,11,13,17,19,23,29,31,37,41,43},0)),"소",
   AND(ISNUMBER(F107),MOD(F107,3)=0),"배",
   AND(ISNUMBER(F107),F107&gt;0),"자"
)</f>
        <v>자</v>
      </c>
      <c r="AH107" s="26" t="str" cm="1">
        <f t="array" ref="AH107">_xlfn.IFS(
   OR(G107="",ISBLANK(G107),G107=0),0,
   ISNUMBER(MATCH(G107,{2,3,5,7,11,13,17,19,23,29,31,37,41,43},0)),"소",
   AND(ISNUMBER(G107),MOD(G107,3)=0),"배",
   AND(ISNUMBER(G107),G107&gt;0),"자"
)</f>
        <v>배</v>
      </c>
      <c r="AI107" s="30"/>
      <c r="AJ107" s="3">
        <f t="shared" si="50"/>
        <v>3</v>
      </c>
      <c r="AK107" s="3">
        <f t="shared" si="51"/>
        <v>3</v>
      </c>
      <c r="AL107" s="3">
        <f t="shared" si="52"/>
        <v>0</v>
      </c>
      <c r="AM107" s="33"/>
      <c r="AN107" s="3">
        <f t="shared" si="53"/>
        <v>2</v>
      </c>
      <c r="AO107" s="3">
        <f t="shared" si="54"/>
        <v>1</v>
      </c>
      <c r="AP107" s="3">
        <f t="shared" si="55"/>
        <v>3</v>
      </c>
      <c r="AQ107" s="3">
        <f t="shared" si="56"/>
        <v>0</v>
      </c>
      <c r="AR107" s="3">
        <f t="shared" si="57"/>
        <v>0</v>
      </c>
      <c r="AS107" s="28" t="e">
        <f>#REF!</f>
        <v>#REF!</v>
      </c>
      <c r="AT107" s="28" t="e">
        <f>#REF!*2</f>
        <v>#REF!</v>
      </c>
      <c r="AU107" s="28" t="e">
        <f>#REF!</f>
        <v>#REF!</v>
      </c>
      <c r="AV107" s="28" t="e">
        <f>#REF!*2</f>
        <v>#REF!</v>
      </c>
      <c r="AW107" s="28" t="e">
        <f>#REF!</f>
        <v>#REF!</v>
      </c>
      <c r="AX107" s="28" t="e">
        <f>#REF!*2</f>
        <v>#REF!</v>
      </c>
      <c r="AY107" s="28" t="e">
        <f>#REF!</f>
        <v>#REF!</v>
      </c>
      <c r="AZ107" s="28" t="e">
        <f>#REF!*2</f>
        <v>#REF!</v>
      </c>
      <c r="BA107" s="28" t="e">
        <f>#REF!</f>
        <v>#REF!</v>
      </c>
      <c r="BB107" s="28" t="e">
        <f>#REF!*2</f>
        <v>#REF!</v>
      </c>
      <c r="BC107" s="28" t="e">
        <f>#REF!</f>
        <v>#REF!</v>
      </c>
      <c r="BD107" s="28" t="e">
        <f>#REF!*2</f>
        <v>#REF!</v>
      </c>
      <c r="BE107" s="9" t="e">
        <f>#REF!-#REF!</f>
        <v>#REF!</v>
      </c>
      <c r="BF107" s="9" t="e">
        <f>#REF!-#REF!</f>
        <v>#REF!</v>
      </c>
      <c r="BG107" s="9" t="e">
        <f>#REF!-#REF!</f>
        <v>#REF!</v>
      </c>
      <c r="BH107" s="9" t="e">
        <f>#REF!-#REF!</f>
        <v>#REF!</v>
      </c>
      <c r="BI107" s="9" t="e">
        <f>#REF!-#REF!</f>
        <v>#REF!</v>
      </c>
      <c r="BJ107" s="33"/>
      <c r="BK107" s="3">
        <f t="shared" si="58"/>
        <v>2</v>
      </c>
      <c r="BL107" s="3">
        <f t="shared" si="59"/>
        <v>2</v>
      </c>
      <c r="BM107" s="3">
        <f t="shared" si="60"/>
        <v>2</v>
      </c>
      <c r="BN107" s="3">
        <f t="shared" si="61"/>
        <v>0</v>
      </c>
      <c r="BO107" s="3">
        <f t="shared" si="62"/>
        <v>0</v>
      </c>
      <c r="BP107" s="28" t="e">
        <f>#REF!</f>
        <v>#REF!</v>
      </c>
      <c r="BQ107" s="28" t="e">
        <f>#REF!*2</f>
        <v>#REF!</v>
      </c>
      <c r="BR107" s="28" t="e">
        <f>#REF!</f>
        <v>#REF!</v>
      </c>
      <c r="BS107" s="28" t="e">
        <f>#REF!*2</f>
        <v>#REF!</v>
      </c>
      <c r="BT107" s="28" t="e">
        <f>#REF!</f>
        <v>#REF!</v>
      </c>
      <c r="BU107" s="28" t="e">
        <f>#REF!*2</f>
        <v>#REF!</v>
      </c>
      <c r="BV107" s="28" t="e">
        <f>#REF!</f>
        <v>#REF!</v>
      </c>
      <c r="BW107" s="28" t="e">
        <f>#REF!*2</f>
        <v>#REF!</v>
      </c>
      <c r="BX107" s="28" t="e">
        <f>#REF!</f>
        <v>#REF!</v>
      </c>
      <c r="BY107" s="28" t="e">
        <f>#REF!*2</f>
        <v>#REF!</v>
      </c>
      <c r="BZ107" s="28" t="e">
        <f>#REF!</f>
        <v>#REF!</v>
      </c>
      <c r="CA107" s="28" t="e">
        <f>#REF!*2</f>
        <v>#REF!</v>
      </c>
      <c r="CB107" s="9">
        <f t="shared" si="63"/>
        <v>1</v>
      </c>
      <c r="CC107" s="9">
        <f t="shared" si="64"/>
        <v>8</v>
      </c>
      <c r="CD107" s="9">
        <f t="shared" si="65"/>
        <v>7</v>
      </c>
      <c r="CE107" s="9">
        <f t="shared" si="66"/>
        <v>3</v>
      </c>
      <c r="CF107" s="9">
        <f t="shared" si="67"/>
        <v>5</v>
      </c>
      <c r="CG107" s="33"/>
      <c r="CH107" s="9">
        <f t="shared" si="68"/>
        <v>1</v>
      </c>
      <c r="CI107" s="9">
        <f t="shared" si="69"/>
        <v>8</v>
      </c>
      <c r="CJ107" s="9">
        <f t="shared" si="70"/>
        <v>7</v>
      </c>
      <c r="CK107" s="9">
        <f t="shared" si="71"/>
        <v>3</v>
      </c>
      <c r="CL107" s="9">
        <f t="shared" si="72"/>
        <v>5</v>
      </c>
      <c r="CM107" s="32"/>
      <c r="CN107" s="3">
        <f t="shared" si="73"/>
        <v>1</v>
      </c>
      <c r="CO107" s="3">
        <f t="shared" si="74"/>
        <v>2</v>
      </c>
      <c r="CP107" s="3">
        <f t="shared" si="75"/>
        <v>1</v>
      </c>
      <c r="CQ107" s="3">
        <f t="shared" si="76"/>
        <v>1</v>
      </c>
      <c r="CR107" s="3">
        <f t="shared" si="77"/>
        <v>1</v>
      </c>
      <c r="CS107" s="31"/>
      <c r="CT107" s="3" cm="1">
        <f t="array" ref="CT107">SUMPRODUCT(--(MOD(CH107:CL107,2)=1))</f>
        <v>4</v>
      </c>
      <c r="CU107" s="3">
        <f t="shared" si="78"/>
        <v>1</v>
      </c>
      <c r="CV107" s="30"/>
      <c r="CW107" s="3" cm="1">
        <f t="array" ref="CW107">SUMPRODUCT(--(MOD(CH107:CL107,10)&gt;=1), --(MOD(CH107:CL107,10)&lt;=5))</f>
        <v>3</v>
      </c>
      <c r="CX107" s="3">
        <f t="shared" si="79"/>
        <v>2</v>
      </c>
      <c r="CY107" s="30"/>
      <c r="CZ107" s="3" cm="1">
        <f t="array" ref="CZ107">IFERROR(COUNT(_xlfn._xlws.FILTER(CH107:CL107, ISNUMBER(MATCH(CH107:CL107, {2,3,5,7,11,13,17,19,23,29,31,37,41,43}, 0)))), 0)</f>
        <v>3</v>
      </c>
      <c r="DA107" s="3" cm="1">
        <f t="array" ref="DA107">IFERROR(COUNT(_xlfn._xlws.FILTER(CH107:CL107, ISNUMBER(MATCH(CH107:CL107, {1,4,8,10,14,16,20,22,25,26,28,32,34,35,38,40,44}, 0)))), 0)</f>
        <v>2</v>
      </c>
      <c r="DB107" s="3" cm="1">
        <f t="array" ref="DB107">IFERROR(COUNT(_xlfn._xlws.FILTER(CH107:CL107, ISNUMBER(MATCH(CH107:CL107, {6,9,12,15,18,21,24,27,30,33,36,39,42,45}, 0)))), 0)</f>
        <v>0</v>
      </c>
      <c r="DC107" s="29"/>
      <c r="DD107" s="28" t="e">
        <f>#REF!</f>
        <v>#REF!</v>
      </c>
      <c r="DE107" s="28" t="e">
        <f>#REF!*2</f>
        <v>#REF!</v>
      </c>
      <c r="DF107" s="28" t="e">
        <f>#REF!</f>
        <v>#REF!</v>
      </c>
      <c r="DG107" s="28" t="e">
        <f>#REF!*2</f>
        <v>#REF!</v>
      </c>
      <c r="DH107" s="28" t="e">
        <f>#REF!</f>
        <v>#REF!</v>
      </c>
      <c r="DI107" s="28" t="e">
        <f>#REF!*2</f>
        <v>#REF!</v>
      </c>
      <c r="DJ107" s="28" t="e">
        <f>#REF!</f>
        <v>#REF!</v>
      </c>
      <c r="DK107" s="28" t="e">
        <f>#REF!*2</f>
        <v>#REF!</v>
      </c>
      <c r="DL107" s="28" t="e">
        <f>#REF!</f>
        <v>#REF!</v>
      </c>
      <c r="DM107" s="28" t="e">
        <f>#REF!*2</f>
        <v>#REF!</v>
      </c>
      <c r="DN107" s="27"/>
      <c r="DO107" s="26" t="str" cm="1">
        <f t="array" ref="DO107">_xlfn.IFS(
   OR(CH107="",ISBLANK(CH107),CH107=0),0,
   ISNUMBER(MATCH(CH107,{2,3,5,7,11,13,17,19,23,29,31,37,41,43},0)),"소",
   AND(ISNUMBER(CH107),MOD(CH107,3)=0),"배",
   AND(ISNUMBER(CH107),CH107&gt;0),"자"
)</f>
        <v>자</v>
      </c>
      <c r="DP107" s="26" t="str" cm="1">
        <f t="array" ref="DP107">_xlfn.IFS(
   OR(CI107="",ISBLANK(CI107),CI107=0),0,
   ISNUMBER(MATCH(CI107,{2,3,5,7,11,13,17,19,23,29,31,37,41,43},0)),"소",
   AND(ISNUMBER(CI107),MOD(CI107,3)=0),"배",
   AND(ISNUMBER(CI107),CI107&gt;0),"자"
)</f>
        <v>자</v>
      </c>
      <c r="DQ107" s="26" t="str" cm="1">
        <f t="array" ref="DQ107">_xlfn.IFS(
   OR(CJ107="",ISBLANK(CJ107),CJ107=0),0,
   ISNUMBER(MATCH(CJ107,{2,3,5,7,11,13,17,19,23,29,31,37,41,43},0)),"소",
   AND(ISNUMBER(CJ107),MOD(CJ107,3)=0),"배",
   AND(ISNUMBER(CJ107),CJ107&gt;0),"자"
)</f>
        <v>소</v>
      </c>
      <c r="DR107" s="26" t="str" cm="1">
        <f t="array" ref="DR107">_xlfn.IFS(
   OR(CK107="",ISBLANK(CK107),CK107=0),0,
   ISNUMBER(MATCH(CK107,{2,3,5,7,11,13,17,19,23,29,31,37,41,43},0)),"소",
   AND(ISNUMBER(CK107),MOD(CK107,3)=0),"배",
   AND(ISNUMBER(CK107),CK107&gt;0),"자"
)</f>
        <v>소</v>
      </c>
      <c r="DS107" s="26" t="str" cm="1">
        <f t="array" ref="DS107">_xlfn.IFS(
   OR(CL107="",ISBLANK(CL107),CL107=0),0,
   ISNUMBER(MATCH(CL107,{2,3,5,7,11,13,17,19,23,29,31,37,41,43},0)),"소",
   AND(ISNUMBER(CL107),MOD(CL107,3)=0),"배",
   AND(ISNUMBER(CL107),CL107&gt;0),"자"
)</f>
        <v>소</v>
      </c>
      <c r="DT107" s="25"/>
    </row>
    <row r="108" spans="2:124" x14ac:dyDescent="0.3">
      <c r="B108" s="3">
        <v>9</v>
      </c>
      <c r="C108" s="3">
        <v>19</v>
      </c>
      <c r="D108" s="3">
        <v>29</v>
      </c>
      <c r="E108" s="3">
        <v>35</v>
      </c>
      <c r="F108" s="3">
        <v>37</v>
      </c>
      <c r="G108" s="3">
        <v>38</v>
      </c>
      <c r="H108" s="32"/>
      <c r="I108" s="3">
        <f t="shared" si="40"/>
        <v>1</v>
      </c>
      <c r="J108" s="3">
        <f t="shared" si="41"/>
        <v>1</v>
      </c>
      <c r="K108" s="3">
        <f t="shared" si="42"/>
        <v>1</v>
      </c>
      <c r="L108" s="3">
        <f t="shared" si="43"/>
        <v>1</v>
      </c>
      <c r="M108" s="3">
        <f t="shared" si="44"/>
        <v>1</v>
      </c>
      <c r="N108" s="3">
        <f t="shared" si="45"/>
        <v>2</v>
      </c>
      <c r="O108" s="32"/>
      <c r="P108" s="3" cm="1">
        <f t="array" ref="P108">SUMPRODUCT(--(MOD(B108:G108,2)=1))</f>
        <v>5</v>
      </c>
      <c r="Q108" s="3">
        <f t="shared" si="46"/>
        <v>1</v>
      </c>
      <c r="R108" s="34"/>
      <c r="S108" s="3">
        <f t="shared" si="47"/>
        <v>2</v>
      </c>
      <c r="T108" s="3">
        <f t="shared" si="48"/>
        <v>4</v>
      </c>
      <c r="U108" s="34"/>
      <c r="V108" s="3" cm="1">
        <f t="array" ref="V108">SUMPRODUCT(--(MOD(B108:G108,10)&gt;=1), --(MOD(B108:G108,10)&lt;=5))</f>
        <v>1</v>
      </c>
      <c r="W108" s="3">
        <f t="shared" si="49"/>
        <v>5</v>
      </c>
      <c r="X108" s="34"/>
      <c r="Y108" s="3" cm="1">
        <f t="array" ref="Y108">IFERROR(COUNT(_xlfn._xlws.FILTER(B108:G108, ISNUMBER(MATCH(B108:G108, {2,3,5,7,11,13,17,19,23,29,31,37,41,43}, 0)))), 0)</f>
        <v>3</v>
      </c>
      <c r="Z108" s="3" cm="1">
        <f t="array" ref="Z108">IFERROR(COUNT(_xlfn._xlws.FILTER(B108:G108, ISNUMBER(MATCH(B108:G108, {1,4,8,10,14,16,20,22,25,26,28,32,34,35,38,40,44}, 0)))), 0)</f>
        <v>2</v>
      </c>
      <c r="AA108" s="3" cm="1">
        <f t="array" ref="AA108">IFERROR(COUNT(_xlfn._xlws.FILTER(B108:G108, ISNUMBER(MATCH(B108:G108, {6,9,12,15,18,21,24,27,30,33,36,39,42,45}, 0)))), 0)</f>
        <v>1</v>
      </c>
      <c r="AB108" s="30"/>
      <c r="AC108" s="26" t="str" cm="1">
        <f t="array" ref="AC108">_xlfn.IFS(
   OR(B108="",ISBLANK(B108),B108=0),0,
   ISNUMBER(MATCH(B108,{2,3,5,7,11,13,17,19,23,29,31,37,41,43},0)),"소",
   AND(ISNUMBER(B108),MOD(B108,3)=0),"배",
   AND(ISNUMBER(B108),B108&gt;0),"자"
)</f>
        <v>배</v>
      </c>
      <c r="AD108" s="26" t="str" cm="1">
        <f t="array" ref="AD108">_xlfn.IFS(
   OR(C108="",ISBLANK(C108),C108=0),0,
   ISNUMBER(MATCH(C108,{2,3,5,7,11,13,17,19,23,29,31,37,41,43},0)),"소",
   AND(ISNUMBER(C108),MOD(C108,3)=0),"배",
   AND(ISNUMBER(C108),C108&gt;0),"자"
)</f>
        <v>소</v>
      </c>
      <c r="AE108" s="26" t="str" cm="1">
        <f t="array" ref="AE108">_xlfn.IFS(
   OR(D108="",ISBLANK(D108),D108=0),0,
   ISNUMBER(MATCH(D108,{2,3,5,7,11,13,17,19,23,29,31,37,41,43},0)),"소",
   AND(ISNUMBER(D108),MOD(D108,3)=0),"배",
   AND(ISNUMBER(D108),D108&gt;0),"자"
)</f>
        <v>소</v>
      </c>
      <c r="AF108" s="26" t="str" cm="1">
        <f t="array" ref="AF108">_xlfn.IFS(
   OR(E108="",ISBLANK(E108),E108=0),0,
   ISNUMBER(MATCH(E108,{2,3,5,7,11,13,17,19,23,29,31,37,41,43},0)),"소",
   AND(ISNUMBER(E108),MOD(E108,3)=0),"배",
   AND(ISNUMBER(E108),E108&gt;0),"자"
)</f>
        <v>자</v>
      </c>
      <c r="AG108" s="26" t="str" cm="1">
        <f t="array" ref="AG108">_xlfn.IFS(
   OR(F108="",ISBLANK(F108),F108=0),0,
   ISNUMBER(MATCH(F108,{2,3,5,7,11,13,17,19,23,29,31,37,41,43},0)),"소",
   AND(ISNUMBER(F108),MOD(F108,3)=0),"배",
   AND(ISNUMBER(F108),F108&gt;0),"자"
)</f>
        <v>소</v>
      </c>
      <c r="AH108" s="26" t="str" cm="1">
        <f t="array" ref="AH108">_xlfn.IFS(
   OR(G108="",ISBLANK(G108),G108=0),0,
   ISNUMBER(MATCH(G108,{2,3,5,7,11,13,17,19,23,29,31,37,41,43},0)),"소",
   AND(ISNUMBER(G108),MOD(G108,3)=0),"배",
   AND(ISNUMBER(G108),G108&gt;0),"자"
)</f>
        <v>자</v>
      </c>
      <c r="AI108" s="30"/>
      <c r="AJ108" s="3">
        <f t="shared" si="50"/>
        <v>1</v>
      </c>
      <c r="AK108" s="3">
        <f t="shared" si="51"/>
        <v>2</v>
      </c>
      <c r="AL108" s="3">
        <f t="shared" si="52"/>
        <v>3</v>
      </c>
      <c r="AM108" s="33"/>
      <c r="AN108" s="3">
        <f t="shared" si="53"/>
        <v>1</v>
      </c>
      <c r="AO108" s="3">
        <f t="shared" si="54"/>
        <v>0</v>
      </c>
      <c r="AP108" s="3">
        <f t="shared" si="55"/>
        <v>1</v>
      </c>
      <c r="AQ108" s="3">
        <f t="shared" si="56"/>
        <v>2</v>
      </c>
      <c r="AR108" s="3">
        <f t="shared" si="57"/>
        <v>2</v>
      </c>
      <c r="AS108" s="28" t="e">
        <f>#REF!</f>
        <v>#REF!</v>
      </c>
      <c r="AT108" s="28" t="e">
        <f>#REF!*2</f>
        <v>#REF!</v>
      </c>
      <c r="AU108" s="28" t="e">
        <f>#REF!</f>
        <v>#REF!</v>
      </c>
      <c r="AV108" s="28" t="e">
        <f>#REF!*2</f>
        <v>#REF!</v>
      </c>
      <c r="AW108" s="28" t="e">
        <f>#REF!</f>
        <v>#REF!</v>
      </c>
      <c r="AX108" s="28" t="e">
        <f>#REF!*2</f>
        <v>#REF!</v>
      </c>
      <c r="AY108" s="28" t="e">
        <f>#REF!</f>
        <v>#REF!</v>
      </c>
      <c r="AZ108" s="28" t="e">
        <f>#REF!*2</f>
        <v>#REF!</v>
      </c>
      <c r="BA108" s="28" t="e">
        <f>#REF!</f>
        <v>#REF!</v>
      </c>
      <c r="BB108" s="28" t="e">
        <f>#REF!*2</f>
        <v>#REF!</v>
      </c>
      <c r="BC108" s="28" t="e">
        <f>#REF!</f>
        <v>#REF!</v>
      </c>
      <c r="BD108" s="28" t="e">
        <f>#REF!*2</f>
        <v>#REF!</v>
      </c>
      <c r="BE108" s="9" t="e">
        <f>#REF!-#REF!</f>
        <v>#REF!</v>
      </c>
      <c r="BF108" s="9" t="e">
        <f>#REF!-#REF!</f>
        <v>#REF!</v>
      </c>
      <c r="BG108" s="9" t="e">
        <f>#REF!-#REF!</f>
        <v>#REF!</v>
      </c>
      <c r="BH108" s="9" t="e">
        <f>#REF!-#REF!</f>
        <v>#REF!</v>
      </c>
      <c r="BI108" s="9" t="e">
        <f>#REF!-#REF!</f>
        <v>#REF!</v>
      </c>
      <c r="BJ108" s="33"/>
      <c r="BK108" s="3">
        <f t="shared" si="58"/>
        <v>1</v>
      </c>
      <c r="BL108" s="3">
        <f t="shared" si="59"/>
        <v>1</v>
      </c>
      <c r="BM108" s="3">
        <f t="shared" si="60"/>
        <v>1</v>
      </c>
      <c r="BN108" s="3">
        <f t="shared" si="61"/>
        <v>3</v>
      </c>
      <c r="BO108" s="3">
        <f t="shared" si="62"/>
        <v>0</v>
      </c>
      <c r="BP108" s="28" t="e">
        <f>#REF!</f>
        <v>#REF!</v>
      </c>
      <c r="BQ108" s="28" t="e">
        <f>#REF!*2</f>
        <v>#REF!</v>
      </c>
      <c r="BR108" s="28" t="e">
        <f>#REF!</f>
        <v>#REF!</v>
      </c>
      <c r="BS108" s="28" t="e">
        <f>#REF!*2</f>
        <v>#REF!</v>
      </c>
      <c r="BT108" s="28" t="e">
        <f>#REF!</f>
        <v>#REF!</v>
      </c>
      <c r="BU108" s="28" t="e">
        <f>#REF!*2</f>
        <v>#REF!</v>
      </c>
      <c r="BV108" s="28" t="e">
        <f>#REF!</f>
        <v>#REF!</v>
      </c>
      <c r="BW108" s="28" t="e">
        <f>#REF!*2</f>
        <v>#REF!</v>
      </c>
      <c r="BX108" s="28" t="e">
        <f>#REF!</f>
        <v>#REF!</v>
      </c>
      <c r="BY108" s="28" t="e">
        <f>#REF!*2</f>
        <v>#REF!</v>
      </c>
      <c r="BZ108" s="28" t="e">
        <f>#REF!</f>
        <v>#REF!</v>
      </c>
      <c r="CA108" s="28" t="e">
        <f>#REF!*2</f>
        <v>#REF!</v>
      </c>
      <c r="CB108" s="9">
        <f t="shared" si="63"/>
        <v>10</v>
      </c>
      <c r="CC108" s="9">
        <f t="shared" si="64"/>
        <v>10</v>
      </c>
      <c r="CD108" s="9">
        <f t="shared" si="65"/>
        <v>6</v>
      </c>
      <c r="CE108" s="9">
        <f t="shared" si="66"/>
        <v>2</v>
      </c>
      <c r="CF108" s="9">
        <f t="shared" si="67"/>
        <v>1</v>
      </c>
      <c r="CG108" s="33"/>
      <c r="CH108" s="9">
        <f t="shared" si="68"/>
        <v>10</v>
      </c>
      <c r="CI108" s="9">
        <f t="shared" si="69"/>
        <v>10</v>
      </c>
      <c r="CJ108" s="9">
        <f t="shared" si="70"/>
        <v>6</v>
      </c>
      <c r="CK108" s="9">
        <f t="shared" si="71"/>
        <v>2</v>
      </c>
      <c r="CL108" s="9">
        <f t="shared" si="72"/>
        <v>1</v>
      </c>
      <c r="CM108" s="32"/>
      <c r="CN108" s="3">
        <f t="shared" si="73"/>
        <v>2</v>
      </c>
      <c r="CO108" s="3">
        <f t="shared" si="74"/>
        <v>2</v>
      </c>
      <c r="CP108" s="3">
        <f t="shared" si="75"/>
        <v>2</v>
      </c>
      <c r="CQ108" s="3">
        <f t="shared" si="76"/>
        <v>2</v>
      </c>
      <c r="CR108" s="3">
        <f t="shared" si="77"/>
        <v>1</v>
      </c>
      <c r="CS108" s="31"/>
      <c r="CT108" s="3" cm="1">
        <f t="array" ref="CT108">SUMPRODUCT(--(MOD(CH108:CL108,2)=1))</f>
        <v>1</v>
      </c>
      <c r="CU108" s="3">
        <f t="shared" si="78"/>
        <v>4</v>
      </c>
      <c r="CV108" s="30"/>
      <c r="CW108" s="3" cm="1">
        <f t="array" ref="CW108">SUMPRODUCT(--(MOD(CH108:CL108,10)&gt;=1), --(MOD(CH108:CL108,10)&lt;=5))</f>
        <v>2</v>
      </c>
      <c r="CX108" s="3">
        <f t="shared" si="79"/>
        <v>3</v>
      </c>
      <c r="CY108" s="30"/>
      <c r="CZ108" s="3" cm="1">
        <f t="array" ref="CZ108">IFERROR(COUNT(_xlfn._xlws.FILTER(CH108:CL108, ISNUMBER(MATCH(CH108:CL108, {2,3,5,7,11,13,17,19,23,29,31,37,41,43}, 0)))), 0)</f>
        <v>1</v>
      </c>
      <c r="DA108" s="3" cm="1">
        <f t="array" ref="DA108">IFERROR(COUNT(_xlfn._xlws.FILTER(CH108:CL108, ISNUMBER(MATCH(CH108:CL108, {1,4,8,10,14,16,20,22,25,26,28,32,34,35,38,40,44}, 0)))), 0)</f>
        <v>3</v>
      </c>
      <c r="DB108" s="3" cm="1">
        <f t="array" ref="DB108">IFERROR(COUNT(_xlfn._xlws.FILTER(CH108:CL108, ISNUMBER(MATCH(CH108:CL108, {6,9,12,15,18,21,24,27,30,33,36,39,42,45}, 0)))), 0)</f>
        <v>1</v>
      </c>
      <c r="DC108" s="29"/>
      <c r="DD108" s="28" t="e">
        <f>#REF!</f>
        <v>#REF!</v>
      </c>
      <c r="DE108" s="28" t="e">
        <f>#REF!*2</f>
        <v>#REF!</v>
      </c>
      <c r="DF108" s="28" t="e">
        <f>#REF!</f>
        <v>#REF!</v>
      </c>
      <c r="DG108" s="28" t="e">
        <f>#REF!*2</f>
        <v>#REF!</v>
      </c>
      <c r="DH108" s="28" t="e">
        <f>#REF!</f>
        <v>#REF!</v>
      </c>
      <c r="DI108" s="28" t="e">
        <f>#REF!*2</f>
        <v>#REF!</v>
      </c>
      <c r="DJ108" s="28" t="e">
        <f>#REF!</f>
        <v>#REF!</v>
      </c>
      <c r="DK108" s="28" t="e">
        <f>#REF!*2</f>
        <v>#REF!</v>
      </c>
      <c r="DL108" s="28" t="e">
        <f>#REF!</f>
        <v>#REF!</v>
      </c>
      <c r="DM108" s="28" t="e">
        <f>#REF!*2</f>
        <v>#REF!</v>
      </c>
      <c r="DN108" s="27"/>
      <c r="DO108" s="26" t="str" cm="1">
        <f t="array" ref="DO108">_xlfn.IFS(
   OR(CH108="",ISBLANK(CH108),CH108=0),0,
   ISNUMBER(MATCH(CH108,{2,3,5,7,11,13,17,19,23,29,31,37,41,43},0)),"소",
   AND(ISNUMBER(CH108),MOD(CH108,3)=0),"배",
   AND(ISNUMBER(CH108),CH108&gt;0),"자"
)</f>
        <v>자</v>
      </c>
      <c r="DP108" s="26" t="str" cm="1">
        <f t="array" ref="DP108">_xlfn.IFS(
   OR(CI108="",ISBLANK(CI108),CI108=0),0,
   ISNUMBER(MATCH(CI108,{2,3,5,7,11,13,17,19,23,29,31,37,41,43},0)),"소",
   AND(ISNUMBER(CI108),MOD(CI108,3)=0),"배",
   AND(ISNUMBER(CI108),CI108&gt;0),"자"
)</f>
        <v>자</v>
      </c>
      <c r="DQ108" s="26" t="str" cm="1">
        <f t="array" ref="DQ108">_xlfn.IFS(
   OR(CJ108="",ISBLANK(CJ108),CJ108=0),0,
   ISNUMBER(MATCH(CJ108,{2,3,5,7,11,13,17,19,23,29,31,37,41,43},0)),"소",
   AND(ISNUMBER(CJ108),MOD(CJ108,3)=0),"배",
   AND(ISNUMBER(CJ108),CJ108&gt;0),"자"
)</f>
        <v>배</v>
      </c>
      <c r="DR108" s="26" t="str" cm="1">
        <f t="array" ref="DR108">_xlfn.IFS(
   OR(CK108="",ISBLANK(CK108),CK108=0),0,
   ISNUMBER(MATCH(CK108,{2,3,5,7,11,13,17,19,23,29,31,37,41,43},0)),"소",
   AND(ISNUMBER(CK108),MOD(CK108,3)=0),"배",
   AND(ISNUMBER(CK108),CK108&gt;0),"자"
)</f>
        <v>소</v>
      </c>
      <c r="DS108" s="26" t="str" cm="1">
        <f t="array" ref="DS108">_xlfn.IFS(
   OR(CL108="",ISBLANK(CL108),CL108=0),0,
   ISNUMBER(MATCH(CL108,{2,3,5,7,11,13,17,19,23,29,31,37,41,43},0)),"소",
   AND(ISNUMBER(CL108),MOD(CL108,3)=0),"배",
   AND(ISNUMBER(CL108),CL108&gt;0),"자"
)</f>
        <v>자</v>
      </c>
      <c r="DT108" s="25"/>
    </row>
    <row r="109" spans="2:124" x14ac:dyDescent="0.3">
      <c r="B109" s="3">
        <v>7</v>
      </c>
      <c r="C109" s="3">
        <v>9</v>
      </c>
      <c r="D109" s="3">
        <v>19</v>
      </c>
      <c r="E109" s="3">
        <v>23</v>
      </c>
      <c r="F109" s="3">
        <v>26</v>
      </c>
      <c r="G109" s="3">
        <v>45</v>
      </c>
      <c r="H109" s="32"/>
      <c r="I109" s="3">
        <f t="shared" si="40"/>
        <v>1</v>
      </c>
      <c r="J109" s="3">
        <f t="shared" si="41"/>
        <v>1</v>
      </c>
      <c r="K109" s="3">
        <f t="shared" si="42"/>
        <v>1</v>
      </c>
      <c r="L109" s="3">
        <f t="shared" si="43"/>
        <v>1</v>
      </c>
      <c r="M109" s="3">
        <f t="shared" si="44"/>
        <v>2</v>
      </c>
      <c r="N109" s="3">
        <f t="shared" si="45"/>
        <v>1</v>
      </c>
      <c r="O109" s="32"/>
      <c r="P109" s="3" cm="1">
        <f t="array" ref="P109">SUMPRODUCT(--(MOD(B109:G109,2)=1))</f>
        <v>5</v>
      </c>
      <c r="Q109" s="3">
        <f t="shared" si="46"/>
        <v>1</v>
      </c>
      <c r="R109" s="34"/>
      <c r="S109" s="3">
        <f t="shared" si="47"/>
        <v>4</v>
      </c>
      <c r="T109" s="3">
        <f t="shared" si="48"/>
        <v>2</v>
      </c>
      <c r="U109" s="34"/>
      <c r="V109" s="3" cm="1">
        <f t="array" ref="V109">SUMPRODUCT(--(MOD(B109:G109,10)&gt;=1), --(MOD(B109:G109,10)&lt;=5))</f>
        <v>2</v>
      </c>
      <c r="W109" s="3">
        <f t="shared" si="49"/>
        <v>4</v>
      </c>
      <c r="X109" s="34"/>
      <c r="Y109" s="3" cm="1">
        <f t="array" ref="Y109">IFERROR(COUNT(_xlfn._xlws.FILTER(B109:G109, ISNUMBER(MATCH(B109:G109, {2,3,5,7,11,13,17,19,23,29,31,37,41,43}, 0)))), 0)</f>
        <v>3</v>
      </c>
      <c r="Z109" s="3" cm="1">
        <f t="array" ref="Z109">IFERROR(COUNT(_xlfn._xlws.FILTER(B109:G109, ISNUMBER(MATCH(B109:G109, {1,4,8,10,14,16,20,22,25,26,28,32,34,35,38,40,44}, 0)))), 0)</f>
        <v>1</v>
      </c>
      <c r="AA109" s="3" cm="1">
        <f t="array" ref="AA109">IFERROR(COUNT(_xlfn._xlws.FILTER(B109:G109, ISNUMBER(MATCH(B109:G109, {6,9,12,15,18,21,24,27,30,33,36,39,42,45}, 0)))), 0)</f>
        <v>2</v>
      </c>
      <c r="AB109" s="30"/>
      <c r="AC109" s="26" t="str" cm="1">
        <f t="array" ref="AC109">_xlfn.IFS(
   OR(B109="",ISBLANK(B109),B109=0),0,
   ISNUMBER(MATCH(B109,{2,3,5,7,11,13,17,19,23,29,31,37,41,43},0)),"소",
   AND(ISNUMBER(B109),MOD(B109,3)=0),"배",
   AND(ISNUMBER(B109),B109&gt;0),"자"
)</f>
        <v>소</v>
      </c>
      <c r="AD109" s="26" t="str" cm="1">
        <f t="array" ref="AD109">_xlfn.IFS(
   OR(C109="",ISBLANK(C109),C109=0),0,
   ISNUMBER(MATCH(C109,{2,3,5,7,11,13,17,19,23,29,31,37,41,43},0)),"소",
   AND(ISNUMBER(C109),MOD(C109,3)=0),"배",
   AND(ISNUMBER(C109),C109&gt;0),"자"
)</f>
        <v>배</v>
      </c>
      <c r="AE109" s="26" t="str" cm="1">
        <f t="array" ref="AE109">_xlfn.IFS(
   OR(D109="",ISBLANK(D109),D109=0),0,
   ISNUMBER(MATCH(D109,{2,3,5,7,11,13,17,19,23,29,31,37,41,43},0)),"소",
   AND(ISNUMBER(D109),MOD(D109,3)=0),"배",
   AND(ISNUMBER(D109),D109&gt;0),"자"
)</f>
        <v>소</v>
      </c>
      <c r="AF109" s="26" t="str" cm="1">
        <f t="array" ref="AF109">_xlfn.IFS(
   OR(E109="",ISBLANK(E109),E109=0),0,
   ISNUMBER(MATCH(E109,{2,3,5,7,11,13,17,19,23,29,31,37,41,43},0)),"소",
   AND(ISNUMBER(E109),MOD(E109,3)=0),"배",
   AND(ISNUMBER(E109),E109&gt;0),"자"
)</f>
        <v>소</v>
      </c>
      <c r="AG109" s="26" t="str" cm="1">
        <f t="array" ref="AG109">_xlfn.IFS(
   OR(F109="",ISBLANK(F109),F109=0),0,
   ISNUMBER(MATCH(F109,{2,3,5,7,11,13,17,19,23,29,31,37,41,43},0)),"소",
   AND(ISNUMBER(F109),MOD(F109,3)=0),"배",
   AND(ISNUMBER(F109),F109&gt;0),"자"
)</f>
        <v>자</v>
      </c>
      <c r="AH109" s="26" t="str" cm="1">
        <f t="array" ref="AH109">_xlfn.IFS(
   OR(G109="",ISBLANK(G109),G109=0),0,
   ISNUMBER(MATCH(G109,{2,3,5,7,11,13,17,19,23,29,31,37,41,43},0)),"소",
   AND(ISNUMBER(G109),MOD(G109,3)=0),"배",
   AND(ISNUMBER(G109),G109&gt;0),"자"
)</f>
        <v>배</v>
      </c>
      <c r="AI109" s="30"/>
      <c r="AJ109" s="3">
        <f t="shared" si="50"/>
        <v>2</v>
      </c>
      <c r="AK109" s="3">
        <f t="shared" si="51"/>
        <v>3</v>
      </c>
      <c r="AL109" s="3">
        <f t="shared" si="52"/>
        <v>1</v>
      </c>
      <c r="AM109" s="33"/>
      <c r="AN109" s="3">
        <f t="shared" si="53"/>
        <v>2</v>
      </c>
      <c r="AO109" s="3">
        <f t="shared" si="54"/>
        <v>0</v>
      </c>
      <c r="AP109" s="3">
        <f t="shared" si="55"/>
        <v>3</v>
      </c>
      <c r="AQ109" s="3">
        <f t="shared" si="56"/>
        <v>0</v>
      </c>
      <c r="AR109" s="3">
        <f t="shared" si="57"/>
        <v>1</v>
      </c>
      <c r="AS109" s="28" t="e">
        <f>#REF!</f>
        <v>#REF!</v>
      </c>
      <c r="AT109" s="28" t="e">
        <f>#REF!*2</f>
        <v>#REF!</v>
      </c>
      <c r="AU109" s="28" t="e">
        <f>#REF!</f>
        <v>#REF!</v>
      </c>
      <c r="AV109" s="28" t="e">
        <f>#REF!*2</f>
        <v>#REF!</v>
      </c>
      <c r="AW109" s="28" t="e">
        <f>#REF!</f>
        <v>#REF!</v>
      </c>
      <c r="AX109" s="28" t="e">
        <f>#REF!*2</f>
        <v>#REF!</v>
      </c>
      <c r="AY109" s="28" t="e">
        <f>#REF!</f>
        <v>#REF!</v>
      </c>
      <c r="AZ109" s="28" t="e">
        <f>#REF!*2</f>
        <v>#REF!</v>
      </c>
      <c r="BA109" s="28" t="e">
        <f>#REF!</f>
        <v>#REF!</v>
      </c>
      <c r="BB109" s="28" t="e">
        <f>#REF!*2</f>
        <v>#REF!</v>
      </c>
      <c r="BC109" s="28" t="e">
        <f>#REF!</f>
        <v>#REF!</v>
      </c>
      <c r="BD109" s="28" t="e">
        <f>#REF!*2</f>
        <v>#REF!</v>
      </c>
      <c r="BE109" s="9" t="e">
        <f>#REF!-#REF!</f>
        <v>#REF!</v>
      </c>
      <c r="BF109" s="9" t="e">
        <f>#REF!-#REF!</f>
        <v>#REF!</v>
      </c>
      <c r="BG109" s="9" t="e">
        <f>#REF!-#REF!</f>
        <v>#REF!</v>
      </c>
      <c r="BH109" s="9" t="e">
        <f>#REF!-#REF!</f>
        <v>#REF!</v>
      </c>
      <c r="BI109" s="9" t="e">
        <f>#REF!-#REF!</f>
        <v>#REF!</v>
      </c>
      <c r="BJ109" s="33"/>
      <c r="BK109" s="3">
        <f t="shared" si="58"/>
        <v>2</v>
      </c>
      <c r="BL109" s="3">
        <f t="shared" si="59"/>
        <v>1</v>
      </c>
      <c r="BM109" s="3">
        <f t="shared" si="60"/>
        <v>2</v>
      </c>
      <c r="BN109" s="3">
        <f t="shared" si="61"/>
        <v>0</v>
      </c>
      <c r="BO109" s="3">
        <f t="shared" si="62"/>
        <v>1</v>
      </c>
      <c r="BP109" s="28" t="e">
        <f>#REF!</f>
        <v>#REF!</v>
      </c>
      <c r="BQ109" s="28" t="e">
        <f>#REF!*2</f>
        <v>#REF!</v>
      </c>
      <c r="BR109" s="28" t="e">
        <f>#REF!</f>
        <v>#REF!</v>
      </c>
      <c r="BS109" s="28" t="e">
        <f>#REF!*2</f>
        <v>#REF!</v>
      </c>
      <c r="BT109" s="28" t="e">
        <f>#REF!</f>
        <v>#REF!</v>
      </c>
      <c r="BU109" s="28" t="e">
        <f>#REF!*2</f>
        <v>#REF!</v>
      </c>
      <c r="BV109" s="28" t="e">
        <f>#REF!</f>
        <v>#REF!</v>
      </c>
      <c r="BW109" s="28" t="e">
        <f>#REF!*2</f>
        <v>#REF!</v>
      </c>
      <c r="BX109" s="28" t="e">
        <f>#REF!</f>
        <v>#REF!</v>
      </c>
      <c r="BY109" s="28" t="e">
        <f>#REF!*2</f>
        <v>#REF!</v>
      </c>
      <c r="BZ109" s="28" t="e">
        <f>#REF!</f>
        <v>#REF!</v>
      </c>
      <c r="CA109" s="28" t="e">
        <f>#REF!*2</f>
        <v>#REF!</v>
      </c>
      <c r="CB109" s="9">
        <f t="shared" si="63"/>
        <v>2</v>
      </c>
      <c r="CC109" s="9">
        <f t="shared" si="64"/>
        <v>10</v>
      </c>
      <c r="CD109" s="9">
        <f t="shared" si="65"/>
        <v>4</v>
      </c>
      <c r="CE109" s="9">
        <f t="shared" si="66"/>
        <v>3</v>
      </c>
      <c r="CF109" s="9">
        <f t="shared" si="67"/>
        <v>19</v>
      </c>
      <c r="CG109" s="33"/>
      <c r="CH109" s="9">
        <f t="shared" si="68"/>
        <v>2</v>
      </c>
      <c r="CI109" s="9">
        <f t="shared" si="69"/>
        <v>10</v>
      </c>
      <c r="CJ109" s="9">
        <f t="shared" si="70"/>
        <v>4</v>
      </c>
      <c r="CK109" s="9">
        <f t="shared" si="71"/>
        <v>3</v>
      </c>
      <c r="CL109" s="9">
        <f t="shared" si="72"/>
        <v>19</v>
      </c>
      <c r="CM109" s="32"/>
      <c r="CN109" s="3">
        <f t="shared" si="73"/>
        <v>2</v>
      </c>
      <c r="CO109" s="3">
        <f t="shared" si="74"/>
        <v>2</v>
      </c>
      <c r="CP109" s="3">
        <f t="shared" si="75"/>
        <v>2</v>
      </c>
      <c r="CQ109" s="3">
        <f t="shared" si="76"/>
        <v>1</v>
      </c>
      <c r="CR109" s="3">
        <f t="shared" si="77"/>
        <v>1</v>
      </c>
      <c r="CS109" s="31"/>
      <c r="CT109" s="3" cm="1">
        <f t="array" ref="CT109">SUMPRODUCT(--(MOD(CH109:CL109,2)=1))</f>
        <v>2</v>
      </c>
      <c r="CU109" s="3">
        <f t="shared" si="78"/>
        <v>3</v>
      </c>
      <c r="CV109" s="30"/>
      <c r="CW109" s="3" cm="1">
        <f t="array" ref="CW109">SUMPRODUCT(--(MOD(CH109:CL109,10)&gt;=1), --(MOD(CH109:CL109,10)&lt;=5))</f>
        <v>3</v>
      </c>
      <c r="CX109" s="3">
        <f t="shared" si="79"/>
        <v>2</v>
      </c>
      <c r="CY109" s="30"/>
      <c r="CZ109" s="3" cm="1">
        <f t="array" ref="CZ109">IFERROR(COUNT(_xlfn._xlws.FILTER(CH109:CL109, ISNUMBER(MATCH(CH109:CL109, {2,3,5,7,11,13,17,19,23,29,31,37,41,43}, 0)))), 0)</f>
        <v>3</v>
      </c>
      <c r="DA109" s="3" cm="1">
        <f t="array" ref="DA109">IFERROR(COUNT(_xlfn._xlws.FILTER(CH109:CL109, ISNUMBER(MATCH(CH109:CL109, {1,4,8,10,14,16,20,22,25,26,28,32,34,35,38,40,44}, 0)))), 0)</f>
        <v>2</v>
      </c>
      <c r="DB109" s="3" cm="1">
        <f t="array" ref="DB109">IFERROR(COUNT(_xlfn._xlws.FILTER(CH109:CL109, ISNUMBER(MATCH(CH109:CL109, {6,9,12,15,18,21,24,27,30,33,36,39,42,45}, 0)))), 0)</f>
        <v>0</v>
      </c>
      <c r="DC109" s="29"/>
      <c r="DD109" s="28" t="e">
        <f>#REF!</f>
        <v>#REF!</v>
      </c>
      <c r="DE109" s="28" t="e">
        <f>#REF!*2</f>
        <v>#REF!</v>
      </c>
      <c r="DF109" s="28" t="e">
        <f>#REF!</f>
        <v>#REF!</v>
      </c>
      <c r="DG109" s="28" t="e">
        <f>#REF!*2</f>
        <v>#REF!</v>
      </c>
      <c r="DH109" s="28" t="e">
        <f>#REF!</f>
        <v>#REF!</v>
      </c>
      <c r="DI109" s="28" t="e">
        <f>#REF!*2</f>
        <v>#REF!</v>
      </c>
      <c r="DJ109" s="28" t="e">
        <f>#REF!</f>
        <v>#REF!</v>
      </c>
      <c r="DK109" s="28" t="e">
        <f>#REF!*2</f>
        <v>#REF!</v>
      </c>
      <c r="DL109" s="28" t="e">
        <f>#REF!</f>
        <v>#REF!</v>
      </c>
      <c r="DM109" s="28" t="e">
        <f>#REF!*2</f>
        <v>#REF!</v>
      </c>
      <c r="DN109" s="27"/>
      <c r="DO109" s="26" t="str" cm="1">
        <f t="array" ref="DO109">_xlfn.IFS(
   OR(CH109="",ISBLANK(CH109),CH109=0),0,
   ISNUMBER(MATCH(CH109,{2,3,5,7,11,13,17,19,23,29,31,37,41,43},0)),"소",
   AND(ISNUMBER(CH109),MOD(CH109,3)=0),"배",
   AND(ISNUMBER(CH109),CH109&gt;0),"자"
)</f>
        <v>소</v>
      </c>
      <c r="DP109" s="26" t="str" cm="1">
        <f t="array" ref="DP109">_xlfn.IFS(
   OR(CI109="",ISBLANK(CI109),CI109=0),0,
   ISNUMBER(MATCH(CI109,{2,3,5,7,11,13,17,19,23,29,31,37,41,43},0)),"소",
   AND(ISNUMBER(CI109),MOD(CI109,3)=0),"배",
   AND(ISNUMBER(CI109),CI109&gt;0),"자"
)</f>
        <v>자</v>
      </c>
      <c r="DQ109" s="26" t="str" cm="1">
        <f t="array" ref="DQ109">_xlfn.IFS(
   OR(CJ109="",ISBLANK(CJ109),CJ109=0),0,
   ISNUMBER(MATCH(CJ109,{2,3,5,7,11,13,17,19,23,29,31,37,41,43},0)),"소",
   AND(ISNUMBER(CJ109),MOD(CJ109,3)=0),"배",
   AND(ISNUMBER(CJ109),CJ109&gt;0),"자"
)</f>
        <v>자</v>
      </c>
      <c r="DR109" s="26" t="str" cm="1">
        <f t="array" ref="DR109">_xlfn.IFS(
   OR(CK109="",ISBLANK(CK109),CK109=0),0,
   ISNUMBER(MATCH(CK109,{2,3,5,7,11,13,17,19,23,29,31,37,41,43},0)),"소",
   AND(ISNUMBER(CK109),MOD(CK109,3)=0),"배",
   AND(ISNUMBER(CK109),CK109&gt;0),"자"
)</f>
        <v>소</v>
      </c>
      <c r="DS109" s="26" t="str" cm="1">
        <f t="array" ref="DS109">_xlfn.IFS(
   OR(CL109="",ISBLANK(CL109),CL109=0),0,
   ISNUMBER(MATCH(CL109,{2,3,5,7,11,13,17,19,23,29,31,37,41,43},0)),"소",
   AND(ISNUMBER(CL109),MOD(CL109,3)=0),"배",
   AND(ISNUMBER(CL109),CL109&gt;0),"자"
)</f>
        <v>소</v>
      </c>
      <c r="DT109" s="25"/>
    </row>
    <row r="110" spans="2:124" x14ac:dyDescent="0.3">
      <c r="B110" s="3">
        <v>1</v>
      </c>
      <c r="C110" s="3">
        <v>4</v>
      </c>
      <c r="D110" s="3">
        <v>11</v>
      </c>
      <c r="E110" s="3">
        <v>12</v>
      </c>
      <c r="F110" s="3">
        <v>20</v>
      </c>
      <c r="G110" s="3">
        <v>41</v>
      </c>
      <c r="H110" s="32"/>
      <c r="I110" s="3">
        <f t="shared" si="40"/>
        <v>1</v>
      </c>
      <c r="J110" s="3">
        <f t="shared" si="41"/>
        <v>2</v>
      </c>
      <c r="K110" s="3">
        <f t="shared" si="42"/>
        <v>1</v>
      </c>
      <c r="L110" s="3">
        <f t="shared" si="43"/>
        <v>2</v>
      </c>
      <c r="M110" s="3">
        <f t="shared" si="44"/>
        <v>2</v>
      </c>
      <c r="N110" s="3">
        <f t="shared" si="45"/>
        <v>1</v>
      </c>
      <c r="O110" s="32"/>
      <c r="P110" s="3" cm="1">
        <f t="array" ref="P110">SUMPRODUCT(--(MOD(B110:G110,2)=1))</f>
        <v>3</v>
      </c>
      <c r="Q110" s="3">
        <f t="shared" si="46"/>
        <v>3</v>
      </c>
      <c r="R110" s="34"/>
      <c r="S110" s="3">
        <f t="shared" si="47"/>
        <v>5</v>
      </c>
      <c r="T110" s="3">
        <f t="shared" si="48"/>
        <v>1</v>
      </c>
      <c r="U110" s="34"/>
      <c r="V110" s="3" cm="1">
        <f t="array" ref="V110">SUMPRODUCT(--(MOD(B110:G110,10)&gt;=1), --(MOD(B110:G110,10)&lt;=5))</f>
        <v>5</v>
      </c>
      <c r="W110" s="3">
        <f t="shared" si="49"/>
        <v>1</v>
      </c>
      <c r="X110" s="34"/>
      <c r="Y110" s="3" cm="1">
        <f t="array" ref="Y110">IFERROR(COUNT(_xlfn._xlws.FILTER(B110:G110, ISNUMBER(MATCH(B110:G110, {2,3,5,7,11,13,17,19,23,29,31,37,41,43}, 0)))), 0)</f>
        <v>2</v>
      </c>
      <c r="Z110" s="3" cm="1">
        <f t="array" ref="Z110">IFERROR(COUNT(_xlfn._xlws.FILTER(B110:G110, ISNUMBER(MATCH(B110:G110, {1,4,8,10,14,16,20,22,25,26,28,32,34,35,38,40,44}, 0)))), 0)</f>
        <v>3</v>
      </c>
      <c r="AA110" s="3" cm="1">
        <f t="array" ref="AA110">IFERROR(COUNT(_xlfn._xlws.FILTER(B110:G110, ISNUMBER(MATCH(B110:G110, {6,9,12,15,18,21,24,27,30,33,36,39,42,45}, 0)))), 0)</f>
        <v>1</v>
      </c>
      <c r="AB110" s="30"/>
      <c r="AC110" s="26" t="str" cm="1">
        <f t="array" ref="AC110">_xlfn.IFS(
   OR(B110="",ISBLANK(B110),B110=0),0,
   ISNUMBER(MATCH(B110,{2,3,5,7,11,13,17,19,23,29,31,37,41,43},0)),"소",
   AND(ISNUMBER(B110),MOD(B110,3)=0),"배",
   AND(ISNUMBER(B110),B110&gt;0),"자"
)</f>
        <v>자</v>
      </c>
      <c r="AD110" s="26" t="str" cm="1">
        <f t="array" ref="AD110">_xlfn.IFS(
   OR(C110="",ISBLANK(C110),C110=0),0,
   ISNUMBER(MATCH(C110,{2,3,5,7,11,13,17,19,23,29,31,37,41,43},0)),"소",
   AND(ISNUMBER(C110),MOD(C110,3)=0),"배",
   AND(ISNUMBER(C110),C110&gt;0),"자"
)</f>
        <v>자</v>
      </c>
      <c r="AE110" s="26" t="str" cm="1">
        <f t="array" ref="AE110">_xlfn.IFS(
   OR(D110="",ISBLANK(D110),D110=0),0,
   ISNUMBER(MATCH(D110,{2,3,5,7,11,13,17,19,23,29,31,37,41,43},0)),"소",
   AND(ISNUMBER(D110),MOD(D110,3)=0),"배",
   AND(ISNUMBER(D110),D110&gt;0),"자"
)</f>
        <v>소</v>
      </c>
      <c r="AF110" s="26" t="str" cm="1">
        <f t="array" ref="AF110">_xlfn.IFS(
   OR(E110="",ISBLANK(E110),E110=0),0,
   ISNUMBER(MATCH(E110,{2,3,5,7,11,13,17,19,23,29,31,37,41,43},0)),"소",
   AND(ISNUMBER(E110),MOD(E110,3)=0),"배",
   AND(ISNUMBER(E110),E110&gt;0),"자"
)</f>
        <v>배</v>
      </c>
      <c r="AG110" s="26" t="str" cm="1">
        <f t="array" ref="AG110">_xlfn.IFS(
   OR(F110="",ISBLANK(F110),F110=0),0,
   ISNUMBER(MATCH(F110,{2,3,5,7,11,13,17,19,23,29,31,37,41,43},0)),"소",
   AND(ISNUMBER(F110),MOD(F110,3)=0),"배",
   AND(ISNUMBER(F110),F110&gt;0),"자"
)</f>
        <v>자</v>
      </c>
      <c r="AH110" s="26" t="str" cm="1">
        <f t="array" ref="AH110">_xlfn.IFS(
   OR(G110="",ISBLANK(G110),G110=0),0,
   ISNUMBER(MATCH(G110,{2,3,5,7,11,13,17,19,23,29,31,37,41,43},0)),"소",
   AND(ISNUMBER(G110),MOD(G110,3)=0),"배",
   AND(ISNUMBER(G110),G110&gt;0),"자"
)</f>
        <v>소</v>
      </c>
      <c r="AI110" s="30"/>
      <c r="AJ110" s="3">
        <f t="shared" si="50"/>
        <v>4</v>
      </c>
      <c r="AK110" s="3">
        <f t="shared" si="51"/>
        <v>1</v>
      </c>
      <c r="AL110" s="3">
        <f t="shared" si="52"/>
        <v>1</v>
      </c>
      <c r="AM110" s="33"/>
      <c r="AN110" s="3">
        <f t="shared" si="53"/>
        <v>2</v>
      </c>
      <c r="AO110" s="3">
        <f t="shared" si="54"/>
        <v>2</v>
      </c>
      <c r="AP110" s="3">
        <f t="shared" si="55"/>
        <v>1</v>
      </c>
      <c r="AQ110" s="3">
        <f t="shared" si="56"/>
        <v>0</v>
      </c>
      <c r="AR110" s="3">
        <f t="shared" si="57"/>
        <v>1</v>
      </c>
      <c r="AS110" s="28" t="e">
        <f>#REF!</f>
        <v>#REF!</v>
      </c>
      <c r="AT110" s="28" t="e">
        <f>#REF!*2</f>
        <v>#REF!</v>
      </c>
      <c r="AU110" s="28" t="e">
        <f>#REF!</f>
        <v>#REF!</v>
      </c>
      <c r="AV110" s="28" t="e">
        <f>#REF!*2</f>
        <v>#REF!</v>
      </c>
      <c r="AW110" s="28" t="e">
        <f>#REF!</f>
        <v>#REF!</v>
      </c>
      <c r="AX110" s="28" t="e">
        <f>#REF!*2</f>
        <v>#REF!</v>
      </c>
      <c r="AY110" s="28" t="e">
        <f>#REF!</f>
        <v>#REF!</v>
      </c>
      <c r="AZ110" s="28" t="e">
        <f>#REF!*2</f>
        <v>#REF!</v>
      </c>
      <c r="BA110" s="28" t="e">
        <f>#REF!</f>
        <v>#REF!</v>
      </c>
      <c r="BB110" s="28" t="e">
        <f>#REF!*2</f>
        <v>#REF!</v>
      </c>
      <c r="BC110" s="28" t="e">
        <f>#REF!</f>
        <v>#REF!</v>
      </c>
      <c r="BD110" s="28" t="e">
        <f>#REF!*2</f>
        <v>#REF!</v>
      </c>
      <c r="BE110" s="9" t="e">
        <f>#REF!-#REF!</f>
        <v>#REF!</v>
      </c>
      <c r="BF110" s="9" t="e">
        <f>#REF!-#REF!</f>
        <v>#REF!</v>
      </c>
      <c r="BG110" s="9" t="e">
        <f>#REF!-#REF!</f>
        <v>#REF!</v>
      </c>
      <c r="BH110" s="9" t="e">
        <f>#REF!-#REF!</f>
        <v>#REF!</v>
      </c>
      <c r="BI110" s="9" t="e">
        <f>#REF!-#REF!</f>
        <v>#REF!</v>
      </c>
      <c r="BJ110" s="33"/>
      <c r="BK110" s="3">
        <f t="shared" si="58"/>
        <v>2</v>
      </c>
      <c r="BL110" s="3">
        <f t="shared" si="59"/>
        <v>2</v>
      </c>
      <c r="BM110" s="3">
        <f t="shared" si="60"/>
        <v>1</v>
      </c>
      <c r="BN110" s="3">
        <f t="shared" si="61"/>
        <v>0</v>
      </c>
      <c r="BO110" s="3">
        <f t="shared" si="62"/>
        <v>1</v>
      </c>
      <c r="BP110" s="28" t="e">
        <f>#REF!</f>
        <v>#REF!</v>
      </c>
      <c r="BQ110" s="28" t="e">
        <f>#REF!*2</f>
        <v>#REF!</v>
      </c>
      <c r="BR110" s="28" t="e">
        <f>#REF!</f>
        <v>#REF!</v>
      </c>
      <c r="BS110" s="28" t="e">
        <f>#REF!*2</f>
        <v>#REF!</v>
      </c>
      <c r="BT110" s="28" t="e">
        <f>#REF!</f>
        <v>#REF!</v>
      </c>
      <c r="BU110" s="28" t="e">
        <f>#REF!*2</f>
        <v>#REF!</v>
      </c>
      <c r="BV110" s="28" t="e">
        <f>#REF!</f>
        <v>#REF!</v>
      </c>
      <c r="BW110" s="28" t="e">
        <f>#REF!*2</f>
        <v>#REF!</v>
      </c>
      <c r="BX110" s="28" t="e">
        <f>#REF!</f>
        <v>#REF!</v>
      </c>
      <c r="BY110" s="28" t="e">
        <f>#REF!*2</f>
        <v>#REF!</v>
      </c>
      <c r="BZ110" s="28" t="e">
        <f>#REF!</f>
        <v>#REF!</v>
      </c>
      <c r="CA110" s="28" t="e">
        <f>#REF!*2</f>
        <v>#REF!</v>
      </c>
      <c r="CB110" s="9">
        <f t="shared" si="63"/>
        <v>3</v>
      </c>
      <c r="CC110" s="9">
        <f t="shared" si="64"/>
        <v>7</v>
      </c>
      <c r="CD110" s="9">
        <f t="shared" si="65"/>
        <v>1</v>
      </c>
      <c r="CE110" s="9">
        <f t="shared" si="66"/>
        <v>8</v>
      </c>
      <c r="CF110" s="9">
        <f t="shared" si="67"/>
        <v>21</v>
      </c>
      <c r="CG110" s="33"/>
      <c r="CH110" s="9">
        <f t="shared" si="68"/>
        <v>3</v>
      </c>
      <c r="CI110" s="9">
        <f t="shared" si="69"/>
        <v>7</v>
      </c>
      <c r="CJ110" s="9">
        <f t="shared" si="70"/>
        <v>1</v>
      </c>
      <c r="CK110" s="9">
        <f t="shared" si="71"/>
        <v>8</v>
      </c>
      <c r="CL110" s="9">
        <f t="shared" si="72"/>
        <v>21</v>
      </c>
      <c r="CM110" s="32"/>
      <c r="CN110" s="3">
        <f t="shared" si="73"/>
        <v>1</v>
      </c>
      <c r="CO110" s="3">
        <f t="shared" si="74"/>
        <v>1</v>
      </c>
      <c r="CP110" s="3">
        <f t="shared" si="75"/>
        <v>1</v>
      </c>
      <c r="CQ110" s="3">
        <f t="shared" si="76"/>
        <v>2</v>
      </c>
      <c r="CR110" s="3">
        <f t="shared" si="77"/>
        <v>1</v>
      </c>
      <c r="CS110" s="31"/>
      <c r="CT110" s="3" cm="1">
        <f t="array" ref="CT110">SUMPRODUCT(--(MOD(CH110:CL110,2)=1))</f>
        <v>4</v>
      </c>
      <c r="CU110" s="3">
        <f t="shared" si="78"/>
        <v>1</v>
      </c>
      <c r="CV110" s="30"/>
      <c r="CW110" s="3" cm="1">
        <f t="array" ref="CW110">SUMPRODUCT(--(MOD(CH110:CL110,10)&gt;=1), --(MOD(CH110:CL110,10)&lt;=5))</f>
        <v>3</v>
      </c>
      <c r="CX110" s="3">
        <f t="shared" si="79"/>
        <v>2</v>
      </c>
      <c r="CY110" s="30"/>
      <c r="CZ110" s="3" cm="1">
        <f t="array" ref="CZ110">IFERROR(COUNT(_xlfn._xlws.FILTER(CH110:CL110, ISNUMBER(MATCH(CH110:CL110, {2,3,5,7,11,13,17,19,23,29,31,37,41,43}, 0)))), 0)</f>
        <v>2</v>
      </c>
      <c r="DA110" s="3" cm="1">
        <f t="array" ref="DA110">IFERROR(COUNT(_xlfn._xlws.FILTER(CH110:CL110, ISNUMBER(MATCH(CH110:CL110, {1,4,8,10,14,16,20,22,25,26,28,32,34,35,38,40,44}, 0)))), 0)</f>
        <v>2</v>
      </c>
      <c r="DB110" s="3" cm="1">
        <f t="array" ref="DB110">IFERROR(COUNT(_xlfn._xlws.FILTER(CH110:CL110, ISNUMBER(MATCH(CH110:CL110, {6,9,12,15,18,21,24,27,30,33,36,39,42,45}, 0)))), 0)</f>
        <v>1</v>
      </c>
      <c r="DC110" s="29"/>
      <c r="DD110" s="28" t="e">
        <f>#REF!</f>
        <v>#REF!</v>
      </c>
      <c r="DE110" s="28" t="e">
        <f>#REF!*2</f>
        <v>#REF!</v>
      </c>
      <c r="DF110" s="28" t="e">
        <f>#REF!</f>
        <v>#REF!</v>
      </c>
      <c r="DG110" s="28" t="e">
        <f>#REF!*2</f>
        <v>#REF!</v>
      </c>
      <c r="DH110" s="28" t="e">
        <f>#REF!</f>
        <v>#REF!</v>
      </c>
      <c r="DI110" s="28" t="e">
        <f>#REF!*2</f>
        <v>#REF!</v>
      </c>
      <c r="DJ110" s="28" t="e">
        <f>#REF!</f>
        <v>#REF!</v>
      </c>
      <c r="DK110" s="28" t="e">
        <f>#REF!*2</f>
        <v>#REF!</v>
      </c>
      <c r="DL110" s="28" t="e">
        <f>#REF!</f>
        <v>#REF!</v>
      </c>
      <c r="DM110" s="28" t="e">
        <f>#REF!*2</f>
        <v>#REF!</v>
      </c>
      <c r="DN110" s="27"/>
      <c r="DO110" s="26" t="str" cm="1">
        <f t="array" ref="DO110">_xlfn.IFS(
   OR(CH110="",ISBLANK(CH110),CH110=0),0,
   ISNUMBER(MATCH(CH110,{2,3,5,7,11,13,17,19,23,29,31,37,41,43},0)),"소",
   AND(ISNUMBER(CH110),MOD(CH110,3)=0),"배",
   AND(ISNUMBER(CH110),CH110&gt;0),"자"
)</f>
        <v>소</v>
      </c>
      <c r="DP110" s="26" t="str" cm="1">
        <f t="array" ref="DP110">_xlfn.IFS(
   OR(CI110="",ISBLANK(CI110),CI110=0),0,
   ISNUMBER(MATCH(CI110,{2,3,5,7,11,13,17,19,23,29,31,37,41,43},0)),"소",
   AND(ISNUMBER(CI110),MOD(CI110,3)=0),"배",
   AND(ISNUMBER(CI110),CI110&gt;0),"자"
)</f>
        <v>소</v>
      </c>
      <c r="DQ110" s="26" t="str" cm="1">
        <f t="array" ref="DQ110">_xlfn.IFS(
   OR(CJ110="",ISBLANK(CJ110),CJ110=0),0,
   ISNUMBER(MATCH(CJ110,{2,3,5,7,11,13,17,19,23,29,31,37,41,43},0)),"소",
   AND(ISNUMBER(CJ110),MOD(CJ110,3)=0),"배",
   AND(ISNUMBER(CJ110),CJ110&gt;0),"자"
)</f>
        <v>자</v>
      </c>
      <c r="DR110" s="26" t="str" cm="1">
        <f t="array" ref="DR110">_xlfn.IFS(
   OR(CK110="",ISBLANK(CK110),CK110=0),0,
   ISNUMBER(MATCH(CK110,{2,3,5,7,11,13,17,19,23,29,31,37,41,43},0)),"소",
   AND(ISNUMBER(CK110),MOD(CK110,3)=0),"배",
   AND(ISNUMBER(CK110),CK110&gt;0),"자"
)</f>
        <v>자</v>
      </c>
      <c r="DS110" s="26" t="str" cm="1">
        <f t="array" ref="DS110">_xlfn.IFS(
   OR(CL110="",ISBLANK(CL110),CL110=0),0,
   ISNUMBER(MATCH(CL110,{2,3,5,7,11,13,17,19,23,29,31,37,41,43},0)),"소",
   AND(ISNUMBER(CL110),MOD(CL110,3)=0),"배",
   AND(ISNUMBER(CL110),CL110&gt;0),"자"
)</f>
        <v>배</v>
      </c>
      <c r="DT110" s="25"/>
    </row>
    <row r="111" spans="2:124" x14ac:dyDescent="0.3">
      <c r="B111" s="3">
        <v>10</v>
      </c>
      <c r="C111" s="3">
        <v>16</v>
      </c>
      <c r="D111" s="3">
        <v>23</v>
      </c>
      <c r="E111" s="3">
        <v>36</v>
      </c>
      <c r="F111" s="3">
        <v>39</v>
      </c>
      <c r="G111" s="3">
        <v>40</v>
      </c>
      <c r="H111" s="32"/>
      <c r="I111" s="3">
        <f t="shared" si="40"/>
        <v>2</v>
      </c>
      <c r="J111" s="3">
        <f t="shared" si="41"/>
        <v>2</v>
      </c>
      <c r="K111" s="3">
        <f t="shared" si="42"/>
        <v>1</v>
      </c>
      <c r="L111" s="3">
        <f t="shared" si="43"/>
        <v>2</v>
      </c>
      <c r="M111" s="3">
        <f t="shared" si="44"/>
        <v>1</v>
      </c>
      <c r="N111" s="3">
        <f t="shared" si="45"/>
        <v>2</v>
      </c>
      <c r="O111" s="32"/>
      <c r="P111" s="3" cm="1">
        <f t="array" ref="P111">SUMPRODUCT(--(MOD(B111:G111,2)=1))</f>
        <v>2</v>
      </c>
      <c r="Q111" s="3">
        <f t="shared" si="46"/>
        <v>4</v>
      </c>
      <c r="R111" s="34"/>
      <c r="S111" s="3">
        <f t="shared" si="47"/>
        <v>3</v>
      </c>
      <c r="T111" s="3">
        <f t="shared" si="48"/>
        <v>3</v>
      </c>
      <c r="U111" s="34"/>
      <c r="V111" s="3" cm="1">
        <f t="array" ref="V111">SUMPRODUCT(--(MOD(B111:G111,10)&gt;=1), --(MOD(B111:G111,10)&lt;=5))</f>
        <v>1</v>
      </c>
      <c r="W111" s="3">
        <f t="shared" si="49"/>
        <v>5</v>
      </c>
      <c r="X111" s="34"/>
      <c r="Y111" s="3" cm="1">
        <f t="array" ref="Y111">IFERROR(COUNT(_xlfn._xlws.FILTER(B111:G111, ISNUMBER(MATCH(B111:G111, {2,3,5,7,11,13,17,19,23,29,31,37,41,43}, 0)))), 0)</f>
        <v>1</v>
      </c>
      <c r="Z111" s="3" cm="1">
        <f t="array" ref="Z111">IFERROR(COUNT(_xlfn._xlws.FILTER(B111:G111, ISNUMBER(MATCH(B111:G111, {1,4,8,10,14,16,20,22,25,26,28,32,34,35,38,40,44}, 0)))), 0)</f>
        <v>3</v>
      </c>
      <c r="AA111" s="3" cm="1">
        <f t="array" ref="AA111">IFERROR(COUNT(_xlfn._xlws.FILTER(B111:G111, ISNUMBER(MATCH(B111:G111, {6,9,12,15,18,21,24,27,30,33,36,39,42,45}, 0)))), 0)</f>
        <v>2</v>
      </c>
      <c r="AB111" s="30"/>
      <c r="AC111" s="26" t="str" cm="1">
        <f t="array" ref="AC111">_xlfn.IFS(
   OR(B111="",ISBLANK(B111),B111=0),0,
   ISNUMBER(MATCH(B111,{2,3,5,7,11,13,17,19,23,29,31,37,41,43},0)),"소",
   AND(ISNUMBER(B111),MOD(B111,3)=0),"배",
   AND(ISNUMBER(B111),B111&gt;0),"자"
)</f>
        <v>자</v>
      </c>
      <c r="AD111" s="26" t="str" cm="1">
        <f t="array" ref="AD111">_xlfn.IFS(
   OR(C111="",ISBLANK(C111),C111=0),0,
   ISNUMBER(MATCH(C111,{2,3,5,7,11,13,17,19,23,29,31,37,41,43},0)),"소",
   AND(ISNUMBER(C111),MOD(C111,3)=0),"배",
   AND(ISNUMBER(C111),C111&gt;0),"자"
)</f>
        <v>자</v>
      </c>
      <c r="AE111" s="26" t="str" cm="1">
        <f t="array" ref="AE111">_xlfn.IFS(
   OR(D111="",ISBLANK(D111),D111=0),0,
   ISNUMBER(MATCH(D111,{2,3,5,7,11,13,17,19,23,29,31,37,41,43},0)),"소",
   AND(ISNUMBER(D111),MOD(D111,3)=0),"배",
   AND(ISNUMBER(D111),D111&gt;0),"자"
)</f>
        <v>소</v>
      </c>
      <c r="AF111" s="26" t="str" cm="1">
        <f t="array" ref="AF111">_xlfn.IFS(
   OR(E111="",ISBLANK(E111),E111=0),0,
   ISNUMBER(MATCH(E111,{2,3,5,7,11,13,17,19,23,29,31,37,41,43},0)),"소",
   AND(ISNUMBER(E111),MOD(E111,3)=0),"배",
   AND(ISNUMBER(E111),E111&gt;0),"자"
)</f>
        <v>배</v>
      </c>
      <c r="AG111" s="26" t="str" cm="1">
        <f t="array" ref="AG111">_xlfn.IFS(
   OR(F111="",ISBLANK(F111),F111=0),0,
   ISNUMBER(MATCH(F111,{2,3,5,7,11,13,17,19,23,29,31,37,41,43},0)),"소",
   AND(ISNUMBER(F111),MOD(F111,3)=0),"배",
   AND(ISNUMBER(F111),F111&gt;0),"자"
)</f>
        <v>배</v>
      </c>
      <c r="AH111" s="26" t="str" cm="1">
        <f t="array" ref="AH111">_xlfn.IFS(
   OR(G111="",ISBLANK(G111),G111=0),0,
   ISNUMBER(MATCH(G111,{2,3,5,7,11,13,17,19,23,29,31,37,41,43},0)),"소",
   AND(ISNUMBER(G111),MOD(G111,3)=0),"배",
   AND(ISNUMBER(G111),G111&gt;0),"자"
)</f>
        <v>자</v>
      </c>
      <c r="AI111" s="30"/>
      <c r="AJ111" s="3">
        <f t="shared" si="50"/>
        <v>1</v>
      </c>
      <c r="AK111" s="3">
        <f t="shared" si="51"/>
        <v>2</v>
      </c>
      <c r="AL111" s="3">
        <f t="shared" si="52"/>
        <v>3</v>
      </c>
      <c r="AM111" s="33"/>
      <c r="AN111" s="3">
        <f t="shared" si="53"/>
        <v>0</v>
      </c>
      <c r="AO111" s="3">
        <f t="shared" si="54"/>
        <v>2</v>
      </c>
      <c r="AP111" s="3">
        <f t="shared" si="55"/>
        <v>1</v>
      </c>
      <c r="AQ111" s="3">
        <f t="shared" si="56"/>
        <v>1</v>
      </c>
      <c r="AR111" s="3">
        <f t="shared" si="57"/>
        <v>2</v>
      </c>
      <c r="AS111" s="28" t="e">
        <f>#REF!</f>
        <v>#REF!</v>
      </c>
      <c r="AT111" s="28" t="e">
        <f>#REF!*2</f>
        <v>#REF!</v>
      </c>
      <c r="AU111" s="28" t="e">
        <f>#REF!</f>
        <v>#REF!</v>
      </c>
      <c r="AV111" s="28" t="e">
        <f>#REF!*2</f>
        <v>#REF!</v>
      </c>
      <c r="AW111" s="28" t="e">
        <f>#REF!</f>
        <v>#REF!</v>
      </c>
      <c r="AX111" s="28" t="e">
        <f>#REF!*2</f>
        <v>#REF!</v>
      </c>
      <c r="AY111" s="28" t="e">
        <f>#REF!</f>
        <v>#REF!</v>
      </c>
      <c r="AZ111" s="28" t="e">
        <f>#REF!*2</f>
        <v>#REF!</v>
      </c>
      <c r="BA111" s="28" t="e">
        <f>#REF!</f>
        <v>#REF!</v>
      </c>
      <c r="BB111" s="28" t="e">
        <f>#REF!*2</f>
        <v>#REF!</v>
      </c>
      <c r="BC111" s="28" t="e">
        <f>#REF!</f>
        <v>#REF!</v>
      </c>
      <c r="BD111" s="28" t="e">
        <f>#REF!*2</f>
        <v>#REF!</v>
      </c>
      <c r="BE111" s="9" t="e">
        <f>#REF!-#REF!</f>
        <v>#REF!</v>
      </c>
      <c r="BF111" s="9" t="e">
        <f>#REF!-#REF!</f>
        <v>#REF!</v>
      </c>
      <c r="BG111" s="9" t="e">
        <f>#REF!-#REF!</f>
        <v>#REF!</v>
      </c>
      <c r="BH111" s="9" t="e">
        <f>#REF!-#REF!</f>
        <v>#REF!</v>
      </c>
      <c r="BI111" s="9" t="e">
        <f>#REF!-#REF!</f>
        <v>#REF!</v>
      </c>
      <c r="BJ111" s="33"/>
      <c r="BK111" s="3">
        <f t="shared" si="58"/>
        <v>0</v>
      </c>
      <c r="BL111" s="3">
        <f t="shared" si="59"/>
        <v>2</v>
      </c>
      <c r="BM111" s="3">
        <f t="shared" si="60"/>
        <v>1</v>
      </c>
      <c r="BN111" s="3">
        <f t="shared" si="61"/>
        <v>2</v>
      </c>
      <c r="BO111" s="3">
        <f t="shared" si="62"/>
        <v>1</v>
      </c>
      <c r="BP111" s="28" t="e">
        <f>#REF!</f>
        <v>#REF!</v>
      </c>
      <c r="BQ111" s="28" t="e">
        <f>#REF!*2</f>
        <v>#REF!</v>
      </c>
      <c r="BR111" s="28" t="e">
        <f>#REF!</f>
        <v>#REF!</v>
      </c>
      <c r="BS111" s="28" t="e">
        <f>#REF!*2</f>
        <v>#REF!</v>
      </c>
      <c r="BT111" s="28" t="e">
        <f>#REF!</f>
        <v>#REF!</v>
      </c>
      <c r="BU111" s="28" t="e">
        <f>#REF!*2</f>
        <v>#REF!</v>
      </c>
      <c r="BV111" s="28" t="e">
        <f>#REF!</f>
        <v>#REF!</v>
      </c>
      <c r="BW111" s="28" t="e">
        <f>#REF!*2</f>
        <v>#REF!</v>
      </c>
      <c r="BX111" s="28" t="e">
        <f>#REF!</f>
        <v>#REF!</v>
      </c>
      <c r="BY111" s="28" t="e">
        <f>#REF!*2</f>
        <v>#REF!</v>
      </c>
      <c r="BZ111" s="28" t="e">
        <f>#REF!</f>
        <v>#REF!</v>
      </c>
      <c r="CA111" s="28" t="e">
        <f>#REF!*2</f>
        <v>#REF!</v>
      </c>
      <c r="CB111" s="9">
        <f t="shared" si="63"/>
        <v>6</v>
      </c>
      <c r="CC111" s="9">
        <f t="shared" si="64"/>
        <v>7</v>
      </c>
      <c r="CD111" s="9">
        <f t="shared" si="65"/>
        <v>13</v>
      </c>
      <c r="CE111" s="9">
        <f t="shared" si="66"/>
        <v>3</v>
      </c>
      <c r="CF111" s="9">
        <f t="shared" si="67"/>
        <v>1</v>
      </c>
      <c r="CG111" s="33"/>
      <c r="CH111" s="9">
        <f t="shared" si="68"/>
        <v>6</v>
      </c>
      <c r="CI111" s="9">
        <f t="shared" si="69"/>
        <v>7</v>
      </c>
      <c r="CJ111" s="9">
        <f t="shared" si="70"/>
        <v>13</v>
      </c>
      <c r="CK111" s="9">
        <f t="shared" si="71"/>
        <v>3</v>
      </c>
      <c r="CL111" s="9">
        <f t="shared" si="72"/>
        <v>1</v>
      </c>
      <c r="CM111" s="32"/>
      <c r="CN111" s="3">
        <f t="shared" si="73"/>
        <v>2</v>
      </c>
      <c r="CO111" s="3">
        <f t="shared" si="74"/>
        <v>1</v>
      </c>
      <c r="CP111" s="3">
        <f t="shared" si="75"/>
        <v>1</v>
      </c>
      <c r="CQ111" s="3">
        <f t="shared" si="76"/>
        <v>1</v>
      </c>
      <c r="CR111" s="3">
        <f t="shared" si="77"/>
        <v>1</v>
      </c>
      <c r="CS111" s="31"/>
      <c r="CT111" s="3" cm="1">
        <f t="array" ref="CT111">SUMPRODUCT(--(MOD(CH111:CL111,2)=1))</f>
        <v>4</v>
      </c>
      <c r="CU111" s="3">
        <f t="shared" si="78"/>
        <v>1</v>
      </c>
      <c r="CV111" s="30"/>
      <c r="CW111" s="3" cm="1">
        <f t="array" ref="CW111">SUMPRODUCT(--(MOD(CH111:CL111,10)&gt;=1), --(MOD(CH111:CL111,10)&lt;=5))</f>
        <v>3</v>
      </c>
      <c r="CX111" s="3">
        <f t="shared" si="79"/>
        <v>2</v>
      </c>
      <c r="CY111" s="30"/>
      <c r="CZ111" s="3" cm="1">
        <f t="array" ref="CZ111">IFERROR(COUNT(_xlfn._xlws.FILTER(CH111:CL111, ISNUMBER(MATCH(CH111:CL111, {2,3,5,7,11,13,17,19,23,29,31,37,41,43}, 0)))), 0)</f>
        <v>3</v>
      </c>
      <c r="DA111" s="3" cm="1">
        <f t="array" ref="DA111">IFERROR(COUNT(_xlfn._xlws.FILTER(CH111:CL111, ISNUMBER(MATCH(CH111:CL111, {1,4,8,10,14,16,20,22,25,26,28,32,34,35,38,40,44}, 0)))), 0)</f>
        <v>1</v>
      </c>
      <c r="DB111" s="3" cm="1">
        <f t="array" ref="DB111">IFERROR(COUNT(_xlfn._xlws.FILTER(CH111:CL111, ISNUMBER(MATCH(CH111:CL111, {6,9,12,15,18,21,24,27,30,33,36,39,42,45}, 0)))), 0)</f>
        <v>1</v>
      </c>
      <c r="DC111" s="29"/>
      <c r="DD111" s="28" t="e">
        <f>#REF!</f>
        <v>#REF!</v>
      </c>
      <c r="DE111" s="28" t="e">
        <f>#REF!*2</f>
        <v>#REF!</v>
      </c>
      <c r="DF111" s="28" t="e">
        <f>#REF!</f>
        <v>#REF!</v>
      </c>
      <c r="DG111" s="28" t="e">
        <f>#REF!*2</f>
        <v>#REF!</v>
      </c>
      <c r="DH111" s="28" t="e">
        <f>#REF!</f>
        <v>#REF!</v>
      </c>
      <c r="DI111" s="28" t="e">
        <f>#REF!*2</f>
        <v>#REF!</v>
      </c>
      <c r="DJ111" s="28" t="e">
        <f>#REF!</f>
        <v>#REF!</v>
      </c>
      <c r="DK111" s="28" t="e">
        <f>#REF!*2</f>
        <v>#REF!</v>
      </c>
      <c r="DL111" s="28" t="e">
        <f>#REF!</f>
        <v>#REF!</v>
      </c>
      <c r="DM111" s="28" t="e">
        <f>#REF!*2</f>
        <v>#REF!</v>
      </c>
      <c r="DN111" s="27"/>
      <c r="DO111" s="26" t="str" cm="1">
        <f t="array" ref="DO111">_xlfn.IFS(
   OR(CH111="",ISBLANK(CH111),CH111=0),0,
   ISNUMBER(MATCH(CH111,{2,3,5,7,11,13,17,19,23,29,31,37,41,43},0)),"소",
   AND(ISNUMBER(CH111),MOD(CH111,3)=0),"배",
   AND(ISNUMBER(CH111),CH111&gt;0),"자"
)</f>
        <v>배</v>
      </c>
      <c r="DP111" s="26" t="str" cm="1">
        <f t="array" ref="DP111">_xlfn.IFS(
   OR(CI111="",ISBLANK(CI111),CI111=0),0,
   ISNUMBER(MATCH(CI111,{2,3,5,7,11,13,17,19,23,29,31,37,41,43},0)),"소",
   AND(ISNUMBER(CI111),MOD(CI111,3)=0),"배",
   AND(ISNUMBER(CI111),CI111&gt;0),"자"
)</f>
        <v>소</v>
      </c>
      <c r="DQ111" s="26" t="str" cm="1">
        <f t="array" ref="DQ111">_xlfn.IFS(
   OR(CJ111="",ISBLANK(CJ111),CJ111=0),0,
   ISNUMBER(MATCH(CJ111,{2,3,5,7,11,13,17,19,23,29,31,37,41,43},0)),"소",
   AND(ISNUMBER(CJ111),MOD(CJ111,3)=0),"배",
   AND(ISNUMBER(CJ111),CJ111&gt;0),"자"
)</f>
        <v>소</v>
      </c>
      <c r="DR111" s="26" t="str" cm="1">
        <f t="array" ref="DR111">_xlfn.IFS(
   OR(CK111="",ISBLANK(CK111),CK111=0),0,
   ISNUMBER(MATCH(CK111,{2,3,5,7,11,13,17,19,23,29,31,37,41,43},0)),"소",
   AND(ISNUMBER(CK111),MOD(CK111,3)=0),"배",
   AND(ISNUMBER(CK111),CK111&gt;0),"자"
)</f>
        <v>소</v>
      </c>
      <c r="DS111" s="26" t="str" cm="1">
        <f t="array" ref="DS111">_xlfn.IFS(
   OR(CL111="",ISBLANK(CL111),CL111=0),0,
   ISNUMBER(MATCH(CL111,{2,3,5,7,11,13,17,19,23,29,31,37,41,43},0)),"소",
   AND(ISNUMBER(CL111),MOD(CL111,3)=0),"배",
   AND(ISNUMBER(CL111),CL111&gt;0),"자"
)</f>
        <v>자</v>
      </c>
      <c r="DT111" s="25"/>
    </row>
    <row r="112" spans="2:124" ht="14.25" thickBot="1" x14ac:dyDescent="0.35">
      <c r="B112" s="3">
        <v>6</v>
      </c>
      <c r="C112" s="3">
        <v>9</v>
      </c>
      <c r="D112" s="3">
        <v>16</v>
      </c>
      <c r="E112" s="3">
        <v>19</v>
      </c>
      <c r="F112" s="3">
        <v>24</v>
      </c>
      <c r="G112" s="3">
        <v>28</v>
      </c>
      <c r="H112" s="32"/>
      <c r="I112" s="3">
        <f t="shared" si="40"/>
        <v>2</v>
      </c>
      <c r="J112" s="3">
        <f t="shared" si="41"/>
        <v>1</v>
      </c>
      <c r="K112" s="3">
        <f t="shared" si="42"/>
        <v>2</v>
      </c>
      <c r="L112" s="3">
        <f t="shared" si="43"/>
        <v>1</v>
      </c>
      <c r="M112" s="3">
        <f t="shared" si="44"/>
        <v>2</v>
      </c>
      <c r="N112" s="3">
        <f t="shared" si="45"/>
        <v>2</v>
      </c>
      <c r="O112" s="32"/>
      <c r="P112" s="3" cm="1">
        <f t="array" ref="P112">SUMPRODUCT(--(MOD(B112:G112,2)=1))</f>
        <v>2</v>
      </c>
      <c r="Q112" s="3">
        <f t="shared" si="46"/>
        <v>4</v>
      </c>
      <c r="R112" s="34"/>
      <c r="S112" s="3">
        <f t="shared" si="47"/>
        <v>4</v>
      </c>
      <c r="T112" s="3">
        <f t="shared" si="48"/>
        <v>2</v>
      </c>
      <c r="U112" s="34"/>
      <c r="V112" s="3" cm="1">
        <f t="array" ref="V112">SUMPRODUCT(--(MOD(B112:G112,10)&gt;=1), --(MOD(B112:G112,10)&lt;=5))</f>
        <v>1</v>
      </c>
      <c r="W112" s="3">
        <f t="shared" si="49"/>
        <v>5</v>
      </c>
      <c r="X112" s="34"/>
      <c r="Y112" s="3" cm="1">
        <f t="array" ref="Y112">IFERROR(COUNT(_xlfn._xlws.FILTER(B112:G112, ISNUMBER(MATCH(B112:G112, {2,3,5,7,11,13,17,19,23,29,31,37,41,43}, 0)))), 0)</f>
        <v>1</v>
      </c>
      <c r="Z112" s="3" cm="1">
        <f t="array" ref="Z112">IFERROR(COUNT(_xlfn._xlws.FILTER(B112:G112, ISNUMBER(MATCH(B112:G112, {1,4,8,10,14,16,20,22,25,26,28,32,34,35,38,40,44}, 0)))), 0)</f>
        <v>2</v>
      </c>
      <c r="AA112" s="3" cm="1">
        <f t="array" ref="AA112">IFERROR(COUNT(_xlfn._xlws.FILTER(B112:G112, ISNUMBER(MATCH(B112:G112, {6,9,12,15,18,21,24,27,30,33,36,39,42,45}, 0)))), 0)</f>
        <v>3</v>
      </c>
      <c r="AB112" s="30"/>
      <c r="AC112" s="26" t="str" cm="1">
        <f t="array" ref="AC112">_xlfn.IFS(
   OR(B112="",ISBLANK(B112),B112=0),0,
   ISNUMBER(MATCH(B112,{2,3,5,7,11,13,17,19,23,29,31,37,41,43},0)),"소",
   AND(ISNUMBER(B112),MOD(B112,3)=0),"배",
   AND(ISNUMBER(B112),B112&gt;0),"자"
)</f>
        <v>배</v>
      </c>
      <c r="AD112" s="26" t="str" cm="1">
        <f t="array" ref="AD112">_xlfn.IFS(
   OR(C112="",ISBLANK(C112),C112=0),0,
   ISNUMBER(MATCH(C112,{2,3,5,7,11,13,17,19,23,29,31,37,41,43},0)),"소",
   AND(ISNUMBER(C112),MOD(C112,3)=0),"배",
   AND(ISNUMBER(C112),C112&gt;0),"자"
)</f>
        <v>배</v>
      </c>
      <c r="AE112" s="26" t="str" cm="1">
        <f t="array" ref="AE112">_xlfn.IFS(
   OR(D112="",ISBLANK(D112),D112=0),0,
   ISNUMBER(MATCH(D112,{2,3,5,7,11,13,17,19,23,29,31,37,41,43},0)),"소",
   AND(ISNUMBER(D112),MOD(D112,3)=0),"배",
   AND(ISNUMBER(D112),D112&gt;0),"자"
)</f>
        <v>자</v>
      </c>
      <c r="AF112" s="26" t="str" cm="1">
        <f t="array" ref="AF112">_xlfn.IFS(
   OR(E112="",ISBLANK(E112),E112=0),0,
   ISNUMBER(MATCH(E112,{2,3,5,7,11,13,17,19,23,29,31,37,41,43},0)),"소",
   AND(ISNUMBER(E112),MOD(E112,3)=0),"배",
   AND(ISNUMBER(E112),E112&gt;0),"자"
)</f>
        <v>소</v>
      </c>
      <c r="AG112" s="26" t="str" cm="1">
        <f t="array" ref="AG112">_xlfn.IFS(
   OR(F112="",ISBLANK(F112),F112=0),0,
   ISNUMBER(MATCH(F112,{2,3,5,7,11,13,17,19,23,29,31,37,41,43},0)),"소",
   AND(ISNUMBER(F112),MOD(F112,3)=0),"배",
   AND(ISNUMBER(F112),F112&gt;0),"자"
)</f>
        <v>배</v>
      </c>
      <c r="AH112" s="26" t="str" cm="1">
        <f t="array" ref="AH112">_xlfn.IFS(
   OR(G112="",ISBLANK(G112),G112=0),0,
   ISNUMBER(MATCH(G112,{2,3,5,7,11,13,17,19,23,29,31,37,41,43},0)),"소",
   AND(ISNUMBER(G112),MOD(G112,3)=0),"배",
   AND(ISNUMBER(G112),G112&gt;0),"자"
)</f>
        <v>자</v>
      </c>
      <c r="AI112" s="30"/>
      <c r="AJ112" s="3">
        <f t="shared" si="50"/>
        <v>2</v>
      </c>
      <c r="AK112" s="3">
        <f t="shared" si="51"/>
        <v>4</v>
      </c>
      <c r="AL112" s="3">
        <f t="shared" si="52"/>
        <v>0</v>
      </c>
      <c r="AM112" s="33"/>
      <c r="AN112" s="3">
        <f t="shared" si="53"/>
        <v>2</v>
      </c>
      <c r="AO112" s="3">
        <f t="shared" si="54"/>
        <v>1</v>
      </c>
      <c r="AP112" s="3">
        <f t="shared" si="55"/>
        <v>2</v>
      </c>
      <c r="AQ112" s="3">
        <f t="shared" si="56"/>
        <v>1</v>
      </c>
      <c r="AR112" s="3">
        <f t="shared" si="57"/>
        <v>0</v>
      </c>
      <c r="AS112" s="28" t="e">
        <f>#REF!</f>
        <v>#REF!</v>
      </c>
      <c r="AT112" s="28" t="e">
        <f>#REF!*2</f>
        <v>#REF!</v>
      </c>
      <c r="AU112" s="28" t="e">
        <f>#REF!</f>
        <v>#REF!</v>
      </c>
      <c r="AV112" s="28" t="e">
        <f>#REF!*2</f>
        <v>#REF!</v>
      </c>
      <c r="AW112" s="28" t="e">
        <f>#REF!</f>
        <v>#REF!</v>
      </c>
      <c r="AX112" s="28" t="e">
        <f>#REF!*2</f>
        <v>#REF!</v>
      </c>
      <c r="AY112" s="28" t="e">
        <f>#REF!</f>
        <v>#REF!</v>
      </c>
      <c r="AZ112" s="28" t="e">
        <f>#REF!*2</f>
        <v>#REF!</v>
      </c>
      <c r="BA112" s="28" t="e">
        <f>#REF!</f>
        <v>#REF!</v>
      </c>
      <c r="BB112" s="28" t="e">
        <f>#REF!*2</f>
        <v>#REF!</v>
      </c>
      <c r="BC112" s="28" t="e">
        <f>#REF!</f>
        <v>#REF!</v>
      </c>
      <c r="BD112" s="28" t="e">
        <f>#REF!*2</f>
        <v>#REF!</v>
      </c>
      <c r="BE112" s="9" t="e">
        <f>#REF!-#REF!</f>
        <v>#REF!</v>
      </c>
      <c r="BF112" s="9" t="e">
        <f>#REF!-#REF!</f>
        <v>#REF!</v>
      </c>
      <c r="BG112" s="9" t="e">
        <f>#REF!-#REF!</f>
        <v>#REF!</v>
      </c>
      <c r="BH112" s="9" t="e">
        <f>#REF!-#REF!</f>
        <v>#REF!</v>
      </c>
      <c r="BI112" s="9" t="e">
        <f>#REF!-#REF!</f>
        <v>#REF!</v>
      </c>
      <c r="BJ112" s="33"/>
      <c r="BK112" s="3">
        <f t="shared" si="58"/>
        <v>2</v>
      </c>
      <c r="BL112" s="3">
        <f t="shared" si="59"/>
        <v>2</v>
      </c>
      <c r="BM112" s="3">
        <f t="shared" si="60"/>
        <v>2</v>
      </c>
      <c r="BN112" s="3">
        <f t="shared" si="61"/>
        <v>0</v>
      </c>
      <c r="BO112" s="3">
        <f t="shared" si="62"/>
        <v>0</v>
      </c>
      <c r="BP112" s="28" t="e">
        <f>#REF!</f>
        <v>#REF!</v>
      </c>
      <c r="BQ112" s="28" t="e">
        <f>#REF!*2</f>
        <v>#REF!</v>
      </c>
      <c r="BR112" s="28" t="e">
        <f>#REF!</f>
        <v>#REF!</v>
      </c>
      <c r="BS112" s="28" t="e">
        <f>#REF!*2</f>
        <v>#REF!</v>
      </c>
      <c r="BT112" s="28" t="e">
        <f>#REF!</f>
        <v>#REF!</v>
      </c>
      <c r="BU112" s="28" t="e">
        <f>#REF!*2</f>
        <v>#REF!</v>
      </c>
      <c r="BV112" s="28" t="e">
        <f>#REF!</f>
        <v>#REF!</v>
      </c>
      <c r="BW112" s="28" t="e">
        <f>#REF!*2</f>
        <v>#REF!</v>
      </c>
      <c r="BX112" s="28" t="e">
        <f>#REF!</f>
        <v>#REF!</v>
      </c>
      <c r="BY112" s="28" t="e">
        <f>#REF!*2</f>
        <v>#REF!</v>
      </c>
      <c r="BZ112" s="28" t="e">
        <f>#REF!</f>
        <v>#REF!</v>
      </c>
      <c r="CA112" s="28" t="e">
        <f>#REF!*2</f>
        <v>#REF!</v>
      </c>
      <c r="CB112" s="9">
        <f t="shared" si="63"/>
        <v>3</v>
      </c>
      <c r="CC112" s="9">
        <f t="shared" si="64"/>
        <v>7</v>
      </c>
      <c r="CD112" s="9">
        <f t="shared" si="65"/>
        <v>3</v>
      </c>
      <c r="CE112" s="9">
        <f t="shared" si="66"/>
        <v>5</v>
      </c>
      <c r="CF112" s="9">
        <f t="shared" si="67"/>
        <v>4</v>
      </c>
      <c r="CG112" s="33"/>
      <c r="CH112" s="9">
        <f t="shared" si="68"/>
        <v>3</v>
      </c>
      <c r="CI112" s="9">
        <f t="shared" si="69"/>
        <v>7</v>
      </c>
      <c r="CJ112" s="9">
        <f t="shared" si="70"/>
        <v>3</v>
      </c>
      <c r="CK112" s="9">
        <f t="shared" si="71"/>
        <v>5</v>
      </c>
      <c r="CL112" s="9">
        <f t="shared" si="72"/>
        <v>4</v>
      </c>
      <c r="CM112" s="32"/>
      <c r="CN112" s="3">
        <f t="shared" si="73"/>
        <v>1</v>
      </c>
      <c r="CO112" s="3">
        <f t="shared" si="74"/>
        <v>1</v>
      </c>
      <c r="CP112" s="3">
        <f t="shared" si="75"/>
        <v>1</v>
      </c>
      <c r="CQ112" s="3">
        <f t="shared" si="76"/>
        <v>1</v>
      </c>
      <c r="CR112" s="3">
        <f t="shared" si="77"/>
        <v>2</v>
      </c>
      <c r="CS112" s="31"/>
      <c r="CT112" s="3" cm="1">
        <f t="array" ref="CT112">SUMPRODUCT(--(MOD(CH112:CL112,2)=1))</f>
        <v>4</v>
      </c>
      <c r="CU112" s="3">
        <f t="shared" si="78"/>
        <v>1</v>
      </c>
      <c r="CV112" s="30"/>
      <c r="CW112" s="3" cm="1">
        <f t="array" ref="CW112">SUMPRODUCT(--(MOD(CH112:CL112,10)&gt;=1), --(MOD(CH112:CL112,10)&lt;=5))</f>
        <v>4</v>
      </c>
      <c r="CX112" s="3">
        <f t="shared" si="79"/>
        <v>1</v>
      </c>
      <c r="CY112" s="30"/>
      <c r="CZ112" s="3" cm="1">
        <f t="array" ref="CZ112">IFERROR(COUNT(_xlfn._xlws.FILTER(CH112:CL112, ISNUMBER(MATCH(CH112:CL112, {2,3,5,7,11,13,17,19,23,29,31,37,41,43}, 0)))), 0)</f>
        <v>4</v>
      </c>
      <c r="DA112" s="3" cm="1">
        <f t="array" ref="DA112">IFERROR(COUNT(_xlfn._xlws.FILTER(CH112:CL112, ISNUMBER(MATCH(CH112:CL112, {1,4,8,10,14,16,20,22,25,26,28,32,34,35,38,40,44}, 0)))), 0)</f>
        <v>1</v>
      </c>
      <c r="DB112" s="3" cm="1">
        <f t="array" ref="DB112">IFERROR(COUNT(_xlfn._xlws.FILTER(CH112:CL112, ISNUMBER(MATCH(CH112:CL112, {6,9,12,15,18,21,24,27,30,33,36,39,42,45}, 0)))), 0)</f>
        <v>0</v>
      </c>
      <c r="DC112" s="29"/>
      <c r="DD112" s="28" t="e">
        <f>#REF!</f>
        <v>#REF!</v>
      </c>
      <c r="DE112" s="28" t="e">
        <f>#REF!*2</f>
        <v>#REF!</v>
      </c>
      <c r="DF112" s="28" t="e">
        <f>#REF!</f>
        <v>#REF!</v>
      </c>
      <c r="DG112" s="28" t="e">
        <f>#REF!*2</f>
        <v>#REF!</v>
      </c>
      <c r="DH112" s="28" t="e">
        <f>#REF!</f>
        <v>#REF!</v>
      </c>
      <c r="DI112" s="28" t="e">
        <f>#REF!*2</f>
        <v>#REF!</v>
      </c>
      <c r="DJ112" s="28" t="e">
        <f>#REF!</f>
        <v>#REF!</v>
      </c>
      <c r="DK112" s="28" t="e">
        <f>#REF!*2</f>
        <v>#REF!</v>
      </c>
      <c r="DL112" s="28" t="e">
        <f>#REF!</f>
        <v>#REF!</v>
      </c>
      <c r="DM112" s="28" t="e">
        <f>#REF!*2</f>
        <v>#REF!</v>
      </c>
      <c r="DN112" s="27"/>
      <c r="DO112" s="26" t="str" cm="1">
        <f t="array" ref="DO112">_xlfn.IFS(
   OR(CH112="",ISBLANK(CH112),CH112=0),0,
   ISNUMBER(MATCH(CH112,{2,3,5,7,11,13,17,19,23,29,31,37,41,43},0)),"소",
   AND(ISNUMBER(CH112),MOD(CH112,3)=0),"배",
   AND(ISNUMBER(CH112),CH112&gt;0),"자"
)</f>
        <v>소</v>
      </c>
      <c r="DP112" s="26" t="str" cm="1">
        <f t="array" ref="DP112">_xlfn.IFS(
   OR(CI112="",ISBLANK(CI112),CI112=0),0,
   ISNUMBER(MATCH(CI112,{2,3,5,7,11,13,17,19,23,29,31,37,41,43},0)),"소",
   AND(ISNUMBER(CI112),MOD(CI112,3)=0),"배",
   AND(ISNUMBER(CI112),CI112&gt;0),"자"
)</f>
        <v>소</v>
      </c>
      <c r="DQ112" s="26" t="str" cm="1">
        <f t="array" ref="DQ112">_xlfn.IFS(
   OR(CJ112="",ISBLANK(CJ112),CJ112=0),0,
   ISNUMBER(MATCH(CJ112,{2,3,5,7,11,13,17,19,23,29,31,37,41,43},0)),"소",
   AND(ISNUMBER(CJ112),MOD(CJ112,3)=0),"배",
   AND(ISNUMBER(CJ112),CJ112&gt;0),"자"
)</f>
        <v>소</v>
      </c>
      <c r="DR112" s="26" t="str" cm="1">
        <f t="array" ref="DR112">_xlfn.IFS(
   OR(CK112="",ISBLANK(CK112),CK112=0),0,
   ISNUMBER(MATCH(CK112,{2,3,5,7,11,13,17,19,23,29,31,37,41,43},0)),"소",
   AND(ISNUMBER(CK112),MOD(CK112,3)=0),"배",
   AND(ISNUMBER(CK112),CK112&gt;0),"자"
)</f>
        <v>소</v>
      </c>
      <c r="DS112" s="26" t="str" cm="1">
        <f t="array" ref="DS112">_xlfn.IFS(
   OR(CL112="",ISBLANK(CL112),CL112=0),0,
   ISNUMBER(MATCH(CL112,{2,3,5,7,11,13,17,19,23,29,31,37,41,43},0)),"소",
   AND(ISNUMBER(CL112),MOD(CL112,3)=0),"배",
   AND(ISNUMBER(CL112),CL112&gt;0),"자"
)</f>
        <v>자</v>
      </c>
      <c r="DT112" s="25"/>
    </row>
    <row r="113" spans="2:124" ht="14.25" thickBot="1" x14ac:dyDescent="0.35">
      <c r="B113" s="3">
        <v>3</v>
      </c>
      <c r="C113" s="3">
        <v>13</v>
      </c>
      <c r="D113" s="3">
        <v>15</v>
      </c>
      <c r="E113" s="3">
        <v>24</v>
      </c>
      <c r="F113" s="3">
        <v>33</v>
      </c>
      <c r="G113" s="3">
        <v>37</v>
      </c>
      <c r="H113" s="32"/>
      <c r="I113" s="3">
        <f t="shared" si="40"/>
        <v>1</v>
      </c>
      <c r="J113" s="3">
        <f t="shared" si="41"/>
        <v>1</v>
      </c>
      <c r="K113" s="3">
        <f t="shared" si="42"/>
        <v>1</v>
      </c>
      <c r="L113" s="3">
        <f t="shared" si="43"/>
        <v>2</v>
      </c>
      <c r="M113" s="3">
        <f t="shared" si="44"/>
        <v>1</v>
      </c>
      <c r="N113" s="3">
        <f t="shared" si="45"/>
        <v>1</v>
      </c>
      <c r="O113" s="32"/>
      <c r="P113" s="3" cm="1">
        <f t="array" ref="P113">SUMPRODUCT(--(MOD(B113:G113,2)=1))</f>
        <v>5</v>
      </c>
      <c r="Q113" s="3">
        <f t="shared" si="46"/>
        <v>1</v>
      </c>
      <c r="R113" s="34"/>
      <c r="S113" s="3">
        <f t="shared" si="47"/>
        <v>3</v>
      </c>
      <c r="T113" s="3">
        <f t="shared" si="48"/>
        <v>3</v>
      </c>
      <c r="U113" s="34"/>
      <c r="V113" s="3" cm="1">
        <f t="array" ref="V113">SUMPRODUCT(--(MOD(B113:G113,10)&gt;=1), --(MOD(B113:G113,10)&lt;=5))</f>
        <v>5</v>
      </c>
      <c r="W113" s="3">
        <f t="shared" si="49"/>
        <v>1</v>
      </c>
      <c r="X113" s="34"/>
      <c r="Y113" s="3" cm="1">
        <f t="array" ref="Y113">IFERROR(COUNT(_xlfn._xlws.FILTER(B113:G113, ISNUMBER(MATCH(B113:G113, {2,3,5,7,11,13,17,19,23,29,31,37,41,43}, 0)))), 0)</f>
        <v>3</v>
      </c>
      <c r="Z113" s="3" cm="1">
        <f t="array" ref="Z113">IFERROR(COUNT(_xlfn._xlws.FILTER(B113:G113, ISNUMBER(MATCH(B113:G113, {1,4,8,10,14,16,20,22,25,26,28,32,34,35,38,40,44}, 0)))), 0)</f>
        <v>0</v>
      </c>
      <c r="AA113" s="3" cm="1">
        <f t="array" ref="AA113">IFERROR(COUNT(_xlfn._xlws.FILTER(B113:G113, ISNUMBER(MATCH(B113:G113, {6,9,12,15,18,21,24,27,30,33,36,39,42,45}, 0)))), 0)</f>
        <v>3</v>
      </c>
      <c r="AB113" s="30"/>
      <c r="AC113" s="26" t="str" cm="1">
        <f t="array" ref="AC113">_xlfn.IFS(
   OR(B113="",ISBLANK(B113),B113=0),0,
   ISNUMBER(MATCH(B113,{2,3,5,7,11,13,17,19,23,29,31,37,41,43},0)),"소",
   AND(ISNUMBER(B113),MOD(B113,3)=0),"배",
   AND(ISNUMBER(B113),B113&gt;0),"자"
)</f>
        <v>소</v>
      </c>
      <c r="AD113" s="26" t="str" cm="1">
        <f t="array" ref="AD113">_xlfn.IFS(
   OR(C113="",ISBLANK(C113),C113=0),0,
   ISNUMBER(MATCH(C113,{2,3,5,7,11,13,17,19,23,29,31,37,41,43},0)),"소",
   AND(ISNUMBER(C113),MOD(C113,3)=0),"배",
   AND(ISNUMBER(C113),C113&gt;0),"자"
)</f>
        <v>소</v>
      </c>
      <c r="AE113" s="26" t="str" cm="1">
        <f t="array" ref="AE113">_xlfn.IFS(
   OR(D113="",ISBLANK(D113),D113=0),0,
   ISNUMBER(MATCH(D113,{2,3,5,7,11,13,17,19,23,29,31,37,41,43},0)),"소",
   AND(ISNUMBER(D113),MOD(D113,3)=0),"배",
   AND(ISNUMBER(D113),D113&gt;0),"자"
)</f>
        <v>배</v>
      </c>
      <c r="AF113" s="26" t="str" cm="1">
        <f t="array" ref="AF113">_xlfn.IFS(
   OR(E113="",ISBLANK(E113),E113=0),0,
   ISNUMBER(MATCH(E113,{2,3,5,7,11,13,17,19,23,29,31,37,41,43},0)),"소",
   AND(ISNUMBER(E113),MOD(E113,3)=0),"배",
   AND(ISNUMBER(E113),E113&gt;0),"자"
)</f>
        <v>배</v>
      </c>
      <c r="AG113" s="26" t="str" cm="1">
        <f t="array" ref="AG113">_xlfn.IFS(
   OR(F113="",ISBLANK(F113),F113=0),0,
   ISNUMBER(MATCH(F113,{2,3,5,7,11,13,17,19,23,29,31,37,41,43},0)),"소",
   AND(ISNUMBER(F113),MOD(F113,3)=0),"배",
   AND(ISNUMBER(F113),F113&gt;0),"자"
)</f>
        <v>배</v>
      </c>
      <c r="AH113" s="26" t="str" cm="1">
        <f t="array" ref="AH113">_xlfn.IFS(
   OR(G113="",ISBLANK(G113),G113=0),0,
   ISNUMBER(MATCH(G113,{2,3,5,7,11,13,17,19,23,29,31,37,41,43},0)),"소",
   AND(ISNUMBER(G113),MOD(G113,3)=0),"배",
   AND(ISNUMBER(G113),G113&gt;0),"자"
)</f>
        <v>소</v>
      </c>
      <c r="AI113" s="30"/>
      <c r="AJ113" s="3">
        <f t="shared" si="50"/>
        <v>2</v>
      </c>
      <c r="AK113" s="3">
        <f t="shared" si="51"/>
        <v>2</v>
      </c>
      <c r="AL113" s="3">
        <f t="shared" si="52"/>
        <v>2</v>
      </c>
      <c r="AM113" s="33"/>
      <c r="AN113" s="3">
        <f t="shared" si="53"/>
        <v>1</v>
      </c>
      <c r="AO113" s="3">
        <f t="shared" si="54"/>
        <v>2</v>
      </c>
      <c r="AP113" s="3">
        <f t="shared" si="55"/>
        <v>1</v>
      </c>
      <c r="AQ113" s="3">
        <f t="shared" si="56"/>
        <v>1</v>
      </c>
      <c r="AR113" s="3">
        <f t="shared" si="57"/>
        <v>1</v>
      </c>
      <c r="AS113" s="28" t="e">
        <f>#REF!</f>
        <v>#REF!</v>
      </c>
      <c r="AT113" s="28" t="e">
        <f>#REF!*2</f>
        <v>#REF!</v>
      </c>
      <c r="AU113" s="28" t="e">
        <f>#REF!</f>
        <v>#REF!</v>
      </c>
      <c r="AV113" s="28" t="e">
        <f>#REF!*2</f>
        <v>#REF!</v>
      </c>
      <c r="AW113" s="28" t="e">
        <f>#REF!</f>
        <v>#REF!</v>
      </c>
      <c r="AX113" s="28" t="e">
        <f>#REF!*2</f>
        <v>#REF!</v>
      </c>
      <c r="AY113" s="28" t="e">
        <f>#REF!</f>
        <v>#REF!</v>
      </c>
      <c r="AZ113" s="28" t="e">
        <f>#REF!*2</f>
        <v>#REF!</v>
      </c>
      <c r="BA113" s="28" t="e">
        <f>#REF!</f>
        <v>#REF!</v>
      </c>
      <c r="BB113" s="28" t="e">
        <f>#REF!*2</f>
        <v>#REF!</v>
      </c>
      <c r="BC113" s="28" t="e">
        <f>#REF!</f>
        <v>#REF!</v>
      </c>
      <c r="BD113" s="28" t="e">
        <f>#REF!*2</f>
        <v>#REF!</v>
      </c>
      <c r="BE113" s="9" t="e">
        <f>#REF!-#REF!</f>
        <v>#REF!</v>
      </c>
      <c r="BF113" s="9" t="e">
        <f>#REF!-#REF!</f>
        <v>#REF!</v>
      </c>
      <c r="BG113" s="9" t="e">
        <f>#REF!-#REF!</f>
        <v>#REF!</v>
      </c>
      <c r="BH113" s="9" t="e">
        <f>#REF!-#REF!</f>
        <v>#REF!</v>
      </c>
      <c r="BI113" s="9" t="e">
        <f>#REF!-#REF!</f>
        <v>#REF!</v>
      </c>
      <c r="BJ113" s="33"/>
      <c r="BK113" s="3">
        <f t="shared" si="58"/>
        <v>1</v>
      </c>
      <c r="BL113" s="3">
        <f t="shared" si="59"/>
        <v>2</v>
      </c>
      <c r="BM113" s="3">
        <f t="shared" si="60"/>
        <v>1</v>
      </c>
      <c r="BN113" s="3">
        <f t="shared" si="61"/>
        <v>2</v>
      </c>
      <c r="BO113" s="3">
        <f t="shared" si="62"/>
        <v>0</v>
      </c>
      <c r="BP113" s="28" t="e">
        <f>#REF!</f>
        <v>#REF!</v>
      </c>
      <c r="BQ113" s="28" t="e">
        <f>#REF!*2</f>
        <v>#REF!</v>
      </c>
      <c r="BR113" s="28" t="e">
        <f>#REF!</f>
        <v>#REF!</v>
      </c>
      <c r="BS113" s="28" t="e">
        <f>#REF!*2</f>
        <v>#REF!</v>
      </c>
      <c r="BT113" s="28" t="e">
        <f>#REF!</f>
        <v>#REF!</v>
      </c>
      <c r="BU113" s="28" t="e">
        <f>#REF!*2</f>
        <v>#REF!</v>
      </c>
      <c r="BV113" s="28" t="e">
        <f>#REF!</f>
        <v>#REF!</v>
      </c>
      <c r="BW113" s="28" t="e">
        <f>#REF!*2</f>
        <v>#REF!</v>
      </c>
      <c r="BX113" s="28" t="e">
        <f>#REF!</f>
        <v>#REF!</v>
      </c>
      <c r="BY113" s="28" t="e">
        <f>#REF!*2</f>
        <v>#REF!</v>
      </c>
      <c r="BZ113" s="28" t="e">
        <f>#REF!</f>
        <v>#REF!</v>
      </c>
      <c r="CA113" s="28" t="e">
        <f>#REF!*2</f>
        <v>#REF!</v>
      </c>
      <c r="CB113" s="9">
        <f t="shared" si="63"/>
        <v>10</v>
      </c>
      <c r="CC113" s="9">
        <f t="shared" si="64"/>
        <v>2</v>
      </c>
      <c r="CD113" s="9">
        <f t="shared" si="65"/>
        <v>9</v>
      </c>
      <c r="CE113" s="9">
        <f t="shared" si="66"/>
        <v>9</v>
      </c>
      <c r="CF113" s="9">
        <f t="shared" si="67"/>
        <v>4</v>
      </c>
      <c r="CG113" s="33"/>
      <c r="CH113" s="9">
        <f t="shared" si="68"/>
        <v>10</v>
      </c>
      <c r="CI113" s="9">
        <f t="shared" si="69"/>
        <v>2</v>
      </c>
      <c r="CJ113" s="13">
        <f t="shared" si="70"/>
        <v>9</v>
      </c>
      <c r="CK113" s="11">
        <f t="shared" si="71"/>
        <v>9</v>
      </c>
      <c r="CL113" s="48">
        <f t="shared" si="72"/>
        <v>4</v>
      </c>
      <c r="CM113" s="32"/>
      <c r="CN113" s="3">
        <f t="shared" si="73"/>
        <v>2</v>
      </c>
      <c r="CO113" s="3">
        <f t="shared" si="74"/>
        <v>2</v>
      </c>
      <c r="CP113" s="3">
        <f t="shared" si="75"/>
        <v>1</v>
      </c>
      <c r="CQ113" s="3">
        <f t="shared" si="76"/>
        <v>1</v>
      </c>
      <c r="CR113" s="3">
        <f t="shared" si="77"/>
        <v>2</v>
      </c>
      <c r="CS113" s="31"/>
      <c r="CT113" s="3" cm="1">
        <f t="array" ref="CT113">SUMPRODUCT(--(MOD(CH113:CL113,2)=1))</f>
        <v>2</v>
      </c>
      <c r="CU113" s="3">
        <f t="shared" si="78"/>
        <v>3</v>
      </c>
      <c r="CV113" s="30"/>
      <c r="CW113" s="3" cm="1">
        <f t="array" ref="CW113">SUMPRODUCT(--(MOD(CH113:CL113,10)&gt;=1), --(MOD(CH113:CL113,10)&lt;=5))</f>
        <v>2</v>
      </c>
      <c r="CX113" s="3">
        <f t="shared" si="79"/>
        <v>3</v>
      </c>
      <c r="CY113" s="30"/>
      <c r="CZ113" s="3" cm="1">
        <f t="array" ref="CZ113">IFERROR(COUNT(_xlfn._xlws.FILTER(CH113:CL113, ISNUMBER(MATCH(CH113:CL113, {2,3,5,7,11,13,17,19,23,29,31,37,41,43}, 0)))), 0)</f>
        <v>1</v>
      </c>
      <c r="DA113" s="3" cm="1">
        <f t="array" ref="DA113">IFERROR(COUNT(_xlfn._xlws.FILTER(CH113:CL113, ISNUMBER(MATCH(CH113:CL113, {1,4,8,10,14,16,20,22,25,26,28,32,34,35,38,40,44}, 0)))), 0)</f>
        <v>2</v>
      </c>
      <c r="DB113" s="3" cm="1">
        <f t="array" ref="DB113">IFERROR(COUNT(_xlfn._xlws.FILTER(CH113:CL113, ISNUMBER(MATCH(CH113:CL113, {6,9,12,15,18,21,24,27,30,33,36,39,42,45}, 0)))), 0)</f>
        <v>2</v>
      </c>
      <c r="DC113" s="29"/>
      <c r="DD113" s="28" t="e">
        <f>#REF!</f>
        <v>#REF!</v>
      </c>
      <c r="DE113" s="28" t="e">
        <f>#REF!*2</f>
        <v>#REF!</v>
      </c>
      <c r="DF113" s="28" t="e">
        <f>#REF!</f>
        <v>#REF!</v>
      </c>
      <c r="DG113" s="28" t="e">
        <f>#REF!*2</f>
        <v>#REF!</v>
      </c>
      <c r="DH113" s="28" t="e">
        <f>#REF!</f>
        <v>#REF!</v>
      </c>
      <c r="DI113" s="28" t="e">
        <f>#REF!*2</f>
        <v>#REF!</v>
      </c>
      <c r="DJ113" s="28" t="e">
        <f>#REF!</f>
        <v>#REF!</v>
      </c>
      <c r="DK113" s="28" t="e">
        <f>#REF!*2</f>
        <v>#REF!</v>
      </c>
      <c r="DL113" s="28" t="e">
        <f>#REF!</f>
        <v>#REF!</v>
      </c>
      <c r="DM113" s="28" t="e">
        <f>#REF!*2</f>
        <v>#REF!</v>
      </c>
      <c r="DN113" s="27"/>
      <c r="DO113" s="26" t="str" cm="1">
        <f t="array" ref="DO113">_xlfn.IFS(
   OR(CH113="",ISBLANK(CH113),CH113=0),0,
   ISNUMBER(MATCH(CH113,{2,3,5,7,11,13,17,19,23,29,31,37,41,43},0)),"소",
   AND(ISNUMBER(CH113),MOD(CH113,3)=0),"배",
   AND(ISNUMBER(CH113),CH113&gt;0),"자"
)</f>
        <v>자</v>
      </c>
      <c r="DP113" s="26" t="str" cm="1">
        <f t="array" ref="DP113">_xlfn.IFS(
   OR(CI113="",ISBLANK(CI113),CI113=0),0,
   ISNUMBER(MATCH(CI113,{2,3,5,7,11,13,17,19,23,29,31,37,41,43},0)),"소",
   AND(ISNUMBER(CI113),MOD(CI113,3)=0),"배",
   AND(ISNUMBER(CI113),CI113&gt;0),"자"
)</f>
        <v>소</v>
      </c>
      <c r="DQ113" s="26" t="str" cm="1">
        <f t="array" ref="DQ113">_xlfn.IFS(
   OR(CJ113="",ISBLANK(CJ113),CJ113=0),0,
   ISNUMBER(MATCH(CJ113,{2,3,5,7,11,13,17,19,23,29,31,37,41,43},0)),"소",
   AND(ISNUMBER(CJ113),MOD(CJ113,3)=0),"배",
   AND(ISNUMBER(CJ113),CJ113&gt;0),"자"
)</f>
        <v>배</v>
      </c>
      <c r="DR113" s="26" t="str" cm="1">
        <f t="array" ref="DR113">_xlfn.IFS(
   OR(CK113="",ISBLANK(CK113),CK113=0),0,
   ISNUMBER(MATCH(CK113,{2,3,5,7,11,13,17,19,23,29,31,37,41,43},0)),"소",
   AND(ISNUMBER(CK113),MOD(CK113,3)=0),"배",
   AND(ISNUMBER(CK113),CK113&gt;0),"자"
)</f>
        <v>배</v>
      </c>
      <c r="DS113" s="26" t="str" cm="1">
        <f t="array" ref="DS113">_xlfn.IFS(
   OR(CL113="",ISBLANK(CL113),CL113=0),0,
   ISNUMBER(MATCH(CL113,{2,3,5,7,11,13,17,19,23,29,31,37,41,43},0)),"소",
   AND(ISNUMBER(CL113),MOD(CL113,3)=0),"배",
   AND(ISNUMBER(CL113),CL113&gt;0),"자"
)</f>
        <v>자</v>
      </c>
      <c r="DT113" s="25"/>
    </row>
    <row r="114" spans="2:124" x14ac:dyDescent="0.3">
      <c r="B114" s="3">
        <v>3</v>
      </c>
      <c r="C114" s="3">
        <v>15</v>
      </c>
      <c r="D114" s="3">
        <v>27</v>
      </c>
      <c r="E114" s="3">
        <v>33</v>
      </c>
      <c r="F114" s="3">
        <v>34</v>
      </c>
      <c r="G114" s="3">
        <v>36</v>
      </c>
      <c r="H114" s="32"/>
      <c r="I114" s="3">
        <f t="shared" si="40"/>
        <v>1</v>
      </c>
      <c r="J114" s="3">
        <f t="shared" si="41"/>
        <v>1</v>
      </c>
      <c r="K114" s="3">
        <f t="shared" si="42"/>
        <v>1</v>
      </c>
      <c r="L114" s="3">
        <f t="shared" si="43"/>
        <v>1</v>
      </c>
      <c r="M114" s="3">
        <f t="shared" si="44"/>
        <v>2</v>
      </c>
      <c r="N114" s="3">
        <f t="shared" si="45"/>
        <v>2</v>
      </c>
      <c r="O114" s="32"/>
      <c r="P114" s="3" cm="1">
        <f t="array" ref="P114">SUMPRODUCT(--(MOD(B114:G114,2)=1))</f>
        <v>4</v>
      </c>
      <c r="Q114" s="3">
        <f t="shared" si="46"/>
        <v>2</v>
      </c>
      <c r="R114" s="34"/>
      <c r="S114" s="3">
        <f t="shared" si="47"/>
        <v>2</v>
      </c>
      <c r="T114" s="3">
        <f t="shared" si="48"/>
        <v>4</v>
      </c>
      <c r="U114" s="34"/>
      <c r="V114" s="3" cm="1">
        <f t="array" ref="V114">SUMPRODUCT(--(MOD(B114:G114,10)&gt;=1), --(MOD(B114:G114,10)&lt;=5))</f>
        <v>4</v>
      </c>
      <c r="W114" s="3">
        <f t="shared" si="49"/>
        <v>2</v>
      </c>
      <c r="X114" s="34"/>
      <c r="Y114" s="3" cm="1">
        <f t="array" ref="Y114">IFERROR(COUNT(_xlfn._xlws.FILTER(B114:G114, ISNUMBER(MATCH(B114:G114, {2,3,5,7,11,13,17,19,23,29,31,37,41,43}, 0)))), 0)</f>
        <v>1</v>
      </c>
      <c r="Z114" s="3" cm="1">
        <f t="array" ref="Z114">IFERROR(COUNT(_xlfn._xlws.FILTER(B114:G114, ISNUMBER(MATCH(B114:G114, {1,4,8,10,14,16,20,22,25,26,28,32,34,35,38,40,44}, 0)))), 0)</f>
        <v>1</v>
      </c>
      <c r="AA114" s="3" cm="1">
        <f t="array" ref="AA114">IFERROR(COUNT(_xlfn._xlws.FILTER(B114:G114, ISNUMBER(MATCH(B114:G114, {6,9,12,15,18,21,24,27,30,33,36,39,42,45}, 0)))), 0)</f>
        <v>4</v>
      </c>
      <c r="AB114" s="30"/>
      <c r="AC114" s="26" t="str" cm="1">
        <f t="array" ref="AC114">_xlfn.IFS(
   OR(B114="",ISBLANK(B114),B114=0),0,
   ISNUMBER(MATCH(B114,{2,3,5,7,11,13,17,19,23,29,31,37,41,43},0)),"소",
   AND(ISNUMBER(B114),MOD(B114,3)=0),"배",
   AND(ISNUMBER(B114),B114&gt;0),"자"
)</f>
        <v>소</v>
      </c>
      <c r="AD114" s="26" t="str" cm="1">
        <f t="array" ref="AD114">_xlfn.IFS(
   OR(C114="",ISBLANK(C114),C114=0),0,
   ISNUMBER(MATCH(C114,{2,3,5,7,11,13,17,19,23,29,31,37,41,43},0)),"소",
   AND(ISNUMBER(C114),MOD(C114,3)=0),"배",
   AND(ISNUMBER(C114),C114&gt;0),"자"
)</f>
        <v>배</v>
      </c>
      <c r="AE114" s="26" t="str" cm="1">
        <f t="array" ref="AE114">_xlfn.IFS(
   OR(D114="",ISBLANK(D114),D114=0),0,
   ISNUMBER(MATCH(D114,{2,3,5,7,11,13,17,19,23,29,31,37,41,43},0)),"소",
   AND(ISNUMBER(D114),MOD(D114,3)=0),"배",
   AND(ISNUMBER(D114),D114&gt;0),"자"
)</f>
        <v>배</v>
      </c>
      <c r="AF114" s="26" t="str" cm="1">
        <f t="array" ref="AF114">_xlfn.IFS(
   OR(E114="",ISBLANK(E114),E114=0),0,
   ISNUMBER(MATCH(E114,{2,3,5,7,11,13,17,19,23,29,31,37,41,43},0)),"소",
   AND(ISNUMBER(E114),MOD(E114,3)=0),"배",
   AND(ISNUMBER(E114),E114&gt;0),"자"
)</f>
        <v>배</v>
      </c>
      <c r="AG114" s="26" t="str" cm="1">
        <f t="array" ref="AG114">_xlfn.IFS(
   OR(F114="",ISBLANK(F114),F114=0),0,
   ISNUMBER(MATCH(F114,{2,3,5,7,11,13,17,19,23,29,31,37,41,43},0)),"소",
   AND(ISNUMBER(F114),MOD(F114,3)=0),"배",
   AND(ISNUMBER(F114),F114&gt;0),"자"
)</f>
        <v>자</v>
      </c>
      <c r="AH114" s="26" t="str" cm="1">
        <f t="array" ref="AH114">_xlfn.IFS(
   OR(G114="",ISBLANK(G114),G114=0),0,
   ISNUMBER(MATCH(G114,{2,3,5,7,11,13,17,19,23,29,31,37,41,43},0)),"소",
   AND(ISNUMBER(G114),MOD(G114,3)=0),"배",
   AND(ISNUMBER(G114),G114&gt;0),"자"
)</f>
        <v>배</v>
      </c>
      <c r="AI114" s="30"/>
      <c r="AJ114" s="3">
        <f t="shared" si="50"/>
        <v>1</v>
      </c>
      <c r="AK114" s="3">
        <f t="shared" si="51"/>
        <v>2</v>
      </c>
      <c r="AL114" s="3">
        <f t="shared" si="52"/>
        <v>3</v>
      </c>
      <c r="AM114" s="33"/>
      <c r="AN114" s="3">
        <f t="shared" si="53"/>
        <v>1</v>
      </c>
      <c r="AO114" s="3">
        <f t="shared" si="54"/>
        <v>1</v>
      </c>
      <c r="AP114" s="3">
        <f t="shared" si="55"/>
        <v>1</v>
      </c>
      <c r="AQ114" s="3">
        <f t="shared" si="56"/>
        <v>3</v>
      </c>
      <c r="AR114" s="3">
        <f t="shared" si="57"/>
        <v>0</v>
      </c>
      <c r="AS114" s="28" t="e">
        <f>#REF!</f>
        <v>#REF!</v>
      </c>
      <c r="AT114" s="28" t="e">
        <f>#REF!*2</f>
        <v>#REF!</v>
      </c>
      <c r="AU114" s="28" t="e">
        <f>#REF!</f>
        <v>#REF!</v>
      </c>
      <c r="AV114" s="28" t="e">
        <f>#REF!*2</f>
        <v>#REF!</v>
      </c>
      <c r="AW114" s="28" t="e">
        <f>#REF!</f>
        <v>#REF!</v>
      </c>
      <c r="AX114" s="28" t="e">
        <f>#REF!*2</f>
        <v>#REF!</v>
      </c>
      <c r="AY114" s="28" t="e">
        <f>#REF!</f>
        <v>#REF!</v>
      </c>
      <c r="AZ114" s="28" t="e">
        <f>#REF!*2</f>
        <v>#REF!</v>
      </c>
      <c r="BA114" s="28" t="e">
        <f>#REF!</f>
        <v>#REF!</v>
      </c>
      <c r="BB114" s="28" t="e">
        <f>#REF!*2</f>
        <v>#REF!</v>
      </c>
      <c r="BC114" s="28" t="e">
        <f>#REF!</f>
        <v>#REF!</v>
      </c>
      <c r="BD114" s="28" t="e">
        <f>#REF!*2</f>
        <v>#REF!</v>
      </c>
      <c r="BE114" s="9" t="e">
        <f>#REF!-#REF!</f>
        <v>#REF!</v>
      </c>
      <c r="BF114" s="9" t="e">
        <f>#REF!-#REF!</f>
        <v>#REF!</v>
      </c>
      <c r="BG114" s="9" t="e">
        <f>#REF!-#REF!</f>
        <v>#REF!</v>
      </c>
      <c r="BH114" s="9" t="e">
        <f>#REF!-#REF!</f>
        <v>#REF!</v>
      </c>
      <c r="BI114" s="9" t="e">
        <f>#REF!-#REF!</f>
        <v>#REF!</v>
      </c>
      <c r="BJ114" s="33"/>
      <c r="BK114" s="3">
        <f t="shared" si="58"/>
        <v>1</v>
      </c>
      <c r="BL114" s="3">
        <f t="shared" si="59"/>
        <v>1</v>
      </c>
      <c r="BM114" s="3">
        <f t="shared" si="60"/>
        <v>1</v>
      </c>
      <c r="BN114" s="3">
        <f t="shared" si="61"/>
        <v>3</v>
      </c>
      <c r="BO114" s="3">
        <f t="shared" si="62"/>
        <v>0</v>
      </c>
      <c r="BP114" s="28" t="e">
        <f>#REF!</f>
        <v>#REF!</v>
      </c>
      <c r="BQ114" s="28" t="e">
        <f>#REF!*2</f>
        <v>#REF!</v>
      </c>
      <c r="BR114" s="28" t="e">
        <f>#REF!</f>
        <v>#REF!</v>
      </c>
      <c r="BS114" s="28" t="e">
        <f>#REF!*2</f>
        <v>#REF!</v>
      </c>
      <c r="BT114" s="28" t="e">
        <f>#REF!</f>
        <v>#REF!</v>
      </c>
      <c r="BU114" s="28" t="e">
        <f>#REF!*2</f>
        <v>#REF!</v>
      </c>
      <c r="BV114" s="28" t="e">
        <f>#REF!</f>
        <v>#REF!</v>
      </c>
      <c r="BW114" s="28" t="e">
        <f>#REF!*2</f>
        <v>#REF!</v>
      </c>
      <c r="BX114" s="28" t="e">
        <f>#REF!</f>
        <v>#REF!</v>
      </c>
      <c r="BY114" s="28" t="e">
        <f>#REF!*2</f>
        <v>#REF!</v>
      </c>
      <c r="BZ114" s="28" t="e">
        <f>#REF!</f>
        <v>#REF!</v>
      </c>
      <c r="CA114" s="28" t="e">
        <f>#REF!*2</f>
        <v>#REF!</v>
      </c>
      <c r="CB114" s="9">
        <f t="shared" si="63"/>
        <v>12</v>
      </c>
      <c r="CC114" s="9">
        <f t="shared" si="64"/>
        <v>12</v>
      </c>
      <c r="CD114" s="9">
        <f t="shared" si="65"/>
        <v>6</v>
      </c>
      <c r="CE114" s="9">
        <f t="shared" si="66"/>
        <v>1</v>
      </c>
      <c r="CF114" s="9">
        <f t="shared" si="67"/>
        <v>2</v>
      </c>
      <c r="CG114" s="33"/>
      <c r="CH114" s="9">
        <f t="shared" si="68"/>
        <v>12</v>
      </c>
      <c r="CI114" s="9">
        <f t="shared" si="69"/>
        <v>12</v>
      </c>
      <c r="CJ114" s="9">
        <f t="shared" si="70"/>
        <v>6</v>
      </c>
      <c r="CK114" s="9">
        <f t="shared" si="71"/>
        <v>1</v>
      </c>
      <c r="CL114" s="9">
        <f t="shared" si="72"/>
        <v>2</v>
      </c>
      <c r="CM114" s="32"/>
      <c r="CN114" s="3">
        <f t="shared" si="73"/>
        <v>2</v>
      </c>
      <c r="CO114" s="3">
        <f t="shared" si="74"/>
        <v>2</v>
      </c>
      <c r="CP114" s="3">
        <f t="shared" si="75"/>
        <v>2</v>
      </c>
      <c r="CQ114" s="3">
        <f t="shared" si="76"/>
        <v>1</v>
      </c>
      <c r="CR114" s="3">
        <f t="shared" si="77"/>
        <v>2</v>
      </c>
      <c r="CS114" s="31"/>
      <c r="CT114" s="3" cm="1">
        <f t="array" ref="CT114">SUMPRODUCT(--(MOD(CH114:CL114,2)=1))</f>
        <v>1</v>
      </c>
      <c r="CU114" s="3">
        <f t="shared" si="78"/>
        <v>4</v>
      </c>
      <c r="CV114" s="30"/>
      <c r="CW114" s="3" cm="1">
        <f t="array" ref="CW114">SUMPRODUCT(--(MOD(CH114:CL114,10)&gt;=1), --(MOD(CH114:CL114,10)&lt;=5))</f>
        <v>4</v>
      </c>
      <c r="CX114" s="3">
        <f t="shared" si="79"/>
        <v>1</v>
      </c>
      <c r="CY114" s="30"/>
      <c r="CZ114" s="3" cm="1">
        <f t="array" ref="CZ114">IFERROR(COUNT(_xlfn._xlws.FILTER(CH114:CL114, ISNUMBER(MATCH(CH114:CL114, {2,3,5,7,11,13,17,19,23,29,31,37,41,43}, 0)))), 0)</f>
        <v>1</v>
      </c>
      <c r="DA114" s="3" cm="1">
        <f t="array" ref="DA114">IFERROR(COUNT(_xlfn._xlws.FILTER(CH114:CL114, ISNUMBER(MATCH(CH114:CL114, {1,4,8,10,14,16,20,22,25,26,28,32,34,35,38,40,44}, 0)))), 0)</f>
        <v>1</v>
      </c>
      <c r="DB114" s="3" cm="1">
        <f t="array" ref="DB114">IFERROR(COUNT(_xlfn._xlws.FILTER(CH114:CL114, ISNUMBER(MATCH(CH114:CL114, {6,9,12,15,18,21,24,27,30,33,36,39,42,45}, 0)))), 0)</f>
        <v>3</v>
      </c>
      <c r="DC114" s="29"/>
      <c r="DD114" s="28" t="e">
        <f>#REF!</f>
        <v>#REF!</v>
      </c>
      <c r="DE114" s="28" t="e">
        <f>#REF!*2</f>
        <v>#REF!</v>
      </c>
      <c r="DF114" s="28" t="e">
        <f>#REF!</f>
        <v>#REF!</v>
      </c>
      <c r="DG114" s="28" t="e">
        <f>#REF!*2</f>
        <v>#REF!</v>
      </c>
      <c r="DH114" s="28" t="e">
        <f>#REF!</f>
        <v>#REF!</v>
      </c>
      <c r="DI114" s="28" t="e">
        <f>#REF!*2</f>
        <v>#REF!</v>
      </c>
      <c r="DJ114" s="28" t="e">
        <f>#REF!</f>
        <v>#REF!</v>
      </c>
      <c r="DK114" s="28" t="e">
        <f>#REF!*2</f>
        <v>#REF!</v>
      </c>
      <c r="DL114" s="28" t="e">
        <f>#REF!</f>
        <v>#REF!</v>
      </c>
      <c r="DM114" s="28" t="e">
        <f>#REF!*2</f>
        <v>#REF!</v>
      </c>
      <c r="DN114" s="27"/>
      <c r="DO114" s="26" t="str" cm="1">
        <f t="array" ref="DO114">_xlfn.IFS(
   OR(CH114="",ISBLANK(CH114),CH114=0),0,
   ISNUMBER(MATCH(CH114,{2,3,5,7,11,13,17,19,23,29,31,37,41,43},0)),"소",
   AND(ISNUMBER(CH114),MOD(CH114,3)=0),"배",
   AND(ISNUMBER(CH114),CH114&gt;0),"자"
)</f>
        <v>배</v>
      </c>
      <c r="DP114" s="26" t="str" cm="1">
        <f t="array" ref="DP114">_xlfn.IFS(
   OR(CI114="",ISBLANK(CI114),CI114=0),0,
   ISNUMBER(MATCH(CI114,{2,3,5,7,11,13,17,19,23,29,31,37,41,43},0)),"소",
   AND(ISNUMBER(CI114),MOD(CI114,3)=0),"배",
   AND(ISNUMBER(CI114),CI114&gt;0),"자"
)</f>
        <v>배</v>
      </c>
      <c r="DQ114" s="26" t="str" cm="1">
        <f t="array" ref="DQ114">_xlfn.IFS(
   OR(CJ114="",ISBLANK(CJ114),CJ114=0),0,
   ISNUMBER(MATCH(CJ114,{2,3,5,7,11,13,17,19,23,29,31,37,41,43},0)),"소",
   AND(ISNUMBER(CJ114),MOD(CJ114,3)=0),"배",
   AND(ISNUMBER(CJ114),CJ114&gt;0),"자"
)</f>
        <v>배</v>
      </c>
      <c r="DR114" s="26" t="str" cm="1">
        <f t="array" ref="DR114">_xlfn.IFS(
   OR(CK114="",ISBLANK(CK114),CK114=0),0,
   ISNUMBER(MATCH(CK114,{2,3,5,7,11,13,17,19,23,29,31,37,41,43},0)),"소",
   AND(ISNUMBER(CK114),MOD(CK114,3)=0),"배",
   AND(ISNUMBER(CK114),CK114&gt;0),"자"
)</f>
        <v>자</v>
      </c>
      <c r="DS114" s="26" t="str" cm="1">
        <f t="array" ref="DS114">_xlfn.IFS(
   OR(CL114="",ISBLANK(CL114),CL114=0),0,
   ISNUMBER(MATCH(CL114,{2,3,5,7,11,13,17,19,23,29,31,37,41,43},0)),"소",
   AND(ISNUMBER(CL114),MOD(CL114,3)=0),"배",
   AND(ISNUMBER(CL114),CL114&gt;0),"자"
)</f>
        <v>소</v>
      </c>
      <c r="DT114" s="25"/>
    </row>
    <row r="115" spans="2:124" ht="14.25" thickBot="1" x14ac:dyDescent="0.35">
      <c r="B115" s="3">
        <v>8</v>
      </c>
      <c r="C115" s="3">
        <v>12</v>
      </c>
      <c r="D115" s="3">
        <v>15</v>
      </c>
      <c r="E115" s="3">
        <v>29</v>
      </c>
      <c r="F115" s="3">
        <v>40</v>
      </c>
      <c r="G115" s="3">
        <v>45</v>
      </c>
      <c r="H115" s="32"/>
      <c r="I115" s="3">
        <f t="shared" si="40"/>
        <v>2</v>
      </c>
      <c r="J115" s="3">
        <f t="shared" si="41"/>
        <v>2</v>
      </c>
      <c r="K115" s="3">
        <f t="shared" si="42"/>
        <v>1</v>
      </c>
      <c r="L115" s="3">
        <f t="shared" si="43"/>
        <v>1</v>
      </c>
      <c r="M115" s="3">
        <f t="shared" si="44"/>
        <v>2</v>
      </c>
      <c r="N115" s="3">
        <f t="shared" si="45"/>
        <v>1</v>
      </c>
      <c r="O115" s="32"/>
      <c r="P115" s="3" cm="1">
        <f t="array" ref="P115">SUMPRODUCT(--(MOD(B115:G115,2)=1))</f>
        <v>3</v>
      </c>
      <c r="Q115" s="3">
        <f t="shared" si="46"/>
        <v>3</v>
      </c>
      <c r="R115" s="34"/>
      <c r="S115" s="3">
        <f t="shared" si="47"/>
        <v>3</v>
      </c>
      <c r="T115" s="3">
        <f t="shared" si="48"/>
        <v>3</v>
      </c>
      <c r="U115" s="34"/>
      <c r="V115" s="3" cm="1">
        <f t="array" ref="V115">SUMPRODUCT(--(MOD(B115:G115,10)&gt;=1), --(MOD(B115:G115,10)&lt;=5))</f>
        <v>3</v>
      </c>
      <c r="W115" s="3">
        <f t="shared" si="49"/>
        <v>3</v>
      </c>
      <c r="X115" s="34"/>
      <c r="Y115" s="3" cm="1">
        <f t="array" ref="Y115">IFERROR(COUNT(_xlfn._xlws.FILTER(B115:G115, ISNUMBER(MATCH(B115:G115, {2,3,5,7,11,13,17,19,23,29,31,37,41,43}, 0)))), 0)</f>
        <v>1</v>
      </c>
      <c r="Z115" s="3" cm="1">
        <f t="array" ref="Z115">IFERROR(COUNT(_xlfn._xlws.FILTER(B115:G115, ISNUMBER(MATCH(B115:G115, {1,4,8,10,14,16,20,22,25,26,28,32,34,35,38,40,44}, 0)))), 0)</f>
        <v>2</v>
      </c>
      <c r="AA115" s="3" cm="1">
        <f t="array" ref="AA115">IFERROR(COUNT(_xlfn._xlws.FILTER(B115:G115, ISNUMBER(MATCH(B115:G115, {6,9,12,15,18,21,24,27,30,33,36,39,42,45}, 0)))), 0)</f>
        <v>3</v>
      </c>
      <c r="AB115" s="30"/>
      <c r="AC115" s="26" t="str" cm="1">
        <f t="array" ref="AC115">_xlfn.IFS(
   OR(B115="",ISBLANK(B115),B115=0),0,
   ISNUMBER(MATCH(B115,{2,3,5,7,11,13,17,19,23,29,31,37,41,43},0)),"소",
   AND(ISNUMBER(B115),MOD(B115,3)=0),"배",
   AND(ISNUMBER(B115),B115&gt;0),"자"
)</f>
        <v>자</v>
      </c>
      <c r="AD115" s="26" t="str" cm="1">
        <f t="array" ref="AD115">_xlfn.IFS(
   OR(C115="",ISBLANK(C115),C115=0),0,
   ISNUMBER(MATCH(C115,{2,3,5,7,11,13,17,19,23,29,31,37,41,43},0)),"소",
   AND(ISNUMBER(C115),MOD(C115,3)=0),"배",
   AND(ISNUMBER(C115),C115&gt;0),"자"
)</f>
        <v>배</v>
      </c>
      <c r="AE115" s="26" t="str" cm="1">
        <f t="array" ref="AE115">_xlfn.IFS(
   OR(D115="",ISBLANK(D115),D115=0),0,
   ISNUMBER(MATCH(D115,{2,3,5,7,11,13,17,19,23,29,31,37,41,43},0)),"소",
   AND(ISNUMBER(D115),MOD(D115,3)=0),"배",
   AND(ISNUMBER(D115),D115&gt;0),"자"
)</f>
        <v>배</v>
      </c>
      <c r="AF115" s="26" t="str" cm="1">
        <f t="array" ref="AF115">_xlfn.IFS(
   OR(E115="",ISBLANK(E115),E115=0),0,
   ISNUMBER(MATCH(E115,{2,3,5,7,11,13,17,19,23,29,31,37,41,43},0)),"소",
   AND(ISNUMBER(E115),MOD(E115,3)=0),"배",
   AND(ISNUMBER(E115),E115&gt;0),"자"
)</f>
        <v>소</v>
      </c>
      <c r="AG115" s="26" t="str" cm="1">
        <f t="array" ref="AG115">_xlfn.IFS(
   OR(F115="",ISBLANK(F115),F115=0),0,
   ISNUMBER(MATCH(F115,{2,3,5,7,11,13,17,19,23,29,31,37,41,43},0)),"소",
   AND(ISNUMBER(F115),MOD(F115,3)=0),"배",
   AND(ISNUMBER(F115),F115&gt;0),"자"
)</f>
        <v>자</v>
      </c>
      <c r="AH115" s="26" t="str" cm="1">
        <f t="array" ref="AH115">_xlfn.IFS(
   OR(G115="",ISBLANK(G115),G115=0),0,
   ISNUMBER(MATCH(G115,{2,3,5,7,11,13,17,19,23,29,31,37,41,43},0)),"소",
   AND(ISNUMBER(G115),MOD(G115,3)=0),"배",
   AND(ISNUMBER(G115),G115&gt;0),"자"
)</f>
        <v>배</v>
      </c>
      <c r="AI115" s="30"/>
      <c r="AJ115" s="3">
        <f t="shared" si="50"/>
        <v>2</v>
      </c>
      <c r="AK115" s="3">
        <f t="shared" si="51"/>
        <v>2</v>
      </c>
      <c r="AL115" s="3">
        <f t="shared" si="52"/>
        <v>2</v>
      </c>
      <c r="AM115" s="33"/>
      <c r="AN115" s="3">
        <f t="shared" si="53"/>
        <v>1</v>
      </c>
      <c r="AO115" s="3">
        <f t="shared" si="54"/>
        <v>2</v>
      </c>
      <c r="AP115" s="3">
        <f t="shared" si="55"/>
        <v>0</v>
      </c>
      <c r="AQ115" s="3">
        <f t="shared" si="56"/>
        <v>1</v>
      </c>
      <c r="AR115" s="3">
        <f t="shared" si="57"/>
        <v>2</v>
      </c>
      <c r="AS115" s="28" t="e">
        <f>#REF!</f>
        <v>#REF!</v>
      </c>
      <c r="AT115" s="28" t="e">
        <f>#REF!*2</f>
        <v>#REF!</v>
      </c>
      <c r="AU115" s="28" t="e">
        <f>#REF!</f>
        <v>#REF!</v>
      </c>
      <c r="AV115" s="28" t="e">
        <f>#REF!*2</f>
        <v>#REF!</v>
      </c>
      <c r="AW115" s="28" t="e">
        <f>#REF!</f>
        <v>#REF!</v>
      </c>
      <c r="AX115" s="28" t="e">
        <f>#REF!*2</f>
        <v>#REF!</v>
      </c>
      <c r="AY115" s="28" t="e">
        <f>#REF!</f>
        <v>#REF!</v>
      </c>
      <c r="AZ115" s="28" t="e">
        <f>#REF!*2</f>
        <v>#REF!</v>
      </c>
      <c r="BA115" s="28" t="e">
        <f>#REF!</f>
        <v>#REF!</v>
      </c>
      <c r="BB115" s="28" t="e">
        <f>#REF!*2</f>
        <v>#REF!</v>
      </c>
      <c r="BC115" s="28" t="e">
        <f>#REF!</f>
        <v>#REF!</v>
      </c>
      <c r="BD115" s="28" t="e">
        <f>#REF!*2</f>
        <v>#REF!</v>
      </c>
      <c r="BE115" s="9" t="e">
        <f>#REF!-#REF!</f>
        <v>#REF!</v>
      </c>
      <c r="BF115" s="9" t="e">
        <f>#REF!-#REF!</f>
        <v>#REF!</v>
      </c>
      <c r="BG115" s="9" t="e">
        <f>#REF!-#REF!</f>
        <v>#REF!</v>
      </c>
      <c r="BH115" s="9" t="e">
        <f>#REF!-#REF!</f>
        <v>#REF!</v>
      </c>
      <c r="BI115" s="9" t="e">
        <f>#REF!-#REF!</f>
        <v>#REF!</v>
      </c>
      <c r="BJ115" s="33"/>
      <c r="BK115" s="3">
        <f t="shared" si="58"/>
        <v>1</v>
      </c>
      <c r="BL115" s="3">
        <f t="shared" si="59"/>
        <v>2</v>
      </c>
      <c r="BM115" s="3">
        <f t="shared" si="60"/>
        <v>1</v>
      </c>
      <c r="BN115" s="3">
        <f t="shared" si="61"/>
        <v>0</v>
      </c>
      <c r="BO115" s="3">
        <f t="shared" si="62"/>
        <v>2</v>
      </c>
      <c r="BP115" s="28" t="e">
        <f>#REF!</f>
        <v>#REF!</v>
      </c>
      <c r="BQ115" s="28" t="e">
        <f>#REF!*2</f>
        <v>#REF!</v>
      </c>
      <c r="BR115" s="28" t="e">
        <f>#REF!</f>
        <v>#REF!</v>
      </c>
      <c r="BS115" s="28" t="e">
        <f>#REF!*2</f>
        <v>#REF!</v>
      </c>
      <c r="BT115" s="28" t="e">
        <f>#REF!</f>
        <v>#REF!</v>
      </c>
      <c r="BU115" s="28" t="e">
        <f>#REF!*2</f>
        <v>#REF!</v>
      </c>
      <c r="BV115" s="28" t="e">
        <f>#REF!</f>
        <v>#REF!</v>
      </c>
      <c r="BW115" s="28" t="e">
        <f>#REF!*2</f>
        <v>#REF!</v>
      </c>
      <c r="BX115" s="28" t="e">
        <f>#REF!</f>
        <v>#REF!</v>
      </c>
      <c r="BY115" s="28" t="e">
        <f>#REF!*2</f>
        <v>#REF!</v>
      </c>
      <c r="BZ115" s="28" t="e">
        <f>#REF!</f>
        <v>#REF!</v>
      </c>
      <c r="CA115" s="28" t="e">
        <f>#REF!*2</f>
        <v>#REF!</v>
      </c>
      <c r="CB115" s="9">
        <f t="shared" si="63"/>
        <v>4</v>
      </c>
      <c r="CC115" s="9">
        <f t="shared" si="64"/>
        <v>3</v>
      </c>
      <c r="CD115" s="9">
        <f t="shared" si="65"/>
        <v>14</v>
      </c>
      <c r="CE115" s="9">
        <f t="shared" si="66"/>
        <v>11</v>
      </c>
      <c r="CF115" s="9">
        <f t="shared" si="67"/>
        <v>5</v>
      </c>
      <c r="CG115" s="33"/>
      <c r="CH115" s="9">
        <f t="shared" si="68"/>
        <v>4</v>
      </c>
      <c r="CI115" s="9">
        <f t="shared" si="69"/>
        <v>3</v>
      </c>
      <c r="CJ115" s="9">
        <f t="shared" si="70"/>
        <v>14</v>
      </c>
      <c r="CK115" s="9">
        <f t="shared" si="71"/>
        <v>11</v>
      </c>
      <c r="CL115" s="9">
        <f t="shared" si="72"/>
        <v>5</v>
      </c>
      <c r="CM115" s="32"/>
      <c r="CN115" s="3">
        <f t="shared" si="73"/>
        <v>2</v>
      </c>
      <c r="CO115" s="3">
        <f t="shared" si="74"/>
        <v>1</v>
      </c>
      <c r="CP115" s="3">
        <f t="shared" si="75"/>
        <v>2</v>
      </c>
      <c r="CQ115" s="3">
        <f t="shared" si="76"/>
        <v>1</v>
      </c>
      <c r="CR115" s="3">
        <f t="shared" si="77"/>
        <v>1</v>
      </c>
      <c r="CS115" s="31"/>
      <c r="CT115" s="3" cm="1">
        <f t="array" ref="CT115">SUMPRODUCT(--(MOD(CH115:CL115,2)=1))</f>
        <v>3</v>
      </c>
      <c r="CU115" s="3">
        <f t="shared" si="78"/>
        <v>2</v>
      </c>
      <c r="CV115" s="30"/>
      <c r="CW115" s="3" cm="1">
        <f t="array" ref="CW115">SUMPRODUCT(--(MOD(CH115:CL115,10)&gt;=1), --(MOD(CH115:CL115,10)&lt;=5))</f>
        <v>5</v>
      </c>
      <c r="CX115" s="3">
        <f t="shared" si="79"/>
        <v>0</v>
      </c>
      <c r="CY115" s="30"/>
      <c r="CZ115" s="3" cm="1">
        <f t="array" ref="CZ115">IFERROR(COUNT(_xlfn._xlws.FILTER(CH115:CL115, ISNUMBER(MATCH(CH115:CL115, {2,3,5,7,11,13,17,19,23,29,31,37,41,43}, 0)))), 0)</f>
        <v>3</v>
      </c>
      <c r="DA115" s="3" cm="1">
        <f t="array" ref="DA115">IFERROR(COUNT(_xlfn._xlws.FILTER(CH115:CL115, ISNUMBER(MATCH(CH115:CL115, {1,4,8,10,14,16,20,22,25,26,28,32,34,35,38,40,44}, 0)))), 0)</f>
        <v>2</v>
      </c>
      <c r="DB115" s="3" cm="1">
        <f t="array" ref="DB115">IFERROR(COUNT(_xlfn._xlws.FILTER(CH115:CL115, ISNUMBER(MATCH(CH115:CL115, {6,9,12,15,18,21,24,27,30,33,36,39,42,45}, 0)))), 0)</f>
        <v>0</v>
      </c>
      <c r="DC115" s="29"/>
      <c r="DD115" s="28" t="e">
        <f>#REF!</f>
        <v>#REF!</v>
      </c>
      <c r="DE115" s="28" t="e">
        <f>#REF!*2</f>
        <v>#REF!</v>
      </c>
      <c r="DF115" s="28" t="e">
        <f>#REF!</f>
        <v>#REF!</v>
      </c>
      <c r="DG115" s="28" t="e">
        <f>#REF!*2</f>
        <v>#REF!</v>
      </c>
      <c r="DH115" s="28" t="e">
        <f>#REF!</f>
        <v>#REF!</v>
      </c>
      <c r="DI115" s="28" t="e">
        <f>#REF!*2</f>
        <v>#REF!</v>
      </c>
      <c r="DJ115" s="28" t="e">
        <f>#REF!</f>
        <v>#REF!</v>
      </c>
      <c r="DK115" s="28" t="e">
        <f>#REF!*2</f>
        <v>#REF!</v>
      </c>
      <c r="DL115" s="28" t="e">
        <f>#REF!</f>
        <v>#REF!</v>
      </c>
      <c r="DM115" s="28" t="e">
        <f>#REF!*2</f>
        <v>#REF!</v>
      </c>
      <c r="DN115" s="27"/>
      <c r="DO115" s="26" t="str" cm="1">
        <f t="array" ref="DO115">_xlfn.IFS(
   OR(CH115="",ISBLANK(CH115),CH115=0),0,
   ISNUMBER(MATCH(CH115,{2,3,5,7,11,13,17,19,23,29,31,37,41,43},0)),"소",
   AND(ISNUMBER(CH115),MOD(CH115,3)=0),"배",
   AND(ISNUMBER(CH115),CH115&gt;0),"자"
)</f>
        <v>자</v>
      </c>
      <c r="DP115" s="26" t="str" cm="1">
        <f t="array" ref="DP115">_xlfn.IFS(
   OR(CI115="",ISBLANK(CI115),CI115=0),0,
   ISNUMBER(MATCH(CI115,{2,3,5,7,11,13,17,19,23,29,31,37,41,43},0)),"소",
   AND(ISNUMBER(CI115),MOD(CI115,3)=0),"배",
   AND(ISNUMBER(CI115),CI115&gt;0),"자"
)</f>
        <v>소</v>
      </c>
      <c r="DQ115" s="26" t="str" cm="1">
        <f t="array" ref="DQ115">_xlfn.IFS(
   OR(CJ115="",ISBLANK(CJ115),CJ115=0),0,
   ISNUMBER(MATCH(CJ115,{2,3,5,7,11,13,17,19,23,29,31,37,41,43},0)),"소",
   AND(ISNUMBER(CJ115),MOD(CJ115,3)=0),"배",
   AND(ISNUMBER(CJ115),CJ115&gt;0),"자"
)</f>
        <v>자</v>
      </c>
      <c r="DR115" s="26" t="str" cm="1">
        <f t="array" ref="DR115">_xlfn.IFS(
   OR(CK115="",ISBLANK(CK115),CK115=0),0,
   ISNUMBER(MATCH(CK115,{2,3,5,7,11,13,17,19,23,29,31,37,41,43},0)),"소",
   AND(ISNUMBER(CK115),MOD(CK115,3)=0),"배",
   AND(ISNUMBER(CK115),CK115&gt;0),"자"
)</f>
        <v>소</v>
      </c>
      <c r="DS115" s="26" t="str" cm="1">
        <f t="array" ref="DS115">_xlfn.IFS(
   OR(CL115="",ISBLANK(CL115),CL115=0),0,
   ISNUMBER(MATCH(CL115,{2,3,5,7,11,13,17,19,23,29,31,37,41,43},0)),"소",
   AND(ISNUMBER(CL115),MOD(CL115,3)=0),"배",
   AND(ISNUMBER(CL115),CL115&gt;0),"자"
)</f>
        <v>소</v>
      </c>
      <c r="DT115" s="25"/>
    </row>
    <row r="116" spans="2:124" ht="14.25" thickBot="1" x14ac:dyDescent="0.35">
      <c r="B116" s="3">
        <v>1</v>
      </c>
      <c r="C116" s="3">
        <v>5</v>
      </c>
      <c r="D116" s="3">
        <v>7</v>
      </c>
      <c r="E116" s="3">
        <v>26</v>
      </c>
      <c r="F116" s="3">
        <v>28</v>
      </c>
      <c r="G116" s="3">
        <v>43</v>
      </c>
      <c r="H116" s="32"/>
      <c r="I116" s="3">
        <f t="shared" si="40"/>
        <v>1</v>
      </c>
      <c r="J116" s="3">
        <f t="shared" si="41"/>
        <v>1</v>
      </c>
      <c r="K116" s="3">
        <f t="shared" si="42"/>
        <v>1</v>
      </c>
      <c r="L116" s="3">
        <f t="shared" si="43"/>
        <v>2</v>
      </c>
      <c r="M116" s="3">
        <f t="shared" si="44"/>
        <v>2</v>
      </c>
      <c r="N116" s="3">
        <f t="shared" si="45"/>
        <v>1</v>
      </c>
      <c r="O116" s="32"/>
      <c r="P116" s="3" cm="1">
        <f t="array" ref="P116">SUMPRODUCT(--(MOD(B116:G116,2)=1))</f>
        <v>4</v>
      </c>
      <c r="Q116" s="3">
        <f t="shared" si="46"/>
        <v>2</v>
      </c>
      <c r="R116" s="34"/>
      <c r="S116" s="3">
        <f t="shared" si="47"/>
        <v>3</v>
      </c>
      <c r="T116" s="3">
        <f t="shared" si="48"/>
        <v>3</v>
      </c>
      <c r="U116" s="34"/>
      <c r="V116" s="3" cm="1">
        <f t="array" ref="V116">SUMPRODUCT(--(MOD(B116:G116,10)&gt;=1), --(MOD(B116:G116,10)&lt;=5))</f>
        <v>3</v>
      </c>
      <c r="W116" s="3">
        <f t="shared" si="49"/>
        <v>3</v>
      </c>
      <c r="X116" s="34"/>
      <c r="Y116" s="3" cm="1">
        <f t="array" ref="Y116">IFERROR(COUNT(_xlfn._xlws.FILTER(B116:G116, ISNUMBER(MATCH(B116:G116, {2,3,5,7,11,13,17,19,23,29,31,37,41,43}, 0)))), 0)</f>
        <v>3</v>
      </c>
      <c r="Z116" s="3" cm="1">
        <f t="array" ref="Z116">IFERROR(COUNT(_xlfn._xlws.FILTER(B116:G116, ISNUMBER(MATCH(B116:G116, {1,4,8,10,14,16,20,22,25,26,28,32,34,35,38,40,44}, 0)))), 0)</f>
        <v>3</v>
      </c>
      <c r="AA116" s="3" cm="1">
        <f t="array" ref="AA116">IFERROR(COUNT(_xlfn._xlws.FILTER(B116:G116, ISNUMBER(MATCH(B116:G116, {6,9,12,15,18,21,24,27,30,33,36,39,42,45}, 0)))), 0)</f>
        <v>0</v>
      </c>
      <c r="AB116" s="30"/>
      <c r="AC116" s="26" t="str" cm="1">
        <f t="array" ref="AC116">_xlfn.IFS(
   OR(B116="",ISBLANK(B116),B116=0),0,
   ISNUMBER(MATCH(B116,{2,3,5,7,11,13,17,19,23,29,31,37,41,43},0)),"소",
   AND(ISNUMBER(B116),MOD(B116,3)=0),"배",
   AND(ISNUMBER(B116),B116&gt;0),"자"
)</f>
        <v>자</v>
      </c>
      <c r="AD116" s="26" t="str" cm="1">
        <f t="array" ref="AD116">_xlfn.IFS(
   OR(C116="",ISBLANK(C116),C116=0),0,
   ISNUMBER(MATCH(C116,{2,3,5,7,11,13,17,19,23,29,31,37,41,43},0)),"소",
   AND(ISNUMBER(C116),MOD(C116,3)=0),"배",
   AND(ISNUMBER(C116),C116&gt;0),"자"
)</f>
        <v>소</v>
      </c>
      <c r="AE116" s="26" t="str" cm="1">
        <f t="array" ref="AE116">_xlfn.IFS(
   OR(D116="",ISBLANK(D116),D116=0),0,
   ISNUMBER(MATCH(D116,{2,3,5,7,11,13,17,19,23,29,31,37,41,43},0)),"소",
   AND(ISNUMBER(D116),MOD(D116,3)=0),"배",
   AND(ISNUMBER(D116),D116&gt;0),"자"
)</f>
        <v>소</v>
      </c>
      <c r="AF116" s="26" t="str" cm="1">
        <f t="array" ref="AF116">_xlfn.IFS(
   OR(E116="",ISBLANK(E116),E116=0),0,
   ISNUMBER(MATCH(E116,{2,3,5,7,11,13,17,19,23,29,31,37,41,43},0)),"소",
   AND(ISNUMBER(E116),MOD(E116,3)=0),"배",
   AND(ISNUMBER(E116),E116&gt;0),"자"
)</f>
        <v>자</v>
      </c>
      <c r="AG116" s="26" t="str" cm="1">
        <f t="array" ref="AG116">_xlfn.IFS(
   OR(F116="",ISBLANK(F116),F116=0),0,
   ISNUMBER(MATCH(F116,{2,3,5,7,11,13,17,19,23,29,31,37,41,43},0)),"소",
   AND(ISNUMBER(F116),MOD(F116,3)=0),"배",
   AND(ISNUMBER(F116),F116&gt;0),"자"
)</f>
        <v>자</v>
      </c>
      <c r="AH116" s="26" t="str" cm="1">
        <f t="array" ref="AH116">_xlfn.IFS(
   OR(G116="",ISBLANK(G116),G116=0),0,
   ISNUMBER(MATCH(G116,{2,3,5,7,11,13,17,19,23,29,31,37,41,43},0)),"소",
   AND(ISNUMBER(G116),MOD(G116,3)=0),"배",
   AND(ISNUMBER(G116),G116&gt;0),"자"
)</f>
        <v>소</v>
      </c>
      <c r="AI116" s="30"/>
      <c r="AJ116" s="3">
        <f t="shared" si="50"/>
        <v>3</v>
      </c>
      <c r="AK116" s="3">
        <f t="shared" si="51"/>
        <v>2</v>
      </c>
      <c r="AL116" s="3">
        <f t="shared" si="52"/>
        <v>1</v>
      </c>
      <c r="AM116" s="33"/>
      <c r="AN116" s="3">
        <f t="shared" si="53"/>
        <v>3</v>
      </c>
      <c r="AO116" s="3">
        <f t="shared" si="54"/>
        <v>0</v>
      </c>
      <c r="AP116" s="3">
        <f t="shared" si="55"/>
        <v>1</v>
      </c>
      <c r="AQ116" s="3">
        <f t="shared" si="56"/>
        <v>1</v>
      </c>
      <c r="AR116" s="3">
        <f t="shared" si="57"/>
        <v>1</v>
      </c>
      <c r="AS116" s="28" t="e">
        <f>#REF!</f>
        <v>#REF!</v>
      </c>
      <c r="AT116" s="28" t="e">
        <f>#REF!*2</f>
        <v>#REF!</v>
      </c>
      <c r="AU116" s="28" t="e">
        <f>#REF!</f>
        <v>#REF!</v>
      </c>
      <c r="AV116" s="28" t="e">
        <f>#REF!*2</f>
        <v>#REF!</v>
      </c>
      <c r="AW116" s="28" t="e">
        <f>#REF!</f>
        <v>#REF!</v>
      </c>
      <c r="AX116" s="28" t="e">
        <f>#REF!*2</f>
        <v>#REF!</v>
      </c>
      <c r="AY116" s="28" t="e">
        <f>#REF!</f>
        <v>#REF!</v>
      </c>
      <c r="AZ116" s="28" t="e">
        <f>#REF!*2</f>
        <v>#REF!</v>
      </c>
      <c r="BA116" s="28" t="e">
        <f>#REF!</f>
        <v>#REF!</v>
      </c>
      <c r="BB116" s="28" t="e">
        <f>#REF!*2</f>
        <v>#REF!</v>
      </c>
      <c r="BC116" s="28" t="e">
        <f>#REF!</f>
        <v>#REF!</v>
      </c>
      <c r="BD116" s="28" t="e">
        <f>#REF!*2</f>
        <v>#REF!</v>
      </c>
      <c r="BE116" s="9" t="e">
        <f>#REF!-#REF!</f>
        <v>#REF!</v>
      </c>
      <c r="BF116" s="9" t="e">
        <f>#REF!-#REF!</f>
        <v>#REF!</v>
      </c>
      <c r="BG116" s="9" t="e">
        <f>#REF!-#REF!</f>
        <v>#REF!</v>
      </c>
      <c r="BH116" s="9" t="e">
        <f>#REF!-#REF!</f>
        <v>#REF!</v>
      </c>
      <c r="BI116" s="9" t="e">
        <f>#REF!-#REF!</f>
        <v>#REF!</v>
      </c>
      <c r="BJ116" s="33"/>
      <c r="BK116" s="3">
        <f t="shared" si="58"/>
        <v>3</v>
      </c>
      <c r="BL116" s="3">
        <f t="shared" si="59"/>
        <v>0</v>
      </c>
      <c r="BM116" s="3">
        <f t="shared" si="60"/>
        <v>2</v>
      </c>
      <c r="BN116" s="3">
        <f t="shared" si="61"/>
        <v>0</v>
      </c>
      <c r="BO116" s="3">
        <f t="shared" si="62"/>
        <v>1</v>
      </c>
      <c r="BP116" s="28" t="e">
        <f>#REF!</f>
        <v>#REF!</v>
      </c>
      <c r="BQ116" s="28" t="e">
        <f>#REF!*2</f>
        <v>#REF!</v>
      </c>
      <c r="BR116" s="28" t="e">
        <f>#REF!</f>
        <v>#REF!</v>
      </c>
      <c r="BS116" s="28" t="e">
        <f>#REF!*2</f>
        <v>#REF!</v>
      </c>
      <c r="BT116" s="28" t="e">
        <f>#REF!</f>
        <v>#REF!</v>
      </c>
      <c r="BU116" s="28" t="e">
        <f>#REF!*2</f>
        <v>#REF!</v>
      </c>
      <c r="BV116" s="28" t="e">
        <f>#REF!</f>
        <v>#REF!</v>
      </c>
      <c r="BW116" s="28" t="e">
        <f>#REF!*2</f>
        <v>#REF!</v>
      </c>
      <c r="BX116" s="28" t="e">
        <f>#REF!</f>
        <v>#REF!</v>
      </c>
      <c r="BY116" s="28" t="e">
        <f>#REF!*2</f>
        <v>#REF!</v>
      </c>
      <c r="BZ116" s="28" t="e">
        <f>#REF!</f>
        <v>#REF!</v>
      </c>
      <c r="CA116" s="28" t="e">
        <f>#REF!*2</f>
        <v>#REF!</v>
      </c>
      <c r="CB116" s="9">
        <f t="shared" si="63"/>
        <v>4</v>
      </c>
      <c r="CC116" s="9">
        <f t="shared" si="64"/>
        <v>2</v>
      </c>
      <c r="CD116" s="9">
        <f t="shared" si="65"/>
        <v>19</v>
      </c>
      <c r="CE116" s="9">
        <f t="shared" si="66"/>
        <v>2</v>
      </c>
      <c r="CF116" s="9">
        <f t="shared" si="67"/>
        <v>15</v>
      </c>
      <c r="CG116" s="33"/>
      <c r="CH116" s="9">
        <f t="shared" si="68"/>
        <v>4</v>
      </c>
      <c r="CI116" s="12">
        <f t="shared" si="69"/>
        <v>2</v>
      </c>
      <c r="CJ116" s="9">
        <f t="shared" si="70"/>
        <v>19</v>
      </c>
      <c r="CK116" s="12">
        <f t="shared" si="71"/>
        <v>2</v>
      </c>
      <c r="CL116" s="9">
        <f t="shared" si="72"/>
        <v>15</v>
      </c>
      <c r="CM116" s="32"/>
      <c r="CN116" s="3">
        <f t="shared" si="73"/>
        <v>2</v>
      </c>
      <c r="CO116" s="3">
        <f t="shared" si="74"/>
        <v>2</v>
      </c>
      <c r="CP116" s="3">
        <f t="shared" si="75"/>
        <v>1</v>
      </c>
      <c r="CQ116" s="3">
        <f t="shared" si="76"/>
        <v>2</v>
      </c>
      <c r="CR116" s="3">
        <f t="shared" si="77"/>
        <v>1</v>
      </c>
      <c r="CS116" s="31"/>
      <c r="CT116" s="3" cm="1">
        <f t="array" ref="CT116">SUMPRODUCT(--(MOD(CH116:CL116,2)=1))</f>
        <v>2</v>
      </c>
      <c r="CU116" s="3">
        <f t="shared" si="78"/>
        <v>3</v>
      </c>
      <c r="CV116" s="30"/>
      <c r="CW116" s="3" cm="1">
        <f t="array" ref="CW116">SUMPRODUCT(--(MOD(CH116:CL116,10)&gt;=1), --(MOD(CH116:CL116,10)&lt;=5))</f>
        <v>4</v>
      </c>
      <c r="CX116" s="3">
        <f t="shared" si="79"/>
        <v>1</v>
      </c>
      <c r="CY116" s="30"/>
      <c r="CZ116" s="3" cm="1">
        <f t="array" ref="CZ116">IFERROR(COUNT(_xlfn._xlws.FILTER(CH116:CL116, ISNUMBER(MATCH(CH116:CL116, {2,3,5,7,11,13,17,19,23,29,31,37,41,43}, 0)))), 0)</f>
        <v>3</v>
      </c>
      <c r="DA116" s="3" cm="1">
        <f t="array" ref="DA116">IFERROR(COUNT(_xlfn._xlws.FILTER(CH116:CL116, ISNUMBER(MATCH(CH116:CL116, {1,4,8,10,14,16,20,22,25,26,28,32,34,35,38,40,44}, 0)))), 0)</f>
        <v>1</v>
      </c>
      <c r="DB116" s="3" cm="1">
        <f t="array" ref="DB116">IFERROR(COUNT(_xlfn._xlws.FILTER(CH116:CL116, ISNUMBER(MATCH(CH116:CL116, {6,9,12,15,18,21,24,27,30,33,36,39,42,45}, 0)))), 0)</f>
        <v>1</v>
      </c>
      <c r="DC116" s="29"/>
      <c r="DD116" s="28" t="e">
        <f>#REF!</f>
        <v>#REF!</v>
      </c>
      <c r="DE116" s="28" t="e">
        <f>#REF!*2</f>
        <v>#REF!</v>
      </c>
      <c r="DF116" s="28" t="e">
        <f>#REF!</f>
        <v>#REF!</v>
      </c>
      <c r="DG116" s="28" t="e">
        <f>#REF!*2</f>
        <v>#REF!</v>
      </c>
      <c r="DH116" s="28" t="e">
        <f>#REF!</f>
        <v>#REF!</v>
      </c>
      <c r="DI116" s="28" t="e">
        <f>#REF!*2</f>
        <v>#REF!</v>
      </c>
      <c r="DJ116" s="28" t="e">
        <f>#REF!</f>
        <v>#REF!</v>
      </c>
      <c r="DK116" s="28" t="e">
        <f>#REF!*2</f>
        <v>#REF!</v>
      </c>
      <c r="DL116" s="28" t="e">
        <f>#REF!</f>
        <v>#REF!</v>
      </c>
      <c r="DM116" s="28" t="e">
        <f>#REF!*2</f>
        <v>#REF!</v>
      </c>
      <c r="DN116" s="27"/>
      <c r="DO116" s="26" t="str" cm="1">
        <f t="array" ref="DO116">_xlfn.IFS(
   OR(CH116="",ISBLANK(CH116),CH116=0),0,
   ISNUMBER(MATCH(CH116,{2,3,5,7,11,13,17,19,23,29,31,37,41,43},0)),"소",
   AND(ISNUMBER(CH116),MOD(CH116,3)=0),"배",
   AND(ISNUMBER(CH116),CH116&gt;0),"자"
)</f>
        <v>자</v>
      </c>
      <c r="DP116" s="26" t="str" cm="1">
        <f t="array" ref="DP116">_xlfn.IFS(
   OR(CI116="",ISBLANK(CI116),CI116=0),0,
   ISNUMBER(MATCH(CI116,{2,3,5,7,11,13,17,19,23,29,31,37,41,43},0)),"소",
   AND(ISNUMBER(CI116),MOD(CI116,3)=0),"배",
   AND(ISNUMBER(CI116),CI116&gt;0),"자"
)</f>
        <v>소</v>
      </c>
      <c r="DQ116" s="26" t="str" cm="1">
        <f t="array" ref="DQ116">_xlfn.IFS(
   OR(CJ116="",ISBLANK(CJ116),CJ116=0),0,
   ISNUMBER(MATCH(CJ116,{2,3,5,7,11,13,17,19,23,29,31,37,41,43},0)),"소",
   AND(ISNUMBER(CJ116),MOD(CJ116,3)=0),"배",
   AND(ISNUMBER(CJ116),CJ116&gt;0),"자"
)</f>
        <v>소</v>
      </c>
      <c r="DR116" s="26" t="str" cm="1">
        <f t="array" ref="DR116">_xlfn.IFS(
   OR(CK116="",ISBLANK(CK116),CK116=0),0,
   ISNUMBER(MATCH(CK116,{2,3,5,7,11,13,17,19,23,29,31,37,41,43},0)),"소",
   AND(ISNUMBER(CK116),MOD(CK116,3)=0),"배",
   AND(ISNUMBER(CK116),CK116&gt;0),"자"
)</f>
        <v>소</v>
      </c>
      <c r="DS116" s="26" t="str" cm="1">
        <f t="array" ref="DS116">_xlfn.IFS(
   OR(CL116="",ISBLANK(CL116),CL116=0),0,
   ISNUMBER(MATCH(CL116,{2,3,5,7,11,13,17,19,23,29,31,37,41,43},0)),"소",
   AND(ISNUMBER(CL116),MOD(CL116,3)=0),"배",
   AND(ISNUMBER(CL116),CL116&gt;0),"자"
)</f>
        <v>배</v>
      </c>
      <c r="DT116" s="25"/>
    </row>
    <row r="117" spans="2:124" x14ac:dyDescent="0.3">
      <c r="B117" s="3">
        <v>26</v>
      </c>
      <c r="C117" s="3">
        <v>30</v>
      </c>
      <c r="D117" s="3">
        <v>33</v>
      </c>
      <c r="E117" s="3">
        <v>38</v>
      </c>
      <c r="F117" s="3">
        <v>39</v>
      </c>
      <c r="G117" s="3">
        <v>41</v>
      </c>
      <c r="H117" s="32"/>
      <c r="I117" s="3">
        <f t="shared" si="40"/>
        <v>2</v>
      </c>
      <c r="J117" s="3">
        <f t="shared" si="41"/>
        <v>2</v>
      </c>
      <c r="K117" s="3">
        <f t="shared" si="42"/>
        <v>1</v>
      </c>
      <c r="L117" s="3">
        <f t="shared" si="43"/>
        <v>2</v>
      </c>
      <c r="M117" s="3">
        <f t="shared" si="44"/>
        <v>1</v>
      </c>
      <c r="N117" s="3">
        <f t="shared" si="45"/>
        <v>1</v>
      </c>
      <c r="O117" s="32"/>
      <c r="P117" s="3" cm="1">
        <f t="array" ref="P117">SUMPRODUCT(--(MOD(B117:G117,2)=1))</f>
        <v>3</v>
      </c>
      <c r="Q117" s="3">
        <f t="shared" si="46"/>
        <v>3</v>
      </c>
      <c r="R117" s="34"/>
      <c r="S117" s="3">
        <f t="shared" si="47"/>
        <v>0</v>
      </c>
      <c r="T117" s="3">
        <f t="shared" si="48"/>
        <v>6</v>
      </c>
      <c r="U117" s="34"/>
      <c r="V117" s="3" cm="1">
        <f t="array" ref="V117">SUMPRODUCT(--(MOD(B117:G117,10)&gt;=1), --(MOD(B117:G117,10)&lt;=5))</f>
        <v>2</v>
      </c>
      <c r="W117" s="3">
        <f t="shared" si="49"/>
        <v>4</v>
      </c>
      <c r="X117" s="34"/>
      <c r="Y117" s="3" cm="1">
        <f t="array" ref="Y117">IFERROR(COUNT(_xlfn._xlws.FILTER(B117:G117, ISNUMBER(MATCH(B117:G117, {2,3,5,7,11,13,17,19,23,29,31,37,41,43}, 0)))), 0)</f>
        <v>1</v>
      </c>
      <c r="Z117" s="3" cm="1">
        <f t="array" ref="Z117">IFERROR(COUNT(_xlfn._xlws.FILTER(B117:G117, ISNUMBER(MATCH(B117:G117, {1,4,8,10,14,16,20,22,25,26,28,32,34,35,38,40,44}, 0)))), 0)</f>
        <v>2</v>
      </c>
      <c r="AA117" s="3" cm="1">
        <f t="array" ref="AA117">IFERROR(COUNT(_xlfn._xlws.FILTER(B117:G117, ISNUMBER(MATCH(B117:G117, {6,9,12,15,18,21,24,27,30,33,36,39,42,45}, 0)))), 0)</f>
        <v>3</v>
      </c>
      <c r="AB117" s="30"/>
      <c r="AC117" s="26" t="str" cm="1">
        <f t="array" ref="AC117">_xlfn.IFS(
   OR(B117="",ISBLANK(B117),B117=0),0,
   ISNUMBER(MATCH(B117,{2,3,5,7,11,13,17,19,23,29,31,37,41,43},0)),"소",
   AND(ISNUMBER(B117),MOD(B117,3)=0),"배",
   AND(ISNUMBER(B117),B117&gt;0),"자"
)</f>
        <v>자</v>
      </c>
      <c r="AD117" s="26" t="str" cm="1">
        <f t="array" ref="AD117">_xlfn.IFS(
   OR(C117="",ISBLANK(C117),C117=0),0,
   ISNUMBER(MATCH(C117,{2,3,5,7,11,13,17,19,23,29,31,37,41,43},0)),"소",
   AND(ISNUMBER(C117),MOD(C117,3)=0),"배",
   AND(ISNUMBER(C117),C117&gt;0),"자"
)</f>
        <v>배</v>
      </c>
      <c r="AE117" s="26" t="str" cm="1">
        <f t="array" ref="AE117">_xlfn.IFS(
   OR(D117="",ISBLANK(D117),D117=0),0,
   ISNUMBER(MATCH(D117,{2,3,5,7,11,13,17,19,23,29,31,37,41,43},0)),"소",
   AND(ISNUMBER(D117),MOD(D117,3)=0),"배",
   AND(ISNUMBER(D117),D117&gt;0),"자"
)</f>
        <v>배</v>
      </c>
      <c r="AF117" s="26" t="str" cm="1">
        <f t="array" ref="AF117">_xlfn.IFS(
   OR(E117="",ISBLANK(E117),E117=0),0,
   ISNUMBER(MATCH(E117,{2,3,5,7,11,13,17,19,23,29,31,37,41,43},0)),"소",
   AND(ISNUMBER(E117),MOD(E117,3)=0),"배",
   AND(ISNUMBER(E117),E117&gt;0),"자"
)</f>
        <v>자</v>
      </c>
      <c r="AG117" s="26" t="str" cm="1">
        <f t="array" ref="AG117">_xlfn.IFS(
   OR(F117="",ISBLANK(F117),F117=0),0,
   ISNUMBER(MATCH(F117,{2,3,5,7,11,13,17,19,23,29,31,37,41,43},0)),"소",
   AND(ISNUMBER(F117),MOD(F117,3)=0),"배",
   AND(ISNUMBER(F117),F117&gt;0),"자"
)</f>
        <v>배</v>
      </c>
      <c r="AH117" s="26" t="str" cm="1">
        <f t="array" ref="AH117">_xlfn.IFS(
   OR(G117="",ISBLANK(G117),G117=0),0,
   ISNUMBER(MATCH(G117,{2,3,5,7,11,13,17,19,23,29,31,37,41,43},0)),"소",
   AND(ISNUMBER(G117),MOD(G117,3)=0),"배",
   AND(ISNUMBER(G117),G117&gt;0),"자"
)</f>
        <v>소</v>
      </c>
      <c r="AI117" s="30"/>
      <c r="AJ117" s="3">
        <f t="shared" si="50"/>
        <v>0</v>
      </c>
      <c r="AK117" s="3">
        <f t="shared" si="51"/>
        <v>2</v>
      </c>
      <c r="AL117" s="3">
        <f t="shared" si="52"/>
        <v>4</v>
      </c>
      <c r="AM117" s="33"/>
      <c r="AN117" s="3">
        <f t="shared" si="53"/>
        <v>0</v>
      </c>
      <c r="AO117" s="3">
        <f t="shared" si="54"/>
        <v>0</v>
      </c>
      <c r="AP117" s="3">
        <f t="shared" si="55"/>
        <v>1</v>
      </c>
      <c r="AQ117" s="3">
        <f t="shared" si="56"/>
        <v>2</v>
      </c>
      <c r="AR117" s="3">
        <f t="shared" si="57"/>
        <v>3</v>
      </c>
      <c r="AS117" s="28" t="e">
        <f>#REF!</f>
        <v>#REF!</v>
      </c>
      <c r="AT117" s="28" t="e">
        <f>#REF!*2</f>
        <v>#REF!</v>
      </c>
      <c r="AU117" s="28" t="e">
        <f>#REF!</f>
        <v>#REF!</v>
      </c>
      <c r="AV117" s="28" t="e">
        <f>#REF!*2</f>
        <v>#REF!</v>
      </c>
      <c r="AW117" s="28" t="e">
        <f>#REF!</f>
        <v>#REF!</v>
      </c>
      <c r="AX117" s="28" t="e">
        <f>#REF!*2</f>
        <v>#REF!</v>
      </c>
      <c r="AY117" s="28" t="e">
        <f>#REF!</f>
        <v>#REF!</v>
      </c>
      <c r="AZ117" s="28" t="e">
        <f>#REF!*2</f>
        <v>#REF!</v>
      </c>
      <c r="BA117" s="28" t="e">
        <f>#REF!</f>
        <v>#REF!</v>
      </c>
      <c r="BB117" s="28" t="e">
        <f>#REF!*2</f>
        <v>#REF!</v>
      </c>
      <c r="BC117" s="28" t="e">
        <f>#REF!</f>
        <v>#REF!</v>
      </c>
      <c r="BD117" s="28" t="e">
        <f>#REF!*2</f>
        <v>#REF!</v>
      </c>
      <c r="BE117" s="9" t="e">
        <f>#REF!-#REF!</f>
        <v>#REF!</v>
      </c>
      <c r="BF117" s="9" t="e">
        <f>#REF!-#REF!</f>
        <v>#REF!</v>
      </c>
      <c r="BG117" s="9" t="e">
        <f>#REF!-#REF!</f>
        <v>#REF!</v>
      </c>
      <c r="BH117" s="9" t="e">
        <f>#REF!-#REF!</f>
        <v>#REF!</v>
      </c>
      <c r="BI117" s="9" t="e">
        <f>#REF!-#REF!</f>
        <v>#REF!</v>
      </c>
      <c r="BJ117" s="33"/>
      <c r="BK117" s="3">
        <f t="shared" si="58"/>
        <v>0</v>
      </c>
      <c r="BL117" s="3">
        <f t="shared" si="59"/>
        <v>0</v>
      </c>
      <c r="BM117" s="3">
        <f t="shared" si="60"/>
        <v>1</v>
      </c>
      <c r="BN117" s="3">
        <f t="shared" si="61"/>
        <v>4</v>
      </c>
      <c r="BO117" s="3">
        <f t="shared" si="62"/>
        <v>1</v>
      </c>
      <c r="BP117" s="28" t="e">
        <f>#REF!</f>
        <v>#REF!</v>
      </c>
      <c r="BQ117" s="28" t="e">
        <f>#REF!*2</f>
        <v>#REF!</v>
      </c>
      <c r="BR117" s="28" t="e">
        <f>#REF!</f>
        <v>#REF!</v>
      </c>
      <c r="BS117" s="28" t="e">
        <f>#REF!*2</f>
        <v>#REF!</v>
      </c>
      <c r="BT117" s="28" t="e">
        <f>#REF!</f>
        <v>#REF!</v>
      </c>
      <c r="BU117" s="28" t="e">
        <f>#REF!*2</f>
        <v>#REF!</v>
      </c>
      <c r="BV117" s="28" t="e">
        <f>#REF!</f>
        <v>#REF!</v>
      </c>
      <c r="BW117" s="28" t="e">
        <f>#REF!*2</f>
        <v>#REF!</v>
      </c>
      <c r="BX117" s="28" t="e">
        <f>#REF!</f>
        <v>#REF!</v>
      </c>
      <c r="BY117" s="28" t="e">
        <f>#REF!*2</f>
        <v>#REF!</v>
      </c>
      <c r="BZ117" s="28" t="e">
        <f>#REF!</f>
        <v>#REF!</v>
      </c>
      <c r="CA117" s="28" t="e">
        <f>#REF!*2</f>
        <v>#REF!</v>
      </c>
      <c r="CB117" s="9">
        <f t="shared" si="63"/>
        <v>4</v>
      </c>
      <c r="CC117" s="9">
        <f t="shared" si="64"/>
        <v>3</v>
      </c>
      <c r="CD117" s="9">
        <f t="shared" si="65"/>
        <v>5</v>
      </c>
      <c r="CE117" s="9">
        <f t="shared" si="66"/>
        <v>1</v>
      </c>
      <c r="CF117" s="9">
        <f t="shared" si="67"/>
        <v>2</v>
      </c>
      <c r="CG117" s="33"/>
      <c r="CH117" s="9">
        <f t="shared" si="68"/>
        <v>4</v>
      </c>
      <c r="CI117" s="9">
        <f t="shared" si="69"/>
        <v>3</v>
      </c>
      <c r="CJ117" s="9">
        <f t="shared" si="70"/>
        <v>5</v>
      </c>
      <c r="CK117" s="9">
        <f t="shared" si="71"/>
        <v>1</v>
      </c>
      <c r="CL117" s="9">
        <f t="shared" si="72"/>
        <v>2</v>
      </c>
      <c r="CM117" s="32"/>
      <c r="CN117" s="3">
        <f t="shared" si="73"/>
        <v>2</v>
      </c>
      <c r="CO117" s="3">
        <f t="shared" si="74"/>
        <v>1</v>
      </c>
      <c r="CP117" s="3">
        <f t="shared" si="75"/>
        <v>1</v>
      </c>
      <c r="CQ117" s="3">
        <f t="shared" si="76"/>
        <v>1</v>
      </c>
      <c r="CR117" s="3">
        <f t="shared" si="77"/>
        <v>2</v>
      </c>
      <c r="CS117" s="31"/>
      <c r="CT117" s="3" cm="1">
        <f t="array" ref="CT117">SUMPRODUCT(--(MOD(CH117:CL117,2)=1))</f>
        <v>3</v>
      </c>
      <c r="CU117" s="3">
        <f t="shared" si="78"/>
        <v>2</v>
      </c>
      <c r="CV117" s="30"/>
      <c r="CW117" s="3" cm="1">
        <f t="array" ref="CW117">SUMPRODUCT(--(MOD(CH117:CL117,10)&gt;=1), --(MOD(CH117:CL117,10)&lt;=5))</f>
        <v>5</v>
      </c>
      <c r="CX117" s="3">
        <f t="shared" si="79"/>
        <v>0</v>
      </c>
      <c r="CY117" s="30"/>
      <c r="CZ117" s="3" cm="1">
        <f t="array" ref="CZ117">IFERROR(COUNT(_xlfn._xlws.FILTER(CH117:CL117, ISNUMBER(MATCH(CH117:CL117, {2,3,5,7,11,13,17,19,23,29,31,37,41,43}, 0)))), 0)</f>
        <v>3</v>
      </c>
      <c r="DA117" s="3" cm="1">
        <f t="array" ref="DA117">IFERROR(COUNT(_xlfn._xlws.FILTER(CH117:CL117, ISNUMBER(MATCH(CH117:CL117, {1,4,8,10,14,16,20,22,25,26,28,32,34,35,38,40,44}, 0)))), 0)</f>
        <v>2</v>
      </c>
      <c r="DB117" s="3" cm="1">
        <f t="array" ref="DB117">IFERROR(COUNT(_xlfn._xlws.FILTER(CH117:CL117, ISNUMBER(MATCH(CH117:CL117, {6,9,12,15,18,21,24,27,30,33,36,39,42,45}, 0)))), 0)</f>
        <v>0</v>
      </c>
      <c r="DC117" s="29"/>
      <c r="DD117" s="28" t="e">
        <f>#REF!</f>
        <v>#REF!</v>
      </c>
      <c r="DE117" s="28" t="e">
        <f>#REF!*2</f>
        <v>#REF!</v>
      </c>
      <c r="DF117" s="28" t="e">
        <f>#REF!</f>
        <v>#REF!</v>
      </c>
      <c r="DG117" s="28" t="e">
        <f>#REF!*2</f>
        <v>#REF!</v>
      </c>
      <c r="DH117" s="28" t="e">
        <f>#REF!</f>
        <v>#REF!</v>
      </c>
      <c r="DI117" s="28" t="e">
        <f>#REF!*2</f>
        <v>#REF!</v>
      </c>
      <c r="DJ117" s="28" t="e">
        <f>#REF!</f>
        <v>#REF!</v>
      </c>
      <c r="DK117" s="28" t="e">
        <f>#REF!*2</f>
        <v>#REF!</v>
      </c>
      <c r="DL117" s="28" t="e">
        <f>#REF!</f>
        <v>#REF!</v>
      </c>
      <c r="DM117" s="28" t="e">
        <f>#REF!*2</f>
        <v>#REF!</v>
      </c>
      <c r="DN117" s="27"/>
      <c r="DO117" s="26" t="str" cm="1">
        <f t="array" ref="DO117">_xlfn.IFS(
   OR(CH117="",ISBLANK(CH117),CH117=0),0,
   ISNUMBER(MATCH(CH117,{2,3,5,7,11,13,17,19,23,29,31,37,41,43},0)),"소",
   AND(ISNUMBER(CH117),MOD(CH117,3)=0),"배",
   AND(ISNUMBER(CH117),CH117&gt;0),"자"
)</f>
        <v>자</v>
      </c>
      <c r="DP117" s="26" t="str" cm="1">
        <f t="array" ref="DP117">_xlfn.IFS(
   OR(CI117="",ISBLANK(CI117),CI117=0),0,
   ISNUMBER(MATCH(CI117,{2,3,5,7,11,13,17,19,23,29,31,37,41,43},0)),"소",
   AND(ISNUMBER(CI117),MOD(CI117,3)=0),"배",
   AND(ISNUMBER(CI117),CI117&gt;0),"자"
)</f>
        <v>소</v>
      </c>
      <c r="DQ117" s="26" t="str" cm="1">
        <f t="array" ref="DQ117">_xlfn.IFS(
   OR(CJ117="",ISBLANK(CJ117),CJ117=0),0,
   ISNUMBER(MATCH(CJ117,{2,3,5,7,11,13,17,19,23,29,31,37,41,43},0)),"소",
   AND(ISNUMBER(CJ117),MOD(CJ117,3)=0),"배",
   AND(ISNUMBER(CJ117),CJ117&gt;0),"자"
)</f>
        <v>소</v>
      </c>
      <c r="DR117" s="26" t="str" cm="1">
        <f t="array" ref="DR117">_xlfn.IFS(
   OR(CK117="",ISBLANK(CK117),CK117=0),0,
   ISNUMBER(MATCH(CK117,{2,3,5,7,11,13,17,19,23,29,31,37,41,43},0)),"소",
   AND(ISNUMBER(CK117),MOD(CK117,3)=0),"배",
   AND(ISNUMBER(CK117),CK117&gt;0),"자"
)</f>
        <v>자</v>
      </c>
      <c r="DS117" s="26" t="str" cm="1">
        <f t="array" ref="DS117">_xlfn.IFS(
   OR(CL117="",ISBLANK(CL117),CL117=0),0,
   ISNUMBER(MATCH(CL117,{2,3,5,7,11,13,17,19,23,29,31,37,41,43},0)),"소",
   AND(ISNUMBER(CL117),MOD(CL117,3)=0),"배",
   AND(ISNUMBER(CL117),CL117&gt;0),"자"
)</f>
        <v>소</v>
      </c>
      <c r="DT117" s="25"/>
    </row>
    <row r="118" spans="2:124" x14ac:dyDescent="0.3">
      <c r="B118" s="3">
        <v>16</v>
      </c>
      <c r="C118" s="3">
        <v>24</v>
      </c>
      <c r="D118" s="3">
        <v>25</v>
      </c>
      <c r="E118" s="3">
        <v>30</v>
      </c>
      <c r="F118" s="3">
        <v>31</v>
      </c>
      <c r="G118" s="3">
        <v>32</v>
      </c>
      <c r="H118" s="32"/>
      <c r="I118" s="3">
        <f t="shared" si="40"/>
        <v>2</v>
      </c>
      <c r="J118" s="3">
        <f t="shared" si="41"/>
        <v>2</v>
      </c>
      <c r="K118" s="3">
        <f t="shared" si="42"/>
        <v>1</v>
      </c>
      <c r="L118" s="3">
        <f t="shared" si="43"/>
        <v>2</v>
      </c>
      <c r="M118" s="3">
        <f t="shared" si="44"/>
        <v>1</v>
      </c>
      <c r="N118" s="3">
        <f t="shared" si="45"/>
        <v>2</v>
      </c>
      <c r="O118" s="32"/>
      <c r="P118" s="3" cm="1">
        <f t="array" ref="P118">SUMPRODUCT(--(MOD(B118:G118,2)=1))</f>
        <v>2</v>
      </c>
      <c r="Q118" s="3">
        <f t="shared" si="46"/>
        <v>4</v>
      </c>
      <c r="R118" s="34"/>
      <c r="S118" s="3">
        <f t="shared" si="47"/>
        <v>1</v>
      </c>
      <c r="T118" s="3">
        <f t="shared" si="48"/>
        <v>5</v>
      </c>
      <c r="U118" s="34"/>
      <c r="V118" s="3" cm="1">
        <f t="array" ref="V118">SUMPRODUCT(--(MOD(B118:G118,10)&gt;=1), --(MOD(B118:G118,10)&lt;=5))</f>
        <v>4</v>
      </c>
      <c r="W118" s="3">
        <f t="shared" si="49"/>
        <v>2</v>
      </c>
      <c r="X118" s="34"/>
      <c r="Y118" s="3" cm="1">
        <f t="array" ref="Y118">IFERROR(COUNT(_xlfn._xlws.FILTER(B118:G118, ISNUMBER(MATCH(B118:G118, {2,3,5,7,11,13,17,19,23,29,31,37,41,43}, 0)))), 0)</f>
        <v>1</v>
      </c>
      <c r="Z118" s="3" cm="1">
        <f t="array" ref="Z118">IFERROR(COUNT(_xlfn._xlws.FILTER(B118:G118, ISNUMBER(MATCH(B118:G118, {1,4,8,10,14,16,20,22,25,26,28,32,34,35,38,40,44}, 0)))), 0)</f>
        <v>3</v>
      </c>
      <c r="AA118" s="3" cm="1">
        <f t="array" ref="AA118">IFERROR(COUNT(_xlfn._xlws.FILTER(B118:G118, ISNUMBER(MATCH(B118:G118, {6,9,12,15,18,21,24,27,30,33,36,39,42,45}, 0)))), 0)</f>
        <v>2</v>
      </c>
      <c r="AB118" s="30"/>
      <c r="AC118" s="26" t="str" cm="1">
        <f t="array" ref="AC118">_xlfn.IFS(
   OR(B118="",ISBLANK(B118),B118=0),0,
   ISNUMBER(MATCH(B118,{2,3,5,7,11,13,17,19,23,29,31,37,41,43},0)),"소",
   AND(ISNUMBER(B118),MOD(B118,3)=0),"배",
   AND(ISNUMBER(B118),B118&gt;0),"자"
)</f>
        <v>자</v>
      </c>
      <c r="AD118" s="26" t="str" cm="1">
        <f t="array" ref="AD118">_xlfn.IFS(
   OR(C118="",ISBLANK(C118),C118=0),0,
   ISNUMBER(MATCH(C118,{2,3,5,7,11,13,17,19,23,29,31,37,41,43},0)),"소",
   AND(ISNUMBER(C118),MOD(C118,3)=0),"배",
   AND(ISNUMBER(C118),C118&gt;0),"자"
)</f>
        <v>배</v>
      </c>
      <c r="AE118" s="26" t="str" cm="1">
        <f t="array" ref="AE118">_xlfn.IFS(
   OR(D118="",ISBLANK(D118),D118=0),0,
   ISNUMBER(MATCH(D118,{2,3,5,7,11,13,17,19,23,29,31,37,41,43},0)),"소",
   AND(ISNUMBER(D118),MOD(D118,3)=0),"배",
   AND(ISNUMBER(D118),D118&gt;0),"자"
)</f>
        <v>자</v>
      </c>
      <c r="AF118" s="26" t="str" cm="1">
        <f t="array" ref="AF118">_xlfn.IFS(
   OR(E118="",ISBLANK(E118),E118=0),0,
   ISNUMBER(MATCH(E118,{2,3,5,7,11,13,17,19,23,29,31,37,41,43},0)),"소",
   AND(ISNUMBER(E118),MOD(E118,3)=0),"배",
   AND(ISNUMBER(E118),E118&gt;0),"자"
)</f>
        <v>배</v>
      </c>
      <c r="AG118" s="26" t="str" cm="1">
        <f t="array" ref="AG118">_xlfn.IFS(
   OR(F118="",ISBLANK(F118),F118=0),0,
   ISNUMBER(MATCH(F118,{2,3,5,7,11,13,17,19,23,29,31,37,41,43},0)),"소",
   AND(ISNUMBER(F118),MOD(F118,3)=0),"배",
   AND(ISNUMBER(F118),F118&gt;0),"자"
)</f>
        <v>소</v>
      </c>
      <c r="AH118" s="26" t="str" cm="1">
        <f t="array" ref="AH118">_xlfn.IFS(
   OR(G118="",ISBLANK(G118),G118=0),0,
   ISNUMBER(MATCH(G118,{2,3,5,7,11,13,17,19,23,29,31,37,41,43},0)),"소",
   AND(ISNUMBER(G118),MOD(G118,3)=0),"배",
   AND(ISNUMBER(G118),G118&gt;0),"자"
)</f>
        <v>자</v>
      </c>
      <c r="AI118" s="30"/>
      <c r="AJ118" s="3">
        <f t="shared" si="50"/>
        <v>0</v>
      </c>
      <c r="AK118" s="3">
        <f t="shared" si="51"/>
        <v>5</v>
      </c>
      <c r="AL118" s="3">
        <f t="shared" si="52"/>
        <v>1</v>
      </c>
      <c r="AM118" s="33"/>
      <c r="AN118" s="3">
        <f t="shared" si="53"/>
        <v>0</v>
      </c>
      <c r="AO118" s="3">
        <f t="shared" si="54"/>
        <v>1</v>
      </c>
      <c r="AP118" s="3">
        <f t="shared" si="55"/>
        <v>2</v>
      </c>
      <c r="AQ118" s="3">
        <f t="shared" si="56"/>
        <v>3</v>
      </c>
      <c r="AR118" s="3">
        <f t="shared" si="57"/>
        <v>0</v>
      </c>
      <c r="AS118" s="28" t="e">
        <f>#REF!</f>
        <v>#REF!</v>
      </c>
      <c r="AT118" s="28" t="e">
        <f>#REF!*2</f>
        <v>#REF!</v>
      </c>
      <c r="AU118" s="28" t="e">
        <f>#REF!</f>
        <v>#REF!</v>
      </c>
      <c r="AV118" s="28" t="e">
        <f>#REF!*2</f>
        <v>#REF!</v>
      </c>
      <c r="AW118" s="28" t="e">
        <f>#REF!</f>
        <v>#REF!</v>
      </c>
      <c r="AX118" s="28" t="e">
        <f>#REF!*2</f>
        <v>#REF!</v>
      </c>
      <c r="AY118" s="28" t="e">
        <f>#REF!</f>
        <v>#REF!</v>
      </c>
      <c r="AZ118" s="28" t="e">
        <f>#REF!*2</f>
        <v>#REF!</v>
      </c>
      <c r="BA118" s="28" t="e">
        <f>#REF!</f>
        <v>#REF!</v>
      </c>
      <c r="BB118" s="28" t="e">
        <f>#REF!*2</f>
        <v>#REF!</v>
      </c>
      <c r="BC118" s="28" t="e">
        <f>#REF!</f>
        <v>#REF!</v>
      </c>
      <c r="BD118" s="28" t="e">
        <f>#REF!*2</f>
        <v>#REF!</v>
      </c>
      <c r="BE118" s="9" t="e">
        <f>#REF!-#REF!</f>
        <v>#REF!</v>
      </c>
      <c r="BF118" s="9" t="e">
        <f>#REF!-#REF!</f>
        <v>#REF!</v>
      </c>
      <c r="BG118" s="9" t="e">
        <f>#REF!-#REF!</f>
        <v>#REF!</v>
      </c>
      <c r="BH118" s="9" t="e">
        <f>#REF!-#REF!</f>
        <v>#REF!</v>
      </c>
      <c r="BI118" s="9" t="e">
        <f>#REF!-#REF!</f>
        <v>#REF!</v>
      </c>
      <c r="BJ118" s="33"/>
      <c r="BK118" s="3">
        <f t="shared" si="58"/>
        <v>0</v>
      </c>
      <c r="BL118" s="3">
        <f t="shared" si="59"/>
        <v>1</v>
      </c>
      <c r="BM118" s="3">
        <f t="shared" si="60"/>
        <v>2</v>
      </c>
      <c r="BN118" s="3">
        <f t="shared" si="61"/>
        <v>3</v>
      </c>
      <c r="BO118" s="3">
        <f t="shared" si="62"/>
        <v>0</v>
      </c>
      <c r="BP118" s="28" t="e">
        <f>#REF!</f>
        <v>#REF!</v>
      </c>
      <c r="BQ118" s="28" t="e">
        <f>#REF!*2</f>
        <v>#REF!</v>
      </c>
      <c r="BR118" s="28" t="e">
        <f>#REF!</f>
        <v>#REF!</v>
      </c>
      <c r="BS118" s="28" t="e">
        <f>#REF!*2</f>
        <v>#REF!</v>
      </c>
      <c r="BT118" s="28" t="e">
        <f>#REF!</f>
        <v>#REF!</v>
      </c>
      <c r="BU118" s="28" t="e">
        <f>#REF!*2</f>
        <v>#REF!</v>
      </c>
      <c r="BV118" s="28" t="e">
        <f>#REF!</f>
        <v>#REF!</v>
      </c>
      <c r="BW118" s="28" t="e">
        <f>#REF!*2</f>
        <v>#REF!</v>
      </c>
      <c r="BX118" s="28" t="e">
        <f>#REF!</f>
        <v>#REF!</v>
      </c>
      <c r="BY118" s="28" t="e">
        <f>#REF!*2</f>
        <v>#REF!</v>
      </c>
      <c r="BZ118" s="28" t="e">
        <f>#REF!</f>
        <v>#REF!</v>
      </c>
      <c r="CA118" s="28" t="e">
        <f>#REF!*2</f>
        <v>#REF!</v>
      </c>
      <c r="CB118" s="9">
        <f t="shared" si="63"/>
        <v>8</v>
      </c>
      <c r="CC118" s="9">
        <f t="shared" si="64"/>
        <v>1</v>
      </c>
      <c r="CD118" s="9">
        <f t="shared" si="65"/>
        <v>5</v>
      </c>
      <c r="CE118" s="9">
        <f t="shared" si="66"/>
        <v>1</v>
      </c>
      <c r="CF118" s="9">
        <f t="shared" si="67"/>
        <v>1</v>
      </c>
      <c r="CG118" s="33"/>
      <c r="CH118" s="9">
        <f t="shared" si="68"/>
        <v>8</v>
      </c>
      <c r="CI118" s="9">
        <f t="shared" si="69"/>
        <v>1</v>
      </c>
      <c r="CJ118" s="9">
        <f t="shared" si="70"/>
        <v>5</v>
      </c>
      <c r="CK118" s="9">
        <f t="shared" si="71"/>
        <v>1</v>
      </c>
      <c r="CL118" s="9">
        <f t="shared" si="72"/>
        <v>1</v>
      </c>
      <c r="CM118" s="32"/>
      <c r="CN118" s="3">
        <f t="shared" si="73"/>
        <v>2</v>
      </c>
      <c r="CO118" s="3">
        <f t="shared" si="74"/>
        <v>1</v>
      </c>
      <c r="CP118" s="3">
        <f t="shared" si="75"/>
        <v>1</v>
      </c>
      <c r="CQ118" s="3">
        <f t="shared" si="76"/>
        <v>1</v>
      </c>
      <c r="CR118" s="3">
        <f t="shared" si="77"/>
        <v>1</v>
      </c>
      <c r="CS118" s="31"/>
      <c r="CT118" s="3" cm="1">
        <f t="array" ref="CT118">SUMPRODUCT(--(MOD(CH118:CL118,2)=1))</f>
        <v>4</v>
      </c>
      <c r="CU118" s="3">
        <f t="shared" si="78"/>
        <v>1</v>
      </c>
      <c r="CV118" s="30"/>
      <c r="CW118" s="3" cm="1">
        <f t="array" ref="CW118">SUMPRODUCT(--(MOD(CH118:CL118,10)&gt;=1), --(MOD(CH118:CL118,10)&lt;=5))</f>
        <v>4</v>
      </c>
      <c r="CX118" s="3">
        <f t="shared" si="79"/>
        <v>1</v>
      </c>
      <c r="CY118" s="30"/>
      <c r="CZ118" s="3" cm="1">
        <f t="array" ref="CZ118">IFERROR(COUNT(_xlfn._xlws.FILTER(CH118:CL118, ISNUMBER(MATCH(CH118:CL118, {2,3,5,7,11,13,17,19,23,29,31,37,41,43}, 0)))), 0)</f>
        <v>1</v>
      </c>
      <c r="DA118" s="3" cm="1">
        <f t="array" ref="DA118">IFERROR(COUNT(_xlfn._xlws.FILTER(CH118:CL118, ISNUMBER(MATCH(CH118:CL118, {1,4,8,10,14,16,20,22,25,26,28,32,34,35,38,40,44}, 0)))), 0)</f>
        <v>4</v>
      </c>
      <c r="DB118" s="3" cm="1">
        <f t="array" ref="DB118">IFERROR(COUNT(_xlfn._xlws.FILTER(CH118:CL118, ISNUMBER(MATCH(CH118:CL118, {6,9,12,15,18,21,24,27,30,33,36,39,42,45}, 0)))), 0)</f>
        <v>0</v>
      </c>
      <c r="DC118" s="29"/>
      <c r="DD118" s="28" t="e">
        <f>#REF!</f>
        <v>#REF!</v>
      </c>
      <c r="DE118" s="28" t="e">
        <f>#REF!*2</f>
        <v>#REF!</v>
      </c>
      <c r="DF118" s="28" t="e">
        <f>#REF!</f>
        <v>#REF!</v>
      </c>
      <c r="DG118" s="28" t="e">
        <f>#REF!*2</f>
        <v>#REF!</v>
      </c>
      <c r="DH118" s="28" t="e">
        <f>#REF!</f>
        <v>#REF!</v>
      </c>
      <c r="DI118" s="28" t="e">
        <f>#REF!*2</f>
        <v>#REF!</v>
      </c>
      <c r="DJ118" s="28" t="e">
        <f>#REF!</f>
        <v>#REF!</v>
      </c>
      <c r="DK118" s="28" t="e">
        <f>#REF!*2</f>
        <v>#REF!</v>
      </c>
      <c r="DL118" s="28" t="e">
        <f>#REF!</f>
        <v>#REF!</v>
      </c>
      <c r="DM118" s="28" t="e">
        <f>#REF!*2</f>
        <v>#REF!</v>
      </c>
      <c r="DN118" s="27"/>
      <c r="DO118" s="26" t="str" cm="1">
        <f t="array" ref="DO118">_xlfn.IFS(
   OR(CH118="",ISBLANK(CH118),CH118=0),0,
   ISNUMBER(MATCH(CH118,{2,3,5,7,11,13,17,19,23,29,31,37,41,43},0)),"소",
   AND(ISNUMBER(CH118),MOD(CH118,3)=0),"배",
   AND(ISNUMBER(CH118),CH118&gt;0),"자"
)</f>
        <v>자</v>
      </c>
      <c r="DP118" s="26" t="str" cm="1">
        <f t="array" ref="DP118">_xlfn.IFS(
   OR(CI118="",ISBLANK(CI118),CI118=0),0,
   ISNUMBER(MATCH(CI118,{2,3,5,7,11,13,17,19,23,29,31,37,41,43},0)),"소",
   AND(ISNUMBER(CI118),MOD(CI118,3)=0),"배",
   AND(ISNUMBER(CI118),CI118&gt;0),"자"
)</f>
        <v>자</v>
      </c>
      <c r="DQ118" s="26" t="str" cm="1">
        <f t="array" ref="DQ118">_xlfn.IFS(
   OR(CJ118="",ISBLANK(CJ118),CJ118=0),0,
   ISNUMBER(MATCH(CJ118,{2,3,5,7,11,13,17,19,23,29,31,37,41,43},0)),"소",
   AND(ISNUMBER(CJ118),MOD(CJ118,3)=0),"배",
   AND(ISNUMBER(CJ118),CJ118&gt;0),"자"
)</f>
        <v>소</v>
      </c>
      <c r="DR118" s="26" t="str" cm="1">
        <f t="array" ref="DR118">_xlfn.IFS(
   OR(CK118="",ISBLANK(CK118),CK118=0),0,
   ISNUMBER(MATCH(CK118,{2,3,5,7,11,13,17,19,23,29,31,37,41,43},0)),"소",
   AND(ISNUMBER(CK118),MOD(CK118,3)=0),"배",
   AND(ISNUMBER(CK118),CK118&gt;0),"자"
)</f>
        <v>자</v>
      </c>
      <c r="DS118" s="26" t="str" cm="1">
        <f t="array" ref="DS118">_xlfn.IFS(
   OR(CL118="",ISBLANK(CL118),CL118=0),0,
   ISNUMBER(MATCH(CL118,{2,3,5,7,11,13,17,19,23,29,31,37,41,43},0)),"소",
   AND(ISNUMBER(CL118),MOD(CL118,3)=0),"배",
   AND(ISNUMBER(CL118),CL118&gt;0),"자"
)</f>
        <v>자</v>
      </c>
      <c r="DT118" s="25"/>
    </row>
    <row r="119" spans="2:124" ht="14.25" thickBot="1" x14ac:dyDescent="0.35">
      <c r="B119" s="3">
        <v>1</v>
      </c>
      <c r="C119" s="3">
        <v>2</v>
      </c>
      <c r="D119" s="3">
        <v>4</v>
      </c>
      <c r="E119" s="3">
        <v>16</v>
      </c>
      <c r="F119" s="3">
        <v>20</v>
      </c>
      <c r="G119" s="3">
        <v>32</v>
      </c>
      <c r="H119" s="32"/>
      <c r="I119" s="3">
        <f t="shared" si="40"/>
        <v>1</v>
      </c>
      <c r="J119" s="3">
        <f t="shared" si="41"/>
        <v>2</v>
      </c>
      <c r="K119" s="3">
        <f t="shared" si="42"/>
        <v>2</v>
      </c>
      <c r="L119" s="3">
        <f t="shared" si="43"/>
        <v>2</v>
      </c>
      <c r="M119" s="3">
        <f t="shared" si="44"/>
        <v>2</v>
      </c>
      <c r="N119" s="3">
        <f t="shared" si="45"/>
        <v>2</v>
      </c>
      <c r="O119" s="32"/>
      <c r="P119" s="3" cm="1">
        <f t="array" ref="P119">SUMPRODUCT(--(MOD(B119:G119,2)=1))</f>
        <v>1</v>
      </c>
      <c r="Q119" s="3">
        <f t="shared" si="46"/>
        <v>5</v>
      </c>
      <c r="R119" s="34"/>
      <c r="S119" s="3">
        <f t="shared" si="47"/>
        <v>5</v>
      </c>
      <c r="T119" s="3">
        <f t="shared" si="48"/>
        <v>1</v>
      </c>
      <c r="U119" s="34"/>
      <c r="V119" s="3" cm="1">
        <f t="array" ref="V119">SUMPRODUCT(--(MOD(B119:G119,10)&gt;=1), --(MOD(B119:G119,10)&lt;=5))</f>
        <v>4</v>
      </c>
      <c r="W119" s="3">
        <f t="shared" si="49"/>
        <v>2</v>
      </c>
      <c r="X119" s="34"/>
      <c r="Y119" s="3" cm="1">
        <f t="array" ref="Y119">IFERROR(COUNT(_xlfn._xlws.FILTER(B119:G119, ISNUMBER(MATCH(B119:G119, {2,3,5,7,11,13,17,19,23,29,31,37,41,43}, 0)))), 0)</f>
        <v>1</v>
      </c>
      <c r="Z119" s="3" cm="1">
        <f t="array" ref="Z119">IFERROR(COUNT(_xlfn._xlws.FILTER(B119:G119, ISNUMBER(MATCH(B119:G119, {1,4,8,10,14,16,20,22,25,26,28,32,34,35,38,40,44}, 0)))), 0)</f>
        <v>5</v>
      </c>
      <c r="AA119" s="3" cm="1">
        <f t="array" ref="AA119">IFERROR(COUNT(_xlfn._xlws.FILTER(B119:G119, ISNUMBER(MATCH(B119:G119, {6,9,12,15,18,21,24,27,30,33,36,39,42,45}, 0)))), 0)</f>
        <v>0</v>
      </c>
      <c r="AB119" s="30"/>
      <c r="AC119" s="26" t="str" cm="1">
        <f t="array" ref="AC119">_xlfn.IFS(
   OR(B119="",ISBLANK(B119),B119=0),0,
   ISNUMBER(MATCH(B119,{2,3,5,7,11,13,17,19,23,29,31,37,41,43},0)),"소",
   AND(ISNUMBER(B119),MOD(B119,3)=0),"배",
   AND(ISNUMBER(B119),B119&gt;0),"자"
)</f>
        <v>자</v>
      </c>
      <c r="AD119" s="26" t="str" cm="1">
        <f t="array" ref="AD119">_xlfn.IFS(
   OR(C119="",ISBLANK(C119),C119=0),0,
   ISNUMBER(MATCH(C119,{2,3,5,7,11,13,17,19,23,29,31,37,41,43},0)),"소",
   AND(ISNUMBER(C119),MOD(C119,3)=0),"배",
   AND(ISNUMBER(C119),C119&gt;0),"자"
)</f>
        <v>소</v>
      </c>
      <c r="AE119" s="26" t="str" cm="1">
        <f t="array" ref="AE119">_xlfn.IFS(
   OR(D119="",ISBLANK(D119),D119=0),0,
   ISNUMBER(MATCH(D119,{2,3,5,7,11,13,17,19,23,29,31,37,41,43},0)),"소",
   AND(ISNUMBER(D119),MOD(D119,3)=0),"배",
   AND(ISNUMBER(D119),D119&gt;0),"자"
)</f>
        <v>자</v>
      </c>
      <c r="AF119" s="26" t="str" cm="1">
        <f t="array" ref="AF119">_xlfn.IFS(
   OR(E119="",ISBLANK(E119),E119=0),0,
   ISNUMBER(MATCH(E119,{2,3,5,7,11,13,17,19,23,29,31,37,41,43},0)),"소",
   AND(ISNUMBER(E119),MOD(E119,3)=0),"배",
   AND(ISNUMBER(E119),E119&gt;0),"자"
)</f>
        <v>자</v>
      </c>
      <c r="AG119" s="26" t="str" cm="1">
        <f t="array" ref="AG119">_xlfn.IFS(
   OR(F119="",ISBLANK(F119),F119=0),0,
   ISNUMBER(MATCH(F119,{2,3,5,7,11,13,17,19,23,29,31,37,41,43},0)),"소",
   AND(ISNUMBER(F119),MOD(F119,3)=0),"배",
   AND(ISNUMBER(F119),F119&gt;0),"자"
)</f>
        <v>자</v>
      </c>
      <c r="AH119" s="26" t="str" cm="1">
        <f t="array" ref="AH119">_xlfn.IFS(
   OR(G119="",ISBLANK(G119),G119=0),0,
   ISNUMBER(MATCH(G119,{2,3,5,7,11,13,17,19,23,29,31,37,41,43},0)),"소",
   AND(ISNUMBER(G119),MOD(G119,3)=0),"배",
   AND(ISNUMBER(G119),G119&gt;0),"자"
)</f>
        <v>자</v>
      </c>
      <c r="AI119" s="30"/>
      <c r="AJ119" s="3">
        <f t="shared" si="50"/>
        <v>3</v>
      </c>
      <c r="AK119" s="3">
        <f t="shared" si="51"/>
        <v>2</v>
      </c>
      <c r="AL119" s="3">
        <f t="shared" si="52"/>
        <v>1</v>
      </c>
      <c r="AM119" s="33"/>
      <c r="AN119" s="3">
        <f t="shared" si="53"/>
        <v>3</v>
      </c>
      <c r="AO119" s="3">
        <f t="shared" si="54"/>
        <v>1</v>
      </c>
      <c r="AP119" s="3">
        <f t="shared" si="55"/>
        <v>1</v>
      </c>
      <c r="AQ119" s="3">
        <f t="shared" si="56"/>
        <v>1</v>
      </c>
      <c r="AR119" s="3">
        <f t="shared" si="57"/>
        <v>0</v>
      </c>
      <c r="AS119" s="28" t="e">
        <f>#REF!</f>
        <v>#REF!</v>
      </c>
      <c r="AT119" s="28" t="e">
        <f>#REF!*2</f>
        <v>#REF!</v>
      </c>
      <c r="AU119" s="28" t="e">
        <f>#REF!</f>
        <v>#REF!</v>
      </c>
      <c r="AV119" s="28" t="e">
        <f>#REF!*2</f>
        <v>#REF!</v>
      </c>
      <c r="AW119" s="28" t="e">
        <f>#REF!</f>
        <v>#REF!</v>
      </c>
      <c r="AX119" s="28" t="e">
        <f>#REF!*2</f>
        <v>#REF!</v>
      </c>
      <c r="AY119" s="28" t="e">
        <f>#REF!</f>
        <v>#REF!</v>
      </c>
      <c r="AZ119" s="28" t="e">
        <f>#REF!*2</f>
        <v>#REF!</v>
      </c>
      <c r="BA119" s="28" t="e">
        <f>#REF!</f>
        <v>#REF!</v>
      </c>
      <c r="BB119" s="28" t="e">
        <f>#REF!*2</f>
        <v>#REF!</v>
      </c>
      <c r="BC119" s="28" t="e">
        <f>#REF!</f>
        <v>#REF!</v>
      </c>
      <c r="BD119" s="28" t="e">
        <f>#REF!*2</f>
        <v>#REF!</v>
      </c>
      <c r="BE119" s="9" t="e">
        <f>#REF!-#REF!</f>
        <v>#REF!</v>
      </c>
      <c r="BF119" s="9" t="e">
        <f>#REF!-#REF!</f>
        <v>#REF!</v>
      </c>
      <c r="BG119" s="9" t="e">
        <f>#REF!-#REF!</f>
        <v>#REF!</v>
      </c>
      <c r="BH119" s="9" t="e">
        <f>#REF!-#REF!</f>
        <v>#REF!</v>
      </c>
      <c r="BI119" s="9" t="e">
        <f>#REF!-#REF!</f>
        <v>#REF!</v>
      </c>
      <c r="BJ119" s="33"/>
      <c r="BK119" s="3">
        <f t="shared" si="58"/>
        <v>3</v>
      </c>
      <c r="BL119" s="3">
        <f t="shared" si="59"/>
        <v>1</v>
      </c>
      <c r="BM119" s="3">
        <f t="shared" si="60"/>
        <v>1</v>
      </c>
      <c r="BN119" s="3">
        <f t="shared" si="61"/>
        <v>1</v>
      </c>
      <c r="BO119" s="3">
        <f t="shared" si="62"/>
        <v>0</v>
      </c>
      <c r="BP119" s="28" t="e">
        <f>#REF!</f>
        <v>#REF!</v>
      </c>
      <c r="BQ119" s="28" t="e">
        <f>#REF!*2</f>
        <v>#REF!</v>
      </c>
      <c r="BR119" s="28" t="e">
        <f>#REF!</f>
        <v>#REF!</v>
      </c>
      <c r="BS119" s="28" t="e">
        <f>#REF!*2</f>
        <v>#REF!</v>
      </c>
      <c r="BT119" s="28" t="e">
        <f>#REF!</f>
        <v>#REF!</v>
      </c>
      <c r="BU119" s="28" t="e">
        <f>#REF!*2</f>
        <v>#REF!</v>
      </c>
      <c r="BV119" s="28" t="e">
        <f>#REF!</f>
        <v>#REF!</v>
      </c>
      <c r="BW119" s="28" t="e">
        <f>#REF!*2</f>
        <v>#REF!</v>
      </c>
      <c r="BX119" s="28" t="e">
        <f>#REF!</f>
        <v>#REF!</v>
      </c>
      <c r="BY119" s="28" t="e">
        <f>#REF!*2</f>
        <v>#REF!</v>
      </c>
      <c r="BZ119" s="28" t="e">
        <f>#REF!</f>
        <v>#REF!</v>
      </c>
      <c r="CA119" s="28" t="e">
        <f>#REF!*2</f>
        <v>#REF!</v>
      </c>
      <c r="CB119" s="9">
        <f t="shared" si="63"/>
        <v>1</v>
      </c>
      <c r="CC119" s="9">
        <f t="shared" si="64"/>
        <v>2</v>
      </c>
      <c r="CD119" s="9">
        <f t="shared" si="65"/>
        <v>12</v>
      </c>
      <c r="CE119" s="9">
        <f t="shared" si="66"/>
        <v>4</v>
      </c>
      <c r="CF119" s="9">
        <f t="shared" si="67"/>
        <v>12</v>
      </c>
      <c r="CG119" s="33"/>
      <c r="CH119" s="9">
        <f t="shared" si="68"/>
        <v>1</v>
      </c>
      <c r="CI119" s="9">
        <f t="shared" si="69"/>
        <v>2</v>
      </c>
      <c r="CJ119" s="9">
        <f t="shared" si="70"/>
        <v>12</v>
      </c>
      <c r="CK119" s="9">
        <f t="shared" si="71"/>
        <v>4</v>
      </c>
      <c r="CL119" s="9">
        <f t="shared" si="72"/>
        <v>12</v>
      </c>
      <c r="CM119" s="32"/>
      <c r="CN119" s="3">
        <f t="shared" si="73"/>
        <v>1</v>
      </c>
      <c r="CO119" s="3">
        <f t="shared" si="74"/>
        <v>2</v>
      </c>
      <c r="CP119" s="3">
        <f t="shared" si="75"/>
        <v>2</v>
      </c>
      <c r="CQ119" s="3">
        <f t="shared" si="76"/>
        <v>2</v>
      </c>
      <c r="CR119" s="3">
        <f t="shared" si="77"/>
        <v>2</v>
      </c>
      <c r="CS119" s="31"/>
      <c r="CT119" s="3" cm="1">
        <f t="array" ref="CT119">SUMPRODUCT(--(MOD(CH119:CL119,2)=1))</f>
        <v>1</v>
      </c>
      <c r="CU119" s="3">
        <f t="shared" si="78"/>
        <v>4</v>
      </c>
      <c r="CV119" s="30"/>
      <c r="CW119" s="3" cm="1">
        <f t="array" ref="CW119">SUMPRODUCT(--(MOD(CH119:CL119,10)&gt;=1), --(MOD(CH119:CL119,10)&lt;=5))</f>
        <v>5</v>
      </c>
      <c r="CX119" s="3">
        <f t="shared" si="79"/>
        <v>0</v>
      </c>
      <c r="CY119" s="30"/>
      <c r="CZ119" s="3" cm="1">
        <f t="array" ref="CZ119">IFERROR(COUNT(_xlfn._xlws.FILTER(CH119:CL119, ISNUMBER(MATCH(CH119:CL119, {2,3,5,7,11,13,17,19,23,29,31,37,41,43}, 0)))), 0)</f>
        <v>1</v>
      </c>
      <c r="DA119" s="3" cm="1">
        <f t="array" ref="DA119">IFERROR(COUNT(_xlfn._xlws.FILTER(CH119:CL119, ISNUMBER(MATCH(CH119:CL119, {1,4,8,10,14,16,20,22,25,26,28,32,34,35,38,40,44}, 0)))), 0)</f>
        <v>2</v>
      </c>
      <c r="DB119" s="3" cm="1">
        <f t="array" ref="DB119">IFERROR(COUNT(_xlfn._xlws.FILTER(CH119:CL119, ISNUMBER(MATCH(CH119:CL119, {6,9,12,15,18,21,24,27,30,33,36,39,42,45}, 0)))), 0)</f>
        <v>2</v>
      </c>
      <c r="DC119" s="29"/>
      <c r="DD119" s="28" t="e">
        <f>#REF!</f>
        <v>#REF!</v>
      </c>
      <c r="DE119" s="28" t="e">
        <f>#REF!*2</f>
        <v>#REF!</v>
      </c>
      <c r="DF119" s="28" t="e">
        <f>#REF!</f>
        <v>#REF!</v>
      </c>
      <c r="DG119" s="28" t="e">
        <f>#REF!*2</f>
        <v>#REF!</v>
      </c>
      <c r="DH119" s="28" t="e">
        <f>#REF!</f>
        <v>#REF!</v>
      </c>
      <c r="DI119" s="28" t="e">
        <f>#REF!*2</f>
        <v>#REF!</v>
      </c>
      <c r="DJ119" s="28" t="e">
        <f>#REF!</f>
        <v>#REF!</v>
      </c>
      <c r="DK119" s="28" t="e">
        <f>#REF!*2</f>
        <v>#REF!</v>
      </c>
      <c r="DL119" s="28" t="e">
        <f>#REF!</f>
        <v>#REF!</v>
      </c>
      <c r="DM119" s="28" t="e">
        <f>#REF!*2</f>
        <v>#REF!</v>
      </c>
      <c r="DN119" s="27"/>
      <c r="DO119" s="26" t="str" cm="1">
        <f t="array" ref="DO119">_xlfn.IFS(
   OR(CH119="",ISBLANK(CH119),CH119=0),0,
   ISNUMBER(MATCH(CH119,{2,3,5,7,11,13,17,19,23,29,31,37,41,43},0)),"소",
   AND(ISNUMBER(CH119),MOD(CH119,3)=0),"배",
   AND(ISNUMBER(CH119),CH119&gt;0),"자"
)</f>
        <v>자</v>
      </c>
      <c r="DP119" s="26" t="str" cm="1">
        <f t="array" ref="DP119">_xlfn.IFS(
   OR(CI119="",ISBLANK(CI119),CI119=0),0,
   ISNUMBER(MATCH(CI119,{2,3,5,7,11,13,17,19,23,29,31,37,41,43},0)),"소",
   AND(ISNUMBER(CI119),MOD(CI119,3)=0),"배",
   AND(ISNUMBER(CI119),CI119&gt;0),"자"
)</f>
        <v>소</v>
      </c>
      <c r="DQ119" s="26" t="str" cm="1">
        <f t="array" ref="DQ119">_xlfn.IFS(
   OR(CJ119="",ISBLANK(CJ119),CJ119=0),0,
   ISNUMBER(MATCH(CJ119,{2,3,5,7,11,13,17,19,23,29,31,37,41,43},0)),"소",
   AND(ISNUMBER(CJ119),MOD(CJ119,3)=0),"배",
   AND(ISNUMBER(CJ119),CJ119&gt;0),"자"
)</f>
        <v>배</v>
      </c>
      <c r="DR119" s="26" t="str" cm="1">
        <f t="array" ref="DR119">_xlfn.IFS(
   OR(CK119="",ISBLANK(CK119),CK119=0),0,
   ISNUMBER(MATCH(CK119,{2,3,5,7,11,13,17,19,23,29,31,37,41,43},0)),"소",
   AND(ISNUMBER(CK119),MOD(CK119,3)=0),"배",
   AND(ISNUMBER(CK119),CK119&gt;0),"자"
)</f>
        <v>자</v>
      </c>
      <c r="DS119" s="26" t="str" cm="1">
        <f t="array" ref="DS119">_xlfn.IFS(
   OR(CL119="",ISBLANK(CL119),CL119=0),0,
   ISNUMBER(MATCH(CL119,{2,3,5,7,11,13,17,19,23,29,31,37,41,43},0)),"소",
   AND(ISNUMBER(CL119),MOD(CL119,3)=0),"배",
   AND(ISNUMBER(CL119),CL119&gt;0),"자"
)</f>
        <v>배</v>
      </c>
      <c r="DT119" s="25"/>
    </row>
    <row r="120" spans="2:124" x14ac:dyDescent="0.3">
      <c r="B120" s="3">
        <v>7</v>
      </c>
      <c r="C120" s="3">
        <v>9</v>
      </c>
      <c r="D120" s="3">
        <v>24</v>
      </c>
      <c r="E120" s="3">
        <v>27</v>
      </c>
      <c r="F120" s="3">
        <v>35</v>
      </c>
      <c r="G120" s="3">
        <v>36</v>
      </c>
      <c r="H120" s="32"/>
      <c r="I120" s="3">
        <f t="shared" si="40"/>
        <v>1</v>
      </c>
      <c r="J120" s="3">
        <f t="shared" si="41"/>
        <v>1</v>
      </c>
      <c r="K120" s="3">
        <f t="shared" si="42"/>
        <v>2</v>
      </c>
      <c r="L120" s="3">
        <f t="shared" si="43"/>
        <v>1</v>
      </c>
      <c r="M120" s="3">
        <f t="shared" si="44"/>
        <v>1</v>
      </c>
      <c r="N120" s="3">
        <f t="shared" si="45"/>
        <v>2</v>
      </c>
      <c r="O120" s="32"/>
      <c r="P120" s="3" cm="1">
        <f t="array" ref="P120">SUMPRODUCT(--(MOD(B120:G120,2)=1))</f>
        <v>4</v>
      </c>
      <c r="Q120" s="3">
        <f t="shared" si="46"/>
        <v>2</v>
      </c>
      <c r="R120" s="34"/>
      <c r="S120" s="3">
        <f t="shared" si="47"/>
        <v>2</v>
      </c>
      <c r="T120" s="3">
        <f t="shared" si="48"/>
        <v>4</v>
      </c>
      <c r="U120" s="34"/>
      <c r="V120" s="3" cm="1">
        <f t="array" ref="V120">SUMPRODUCT(--(MOD(B120:G120,10)&gt;=1), --(MOD(B120:G120,10)&lt;=5))</f>
        <v>2</v>
      </c>
      <c r="W120" s="3">
        <f t="shared" si="49"/>
        <v>4</v>
      </c>
      <c r="X120" s="34"/>
      <c r="Y120" s="3" cm="1">
        <f t="array" ref="Y120">IFERROR(COUNT(_xlfn._xlws.FILTER(B120:G120, ISNUMBER(MATCH(B120:G120, {2,3,5,7,11,13,17,19,23,29,31,37,41,43}, 0)))), 0)</f>
        <v>1</v>
      </c>
      <c r="Z120" s="3" cm="1">
        <f t="array" ref="Z120">IFERROR(COUNT(_xlfn._xlws.FILTER(B120:G120, ISNUMBER(MATCH(B120:G120, {1,4,8,10,14,16,20,22,25,26,28,32,34,35,38,40,44}, 0)))), 0)</f>
        <v>1</v>
      </c>
      <c r="AA120" s="3" cm="1">
        <f t="array" ref="AA120">IFERROR(COUNT(_xlfn._xlws.FILTER(B120:G120, ISNUMBER(MATCH(B120:G120, {6,9,12,15,18,21,24,27,30,33,36,39,42,45}, 0)))), 0)</f>
        <v>4</v>
      </c>
      <c r="AB120" s="30"/>
      <c r="AC120" s="26" t="str" cm="1">
        <f t="array" ref="AC120">_xlfn.IFS(
   OR(B120="",ISBLANK(B120),B120=0),0,
   ISNUMBER(MATCH(B120,{2,3,5,7,11,13,17,19,23,29,31,37,41,43},0)),"소",
   AND(ISNUMBER(B120),MOD(B120,3)=0),"배",
   AND(ISNUMBER(B120),B120&gt;0),"자"
)</f>
        <v>소</v>
      </c>
      <c r="AD120" s="41" t="str" cm="1">
        <f t="array" ref="AD120">_xlfn.IFS(
   OR(C120="",ISBLANK(C120),C120=0),0,
   ISNUMBER(MATCH(C120,{2,3,5,7,11,13,17,19,23,29,31,37,41,43},0)),"소",
   AND(ISNUMBER(C120),MOD(C120,3)=0),"배",
   AND(ISNUMBER(C120),C120&gt;0),"자"
)</f>
        <v>배</v>
      </c>
      <c r="AE120" s="39" t="str" cm="1">
        <f t="array" ref="AE120">_xlfn.IFS(
   OR(D120="",ISBLANK(D120),D120=0),0,
   ISNUMBER(MATCH(D120,{2,3,5,7,11,13,17,19,23,29,31,37,41,43},0)),"소",
   AND(ISNUMBER(D120),MOD(D120,3)=0),"배",
   AND(ISNUMBER(D120),D120&gt;0),"자"
)</f>
        <v>배</v>
      </c>
      <c r="AF120" s="26" t="str" cm="1">
        <f t="array" ref="AF120">_xlfn.IFS(
   OR(E120="",ISBLANK(E120),E120=0),0,
   ISNUMBER(MATCH(E120,{2,3,5,7,11,13,17,19,23,29,31,37,41,43},0)),"소",
   AND(ISNUMBER(E120),MOD(E120,3)=0),"배",
   AND(ISNUMBER(E120),E120&gt;0),"자"
)</f>
        <v>배</v>
      </c>
      <c r="AG120" s="26" t="str" cm="1">
        <f t="array" ref="AG120">_xlfn.IFS(
   OR(F120="",ISBLANK(F120),F120=0),0,
   ISNUMBER(MATCH(F120,{2,3,5,7,11,13,17,19,23,29,31,37,41,43},0)),"소",
   AND(ISNUMBER(F120),MOD(F120,3)=0),"배",
   AND(ISNUMBER(F120),F120&gt;0),"자"
)</f>
        <v>자</v>
      </c>
      <c r="AH120" s="26" t="str" cm="1">
        <f t="array" ref="AH120">_xlfn.IFS(
   OR(G120="",ISBLANK(G120),G120=0),0,
   ISNUMBER(MATCH(G120,{2,3,5,7,11,13,17,19,23,29,31,37,41,43},0)),"소",
   AND(ISNUMBER(G120),MOD(G120,3)=0),"배",
   AND(ISNUMBER(G120),G120&gt;0),"자"
)</f>
        <v>배</v>
      </c>
      <c r="AI120" s="30"/>
      <c r="AJ120" s="3">
        <f t="shared" si="50"/>
        <v>2</v>
      </c>
      <c r="AK120" s="3">
        <f t="shared" si="51"/>
        <v>2</v>
      </c>
      <c r="AL120" s="3">
        <f t="shared" si="52"/>
        <v>2</v>
      </c>
      <c r="AM120" s="33"/>
      <c r="AN120" s="3">
        <f t="shared" si="53"/>
        <v>2</v>
      </c>
      <c r="AO120" s="3">
        <f t="shared" si="54"/>
        <v>0</v>
      </c>
      <c r="AP120" s="3">
        <f t="shared" si="55"/>
        <v>2</v>
      </c>
      <c r="AQ120" s="3">
        <f t="shared" si="56"/>
        <v>2</v>
      </c>
      <c r="AR120" s="3">
        <f t="shared" si="57"/>
        <v>0</v>
      </c>
      <c r="AS120" s="28" t="e">
        <f>#REF!</f>
        <v>#REF!</v>
      </c>
      <c r="AT120" s="28" t="e">
        <f>#REF!*2</f>
        <v>#REF!</v>
      </c>
      <c r="AU120" s="28" t="e">
        <f>#REF!</f>
        <v>#REF!</v>
      </c>
      <c r="AV120" s="28" t="e">
        <f>#REF!*2</f>
        <v>#REF!</v>
      </c>
      <c r="AW120" s="28" t="e">
        <f>#REF!</f>
        <v>#REF!</v>
      </c>
      <c r="AX120" s="28" t="e">
        <f>#REF!*2</f>
        <v>#REF!</v>
      </c>
      <c r="AY120" s="28" t="e">
        <f>#REF!</f>
        <v>#REF!</v>
      </c>
      <c r="AZ120" s="28" t="e">
        <f>#REF!*2</f>
        <v>#REF!</v>
      </c>
      <c r="BA120" s="28" t="e">
        <f>#REF!</f>
        <v>#REF!</v>
      </c>
      <c r="BB120" s="28" t="e">
        <f>#REF!*2</f>
        <v>#REF!</v>
      </c>
      <c r="BC120" s="28" t="e">
        <f>#REF!</f>
        <v>#REF!</v>
      </c>
      <c r="BD120" s="28" t="e">
        <f>#REF!*2</f>
        <v>#REF!</v>
      </c>
      <c r="BE120" s="9" t="e">
        <f>#REF!-#REF!</f>
        <v>#REF!</v>
      </c>
      <c r="BF120" s="9" t="e">
        <f>#REF!-#REF!</f>
        <v>#REF!</v>
      </c>
      <c r="BG120" s="9" t="e">
        <f>#REF!-#REF!</f>
        <v>#REF!</v>
      </c>
      <c r="BH120" s="9" t="e">
        <f>#REF!-#REF!</f>
        <v>#REF!</v>
      </c>
      <c r="BI120" s="9" t="e">
        <f>#REF!-#REF!</f>
        <v>#REF!</v>
      </c>
      <c r="BJ120" s="33"/>
      <c r="BK120" s="3">
        <f t="shared" si="58"/>
        <v>2</v>
      </c>
      <c r="BL120" s="3">
        <f t="shared" si="59"/>
        <v>0</v>
      </c>
      <c r="BM120" s="3">
        <f t="shared" si="60"/>
        <v>2</v>
      </c>
      <c r="BN120" s="3">
        <f t="shared" si="61"/>
        <v>2</v>
      </c>
      <c r="BO120" s="3">
        <f t="shared" si="62"/>
        <v>0</v>
      </c>
      <c r="BP120" s="28" t="e">
        <f>#REF!</f>
        <v>#REF!</v>
      </c>
      <c r="BQ120" s="28" t="e">
        <f>#REF!*2</f>
        <v>#REF!</v>
      </c>
      <c r="BR120" s="28" t="e">
        <f>#REF!</f>
        <v>#REF!</v>
      </c>
      <c r="BS120" s="28" t="e">
        <f>#REF!*2</f>
        <v>#REF!</v>
      </c>
      <c r="BT120" s="28" t="e">
        <f>#REF!</f>
        <v>#REF!</v>
      </c>
      <c r="BU120" s="28" t="e">
        <f>#REF!*2</f>
        <v>#REF!</v>
      </c>
      <c r="BV120" s="28" t="e">
        <f>#REF!</f>
        <v>#REF!</v>
      </c>
      <c r="BW120" s="28" t="e">
        <f>#REF!*2</f>
        <v>#REF!</v>
      </c>
      <c r="BX120" s="28" t="e">
        <f>#REF!</f>
        <v>#REF!</v>
      </c>
      <c r="BY120" s="28" t="e">
        <f>#REF!*2</f>
        <v>#REF!</v>
      </c>
      <c r="BZ120" s="28" t="e">
        <f>#REF!</f>
        <v>#REF!</v>
      </c>
      <c r="CA120" s="28" t="e">
        <f>#REF!*2</f>
        <v>#REF!</v>
      </c>
      <c r="CB120" s="9">
        <f t="shared" si="63"/>
        <v>2</v>
      </c>
      <c r="CC120" s="9">
        <f t="shared" si="64"/>
        <v>15</v>
      </c>
      <c r="CD120" s="9">
        <f t="shared" si="65"/>
        <v>3</v>
      </c>
      <c r="CE120" s="9">
        <f t="shared" si="66"/>
        <v>8</v>
      </c>
      <c r="CF120" s="9">
        <f t="shared" si="67"/>
        <v>1</v>
      </c>
      <c r="CG120" s="33"/>
      <c r="CH120" s="9">
        <f t="shared" si="68"/>
        <v>2</v>
      </c>
      <c r="CI120" s="9">
        <f t="shared" si="69"/>
        <v>15</v>
      </c>
      <c r="CJ120" s="9">
        <f t="shared" si="70"/>
        <v>3</v>
      </c>
      <c r="CK120" s="9">
        <f t="shared" si="71"/>
        <v>8</v>
      </c>
      <c r="CL120" s="9">
        <f t="shared" si="72"/>
        <v>1</v>
      </c>
      <c r="CM120" s="32"/>
      <c r="CN120" s="3">
        <f t="shared" si="73"/>
        <v>2</v>
      </c>
      <c r="CO120" s="3">
        <f t="shared" si="74"/>
        <v>1</v>
      </c>
      <c r="CP120" s="3">
        <f t="shared" si="75"/>
        <v>1</v>
      </c>
      <c r="CQ120" s="3">
        <f t="shared" si="76"/>
        <v>2</v>
      </c>
      <c r="CR120" s="3">
        <f t="shared" si="77"/>
        <v>1</v>
      </c>
      <c r="CS120" s="31"/>
      <c r="CT120" s="3" cm="1">
        <f t="array" ref="CT120">SUMPRODUCT(--(MOD(CH120:CL120,2)=1))</f>
        <v>3</v>
      </c>
      <c r="CU120" s="3">
        <f t="shared" si="78"/>
        <v>2</v>
      </c>
      <c r="CV120" s="30"/>
      <c r="CW120" s="3" cm="1">
        <f t="array" ref="CW120">SUMPRODUCT(--(MOD(CH120:CL120,10)&gt;=1), --(MOD(CH120:CL120,10)&lt;=5))</f>
        <v>4</v>
      </c>
      <c r="CX120" s="3">
        <f t="shared" si="79"/>
        <v>1</v>
      </c>
      <c r="CY120" s="30"/>
      <c r="CZ120" s="3" cm="1">
        <f t="array" ref="CZ120">IFERROR(COUNT(_xlfn._xlws.FILTER(CH120:CL120, ISNUMBER(MATCH(CH120:CL120, {2,3,5,7,11,13,17,19,23,29,31,37,41,43}, 0)))), 0)</f>
        <v>2</v>
      </c>
      <c r="DA120" s="3" cm="1">
        <f t="array" ref="DA120">IFERROR(COUNT(_xlfn._xlws.FILTER(CH120:CL120, ISNUMBER(MATCH(CH120:CL120, {1,4,8,10,14,16,20,22,25,26,28,32,34,35,38,40,44}, 0)))), 0)</f>
        <v>2</v>
      </c>
      <c r="DB120" s="3" cm="1">
        <f t="array" ref="DB120">IFERROR(COUNT(_xlfn._xlws.FILTER(CH120:CL120, ISNUMBER(MATCH(CH120:CL120, {6,9,12,15,18,21,24,27,30,33,36,39,42,45}, 0)))), 0)</f>
        <v>1</v>
      </c>
      <c r="DC120" s="29"/>
      <c r="DD120" s="28" t="e">
        <f>#REF!</f>
        <v>#REF!</v>
      </c>
      <c r="DE120" s="28" t="e">
        <f>#REF!*2</f>
        <v>#REF!</v>
      </c>
      <c r="DF120" s="28" t="e">
        <f>#REF!</f>
        <v>#REF!</v>
      </c>
      <c r="DG120" s="28" t="e">
        <f>#REF!*2</f>
        <v>#REF!</v>
      </c>
      <c r="DH120" s="28" t="e">
        <f>#REF!</f>
        <v>#REF!</v>
      </c>
      <c r="DI120" s="28" t="e">
        <f>#REF!*2</f>
        <v>#REF!</v>
      </c>
      <c r="DJ120" s="28" t="e">
        <f>#REF!</f>
        <v>#REF!</v>
      </c>
      <c r="DK120" s="28" t="e">
        <f>#REF!*2</f>
        <v>#REF!</v>
      </c>
      <c r="DL120" s="28" t="e">
        <f>#REF!</f>
        <v>#REF!</v>
      </c>
      <c r="DM120" s="28" t="e">
        <f>#REF!*2</f>
        <v>#REF!</v>
      </c>
      <c r="DN120" s="27"/>
      <c r="DO120" s="26" t="str" cm="1">
        <f t="array" ref="DO120">_xlfn.IFS(
   OR(CH120="",ISBLANK(CH120),CH120=0),0,
   ISNUMBER(MATCH(CH120,{2,3,5,7,11,13,17,19,23,29,31,37,41,43},0)),"소",
   AND(ISNUMBER(CH120),MOD(CH120,3)=0),"배",
   AND(ISNUMBER(CH120),CH120&gt;0),"자"
)</f>
        <v>소</v>
      </c>
      <c r="DP120" s="26" t="str" cm="1">
        <f t="array" ref="DP120">_xlfn.IFS(
   OR(CI120="",ISBLANK(CI120),CI120=0),0,
   ISNUMBER(MATCH(CI120,{2,3,5,7,11,13,17,19,23,29,31,37,41,43},0)),"소",
   AND(ISNUMBER(CI120),MOD(CI120,3)=0),"배",
   AND(ISNUMBER(CI120),CI120&gt;0),"자"
)</f>
        <v>배</v>
      </c>
      <c r="DQ120" s="26" t="str" cm="1">
        <f t="array" ref="DQ120">_xlfn.IFS(
   OR(CJ120="",ISBLANK(CJ120),CJ120=0),0,
   ISNUMBER(MATCH(CJ120,{2,3,5,7,11,13,17,19,23,29,31,37,41,43},0)),"소",
   AND(ISNUMBER(CJ120),MOD(CJ120,3)=0),"배",
   AND(ISNUMBER(CJ120),CJ120&gt;0),"자"
)</f>
        <v>소</v>
      </c>
      <c r="DR120" s="26" t="str" cm="1">
        <f t="array" ref="DR120">_xlfn.IFS(
   OR(CK120="",ISBLANK(CK120),CK120=0),0,
   ISNUMBER(MATCH(CK120,{2,3,5,7,11,13,17,19,23,29,31,37,41,43},0)),"소",
   AND(ISNUMBER(CK120),MOD(CK120,3)=0),"배",
   AND(ISNUMBER(CK120),CK120&gt;0),"자"
)</f>
        <v>자</v>
      </c>
      <c r="DS120" s="26" t="str" cm="1">
        <f t="array" ref="DS120">_xlfn.IFS(
   OR(CL120="",ISBLANK(CL120),CL120=0),0,
   ISNUMBER(MATCH(CL120,{2,3,5,7,11,13,17,19,23,29,31,37,41,43},0)),"소",
   AND(ISNUMBER(CL120),MOD(CL120,3)=0),"배",
   AND(ISNUMBER(CL120),CL120&gt;0),"자"
)</f>
        <v>자</v>
      </c>
      <c r="DT120" s="25"/>
    </row>
    <row r="121" spans="2:124" x14ac:dyDescent="0.3">
      <c r="B121" s="3">
        <v>5</v>
      </c>
      <c r="C121" s="3">
        <v>12</v>
      </c>
      <c r="D121" s="3">
        <v>21</v>
      </c>
      <c r="E121" s="3">
        <v>33</v>
      </c>
      <c r="F121" s="3">
        <v>37</v>
      </c>
      <c r="G121" s="3">
        <v>40</v>
      </c>
      <c r="H121" s="32"/>
      <c r="I121" s="3">
        <f t="shared" si="40"/>
        <v>1</v>
      </c>
      <c r="J121" s="3">
        <f t="shared" si="41"/>
        <v>2</v>
      </c>
      <c r="K121" s="3">
        <f t="shared" si="42"/>
        <v>1</v>
      </c>
      <c r="L121" s="3">
        <f t="shared" si="43"/>
        <v>1</v>
      </c>
      <c r="M121" s="3">
        <f t="shared" si="44"/>
        <v>1</v>
      </c>
      <c r="N121" s="3">
        <f t="shared" si="45"/>
        <v>2</v>
      </c>
      <c r="O121" s="32"/>
      <c r="P121" s="3" cm="1">
        <f t="array" ref="P121">SUMPRODUCT(--(MOD(B121:G121,2)=1))</f>
        <v>4</v>
      </c>
      <c r="Q121" s="3">
        <f t="shared" si="46"/>
        <v>2</v>
      </c>
      <c r="R121" s="34"/>
      <c r="S121" s="3">
        <f t="shared" si="47"/>
        <v>3</v>
      </c>
      <c r="T121" s="3">
        <f t="shared" si="48"/>
        <v>3</v>
      </c>
      <c r="U121" s="34"/>
      <c r="V121" s="3" cm="1">
        <f t="array" ref="V121">SUMPRODUCT(--(MOD(B121:G121,10)&gt;=1), --(MOD(B121:G121,10)&lt;=5))</f>
        <v>4</v>
      </c>
      <c r="W121" s="3">
        <f t="shared" si="49"/>
        <v>2</v>
      </c>
      <c r="X121" s="34"/>
      <c r="Y121" s="3" cm="1">
        <f t="array" ref="Y121">IFERROR(COUNT(_xlfn._xlws.FILTER(B121:G121, ISNUMBER(MATCH(B121:G121, {2,3,5,7,11,13,17,19,23,29,31,37,41,43}, 0)))), 0)</f>
        <v>2</v>
      </c>
      <c r="Z121" s="3" cm="1">
        <f t="array" ref="Z121">IFERROR(COUNT(_xlfn._xlws.FILTER(B121:G121, ISNUMBER(MATCH(B121:G121, {1,4,8,10,14,16,20,22,25,26,28,32,34,35,38,40,44}, 0)))), 0)</f>
        <v>1</v>
      </c>
      <c r="AA121" s="3" cm="1">
        <f t="array" ref="AA121">IFERROR(COUNT(_xlfn._xlws.FILTER(B121:G121, ISNUMBER(MATCH(B121:G121, {6,9,12,15,18,21,24,27,30,33,36,39,42,45}, 0)))), 0)</f>
        <v>3</v>
      </c>
      <c r="AB121" s="30"/>
      <c r="AC121" s="26" t="str" cm="1">
        <f t="array" ref="AC121">_xlfn.IFS(
   OR(B121="",ISBLANK(B121),B121=0),0,
   ISNUMBER(MATCH(B121,{2,3,5,7,11,13,17,19,23,29,31,37,41,43},0)),"소",
   AND(ISNUMBER(B121),MOD(B121,3)=0),"배",
   AND(ISNUMBER(B121),B121&gt;0),"자"
)</f>
        <v>소</v>
      </c>
      <c r="AD121" s="47" t="str" cm="1">
        <f t="array" ref="AD121">_xlfn.IFS(
   OR(C121="",ISBLANK(C121),C121=0),0,
   ISNUMBER(MATCH(C121,{2,3,5,7,11,13,17,19,23,29,31,37,41,43},0)),"소",
   AND(ISNUMBER(C121),MOD(C121,3)=0),"배",
   AND(ISNUMBER(C121),C121&gt;0),"자"
)</f>
        <v>배</v>
      </c>
      <c r="AE121" s="46" t="str" cm="1">
        <f t="array" ref="AE121">_xlfn.IFS(
   OR(D121="",ISBLANK(D121),D121=0),0,
   ISNUMBER(MATCH(D121,{2,3,5,7,11,13,17,19,23,29,31,37,41,43},0)),"소",
   AND(ISNUMBER(D121),MOD(D121,3)=0),"배",
   AND(ISNUMBER(D121),D121&gt;0),"자"
)</f>
        <v>배</v>
      </c>
      <c r="AF121" s="26" t="str" cm="1">
        <f t="array" ref="AF121">_xlfn.IFS(
   OR(E121="",ISBLANK(E121),E121=0),0,
   ISNUMBER(MATCH(E121,{2,3,5,7,11,13,17,19,23,29,31,37,41,43},0)),"소",
   AND(ISNUMBER(E121),MOD(E121,3)=0),"배",
   AND(ISNUMBER(E121),E121&gt;0),"자"
)</f>
        <v>배</v>
      </c>
      <c r="AG121" s="26" t="str" cm="1">
        <f t="array" ref="AG121">_xlfn.IFS(
   OR(F121="",ISBLANK(F121),F121=0),0,
   ISNUMBER(MATCH(F121,{2,3,5,7,11,13,17,19,23,29,31,37,41,43},0)),"소",
   AND(ISNUMBER(F121),MOD(F121,3)=0),"배",
   AND(ISNUMBER(F121),F121&gt;0),"자"
)</f>
        <v>소</v>
      </c>
      <c r="AH121" s="26" t="str" cm="1">
        <f t="array" ref="AH121">_xlfn.IFS(
   OR(G121="",ISBLANK(G121),G121=0),0,
   ISNUMBER(MATCH(G121,{2,3,5,7,11,13,17,19,23,29,31,37,41,43},0)),"소",
   AND(ISNUMBER(G121),MOD(G121,3)=0),"배",
   AND(ISNUMBER(G121),G121&gt;0),"자"
)</f>
        <v>자</v>
      </c>
      <c r="AI121" s="30"/>
      <c r="AJ121" s="3">
        <f t="shared" si="50"/>
        <v>2</v>
      </c>
      <c r="AK121" s="3">
        <f t="shared" si="51"/>
        <v>1</v>
      </c>
      <c r="AL121" s="3">
        <f t="shared" si="52"/>
        <v>3</v>
      </c>
      <c r="AM121" s="33"/>
      <c r="AN121" s="3">
        <f t="shared" si="53"/>
        <v>1</v>
      </c>
      <c r="AO121" s="3">
        <f t="shared" si="54"/>
        <v>1</v>
      </c>
      <c r="AP121" s="3">
        <f t="shared" si="55"/>
        <v>1</v>
      </c>
      <c r="AQ121" s="3">
        <f t="shared" si="56"/>
        <v>1</v>
      </c>
      <c r="AR121" s="3">
        <f t="shared" si="57"/>
        <v>2</v>
      </c>
      <c r="AS121" s="28" t="e">
        <f>#REF!</f>
        <v>#REF!</v>
      </c>
      <c r="AT121" s="28" t="e">
        <f>#REF!*2</f>
        <v>#REF!</v>
      </c>
      <c r="AU121" s="28" t="e">
        <f>#REF!</f>
        <v>#REF!</v>
      </c>
      <c r="AV121" s="28" t="e">
        <f>#REF!*2</f>
        <v>#REF!</v>
      </c>
      <c r="AW121" s="28" t="e">
        <f>#REF!</f>
        <v>#REF!</v>
      </c>
      <c r="AX121" s="28" t="e">
        <f>#REF!*2</f>
        <v>#REF!</v>
      </c>
      <c r="AY121" s="28" t="e">
        <f>#REF!</f>
        <v>#REF!</v>
      </c>
      <c r="AZ121" s="28" t="e">
        <f>#REF!*2</f>
        <v>#REF!</v>
      </c>
      <c r="BA121" s="28" t="e">
        <f>#REF!</f>
        <v>#REF!</v>
      </c>
      <c r="BB121" s="28" t="e">
        <f>#REF!*2</f>
        <v>#REF!</v>
      </c>
      <c r="BC121" s="28" t="e">
        <f>#REF!</f>
        <v>#REF!</v>
      </c>
      <c r="BD121" s="28" t="e">
        <f>#REF!*2</f>
        <v>#REF!</v>
      </c>
      <c r="BE121" s="9" t="e">
        <f>#REF!-#REF!</f>
        <v>#REF!</v>
      </c>
      <c r="BF121" s="9" t="e">
        <f>#REF!-#REF!</f>
        <v>#REF!</v>
      </c>
      <c r="BG121" s="9" t="e">
        <f>#REF!-#REF!</f>
        <v>#REF!</v>
      </c>
      <c r="BH121" s="9" t="e">
        <f>#REF!-#REF!</f>
        <v>#REF!</v>
      </c>
      <c r="BI121" s="9" t="e">
        <f>#REF!-#REF!</f>
        <v>#REF!</v>
      </c>
      <c r="BJ121" s="33"/>
      <c r="BK121" s="3">
        <f t="shared" si="58"/>
        <v>1</v>
      </c>
      <c r="BL121" s="3">
        <f t="shared" si="59"/>
        <v>1</v>
      </c>
      <c r="BM121" s="3">
        <f t="shared" si="60"/>
        <v>1</v>
      </c>
      <c r="BN121" s="3">
        <f t="shared" si="61"/>
        <v>2</v>
      </c>
      <c r="BO121" s="3">
        <f t="shared" si="62"/>
        <v>1</v>
      </c>
      <c r="BP121" s="28" t="e">
        <f>#REF!</f>
        <v>#REF!</v>
      </c>
      <c r="BQ121" s="28" t="e">
        <f>#REF!*2</f>
        <v>#REF!</v>
      </c>
      <c r="BR121" s="28" t="e">
        <f>#REF!</f>
        <v>#REF!</v>
      </c>
      <c r="BS121" s="28" t="e">
        <f>#REF!*2</f>
        <v>#REF!</v>
      </c>
      <c r="BT121" s="28" t="e">
        <f>#REF!</f>
        <v>#REF!</v>
      </c>
      <c r="BU121" s="28" t="e">
        <f>#REF!*2</f>
        <v>#REF!</v>
      </c>
      <c r="BV121" s="28" t="e">
        <f>#REF!</f>
        <v>#REF!</v>
      </c>
      <c r="BW121" s="28" t="e">
        <f>#REF!*2</f>
        <v>#REF!</v>
      </c>
      <c r="BX121" s="28" t="e">
        <f>#REF!</f>
        <v>#REF!</v>
      </c>
      <c r="BY121" s="28" t="e">
        <f>#REF!*2</f>
        <v>#REF!</v>
      </c>
      <c r="BZ121" s="28" t="e">
        <f>#REF!</f>
        <v>#REF!</v>
      </c>
      <c r="CA121" s="28" t="e">
        <f>#REF!*2</f>
        <v>#REF!</v>
      </c>
      <c r="CB121" s="9">
        <f t="shared" si="63"/>
        <v>7</v>
      </c>
      <c r="CC121" s="9">
        <f t="shared" si="64"/>
        <v>9</v>
      </c>
      <c r="CD121" s="9">
        <f t="shared" si="65"/>
        <v>12</v>
      </c>
      <c r="CE121" s="9">
        <f t="shared" si="66"/>
        <v>4</v>
      </c>
      <c r="CF121" s="9">
        <f t="shared" si="67"/>
        <v>3</v>
      </c>
      <c r="CG121" s="33"/>
      <c r="CH121" s="9">
        <f t="shared" si="68"/>
        <v>7</v>
      </c>
      <c r="CI121" s="9">
        <f t="shared" si="69"/>
        <v>9</v>
      </c>
      <c r="CJ121" s="9">
        <f t="shared" si="70"/>
        <v>12</v>
      </c>
      <c r="CK121" s="9">
        <f t="shared" si="71"/>
        <v>4</v>
      </c>
      <c r="CL121" s="9">
        <f t="shared" si="72"/>
        <v>3</v>
      </c>
      <c r="CM121" s="32"/>
      <c r="CN121" s="3">
        <f t="shared" si="73"/>
        <v>1</v>
      </c>
      <c r="CO121" s="3">
        <f t="shared" si="74"/>
        <v>1</v>
      </c>
      <c r="CP121" s="3">
        <f t="shared" si="75"/>
        <v>2</v>
      </c>
      <c r="CQ121" s="3">
        <f t="shared" si="76"/>
        <v>2</v>
      </c>
      <c r="CR121" s="3">
        <f t="shared" si="77"/>
        <v>1</v>
      </c>
      <c r="CS121" s="31"/>
      <c r="CT121" s="3" cm="1">
        <f t="array" ref="CT121">SUMPRODUCT(--(MOD(CH121:CL121,2)=1))</f>
        <v>3</v>
      </c>
      <c r="CU121" s="3">
        <f t="shared" si="78"/>
        <v>2</v>
      </c>
      <c r="CV121" s="30"/>
      <c r="CW121" s="3" cm="1">
        <f t="array" ref="CW121">SUMPRODUCT(--(MOD(CH121:CL121,10)&gt;=1), --(MOD(CH121:CL121,10)&lt;=5))</f>
        <v>3</v>
      </c>
      <c r="CX121" s="3">
        <f t="shared" si="79"/>
        <v>2</v>
      </c>
      <c r="CY121" s="30"/>
      <c r="CZ121" s="3" cm="1">
        <f t="array" ref="CZ121">IFERROR(COUNT(_xlfn._xlws.FILTER(CH121:CL121, ISNUMBER(MATCH(CH121:CL121, {2,3,5,7,11,13,17,19,23,29,31,37,41,43}, 0)))), 0)</f>
        <v>2</v>
      </c>
      <c r="DA121" s="3" cm="1">
        <f t="array" ref="DA121">IFERROR(COUNT(_xlfn._xlws.FILTER(CH121:CL121, ISNUMBER(MATCH(CH121:CL121, {1,4,8,10,14,16,20,22,25,26,28,32,34,35,38,40,44}, 0)))), 0)</f>
        <v>1</v>
      </c>
      <c r="DB121" s="3" cm="1">
        <f t="array" ref="DB121">IFERROR(COUNT(_xlfn._xlws.FILTER(CH121:CL121, ISNUMBER(MATCH(CH121:CL121, {6,9,12,15,18,21,24,27,30,33,36,39,42,45}, 0)))), 0)</f>
        <v>2</v>
      </c>
      <c r="DC121" s="29"/>
      <c r="DD121" s="28" t="e">
        <f>#REF!</f>
        <v>#REF!</v>
      </c>
      <c r="DE121" s="28" t="e">
        <f>#REF!*2</f>
        <v>#REF!</v>
      </c>
      <c r="DF121" s="28" t="e">
        <f>#REF!</f>
        <v>#REF!</v>
      </c>
      <c r="DG121" s="28" t="e">
        <f>#REF!*2</f>
        <v>#REF!</v>
      </c>
      <c r="DH121" s="28" t="e">
        <f>#REF!</f>
        <v>#REF!</v>
      </c>
      <c r="DI121" s="28" t="e">
        <f>#REF!*2</f>
        <v>#REF!</v>
      </c>
      <c r="DJ121" s="28" t="e">
        <f>#REF!</f>
        <v>#REF!</v>
      </c>
      <c r="DK121" s="28" t="e">
        <f>#REF!*2</f>
        <v>#REF!</v>
      </c>
      <c r="DL121" s="28" t="e">
        <f>#REF!</f>
        <v>#REF!</v>
      </c>
      <c r="DM121" s="28" t="e">
        <f>#REF!*2</f>
        <v>#REF!</v>
      </c>
      <c r="DN121" s="27"/>
      <c r="DO121" s="26" t="str" cm="1">
        <f t="array" ref="DO121">_xlfn.IFS(
   OR(CH121="",ISBLANK(CH121),CH121=0),0,
   ISNUMBER(MATCH(CH121,{2,3,5,7,11,13,17,19,23,29,31,37,41,43},0)),"소",
   AND(ISNUMBER(CH121),MOD(CH121,3)=0),"배",
   AND(ISNUMBER(CH121),CH121&gt;0),"자"
)</f>
        <v>소</v>
      </c>
      <c r="DP121" s="26" t="str" cm="1">
        <f t="array" ref="DP121">_xlfn.IFS(
   OR(CI121="",ISBLANK(CI121),CI121=0),0,
   ISNUMBER(MATCH(CI121,{2,3,5,7,11,13,17,19,23,29,31,37,41,43},0)),"소",
   AND(ISNUMBER(CI121),MOD(CI121,3)=0),"배",
   AND(ISNUMBER(CI121),CI121&gt;0),"자"
)</f>
        <v>배</v>
      </c>
      <c r="DQ121" s="26" t="str" cm="1">
        <f t="array" ref="DQ121">_xlfn.IFS(
   OR(CJ121="",ISBLANK(CJ121),CJ121=0),0,
   ISNUMBER(MATCH(CJ121,{2,3,5,7,11,13,17,19,23,29,31,37,41,43},0)),"소",
   AND(ISNUMBER(CJ121),MOD(CJ121,3)=0),"배",
   AND(ISNUMBER(CJ121),CJ121&gt;0),"자"
)</f>
        <v>배</v>
      </c>
      <c r="DR121" s="26" t="str" cm="1">
        <f t="array" ref="DR121">_xlfn.IFS(
   OR(CK121="",ISBLANK(CK121),CK121=0),0,
   ISNUMBER(MATCH(CK121,{2,3,5,7,11,13,17,19,23,29,31,37,41,43},0)),"소",
   AND(ISNUMBER(CK121),MOD(CK121,3)=0),"배",
   AND(ISNUMBER(CK121),CK121&gt;0),"자"
)</f>
        <v>자</v>
      </c>
      <c r="DS121" s="26" t="str" cm="1">
        <f t="array" ref="DS121">_xlfn.IFS(
   OR(CL121="",ISBLANK(CL121),CL121=0),0,
   ISNUMBER(MATCH(CL121,{2,3,5,7,11,13,17,19,23,29,31,37,41,43},0)),"소",
   AND(ISNUMBER(CL121),MOD(CL121,3)=0),"배",
   AND(ISNUMBER(CL121),CL121&gt;0),"자"
)</f>
        <v>소</v>
      </c>
      <c r="DT121" s="25"/>
    </row>
    <row r="122" spans="2:124" ht="14.25" thickBot="1" x14ac:dyDescent="0.35">
      <c r="B122" s="3">
        <v>3</v>
      </c>
      <c r="C122" s="3">
        <v>6</v>
      </c>
      <c r="D122" s="3">
        <v>18</v>
      </c>
      <c r="E122" s="3">
        <v>29</v>
      </c>
      <c r="F122" s="3">
        <v>35</v>
      </c>
      <c r="G122" s="3">
        <v>39</v>
      </c>
      <c r="H122" s="32"/>
      <c r="I122" s="3">
        <f t="shared" si="40"/>
        <v>1</v>
      </c>
      <c r="J122" s="3">
        <f t="shared" si="41"/>
        <v>2</v>
      </c>
      <c r="K122" s="3">
        <f t="shared" si="42"/>
        <v>2</v>
      </c>
      <c r="L122" s="3">
        <f t="shared" si="43"/>
        <v>1</v>
      </c>
      <c r="M122" s="3">
        <f t="shared" si="44"/>
        <v>1</v>
      </c>
      <c r="N122" s="3">
        <f t="shared" si="45"/>
        <v>1</v>
      </c>
      <c r="O122" s="32"/>
      <c r="P122" s="3" cm="1">
        <f t="array" ref="P122">SUMPRODUCT(--(MOD(B122:G122,2)=1))</f>
        <v>4</v>
      </c>
      <c r="Q122" s="3">
        <f t="shared" si="46"/>
        <v>2</v>
      </c>
      <c r="R122" s="34"/>
      <c r="S122" s="3">
        <f t="shared" si="47"/>
        <v>3</v>
      </c>
      <c r="T122" s="3">
        <f t="shared" si="48"/>
        <v>3</v>
      </c>
      <c r="U122" s="34"/>
      <c r="V122" s="3" cm="1">
        <f t="array" ref="V122">SUMPRODUCT(--(MOD(B122:G122,10)&gt;=1), --(MOD(B122:G122,10)&lt;=5))</f>
        <v>2</v>
      </c>
      <c r="W122" s="3">
        <f t="shared" si="49"/>
        <v>4</v>
      </c>
      <c r="X122" s="34"/>
      <c r="Y122" s="3" cm="1">
        <f t="array" ref="Y122">IFERROR(COUNT(_xlfn._xlws.FILTER(B122:G122, ISNUMBER(MATCH(B122:G122, {2,3,5,7,11,13,17,19,23,29,31,37,41,43}, 0)))), 0)</f>
        <v>2</v>
      </c>
      <c r="Z122" s="3" cm="1">
        <f t="array" ref="Z122">IFERROR(COUNT(_xlfn._xlws.FILTER(B122:G122, ISNUMBER(MATCH(B122:G122, {1,4,8,10,14,16,20,22,25,26,28,32,34,35,38,40,44}, 0)))), 0)</f>
        <v>1</v>
      </c>
      <c r="AA122" s="3" cm="1">
        <f t="array" ref="AA122">IFERROR(COUNT(_xlfn._xlws.FILTER(B122:G122, ISNUMBER(MATCH(B122:G122, {6,9,12,15,18,21,24,27,30,33,36,39,42,45}, 0)))), 0)</f>
        <v>3</v>
      </c>
      <c r="AB122" s="30"/>
      <c r="AC122" s="26" t="str" cm="1">
        <f t="array" ref="AC122">_xlfn.IFS(
   OR(B122="",ISBLANK(B122),B122=0),0,
   ISNUMBER(MATCH(B122,{2,3,5,7,11,13,17,19,23,29,31,37,41,43},0)),"소",
   AND(ISNUMBER(B122),MOD(B122,3)=0),"배",
   AND(ISNUMBER(B122),B122&gt;0),"자"
)</f>
        <v>소</v>
      </c>
      <c r="AD122" s="38" t="str" cm="1">
        <f t="array" ref="AD122">_xlfn.IFS(
   OR(C122="",ISBLANK(C122),C122=0),0,
   ISNUMBER(MATCH(C122,{2,3,5,7,11,13,17,19,23,29,31,37,41,43},0)),"소",
   AND(ISNUMBER(C122),MOD(C122,3)=0),"배",
   AND(ISNUMBER(C122),C122&gt;0),"자"
)</f>
        <v>배</v>
      </c>
      <c r="AE122" s="36" t="str" cm="1">
        <f t="array" ref="AE122">_xlfn.IFS(
   OR(D122="",ISBLANK(D122),D122=0),0,
   ISNUMBER(MATCH(D122,{2,3,5,7,11,13,17,19,23,29,31,37,41,43},0)),"소",
   AND(ISNUMBER(D122),MOD(D122,3)=0),"배",
   AND(ISNUMBER(D122),D122&gt;0),"자"
)</f>
        <v>배</v>
      </c>
      <c r="AF122" s="26" t="str" cm="1">
        <f t="array" ref="AF122">_xlfn.IFS(
   OR(E122="",ISBLANK(E122),E122=0),0,
   ISNUMBER(MATCH(E122,{2,3,5,7,11,13,17,19,23,29,31,37,41,43},0)),"소",
   AND(ISNUMBER(E122),MOD(E122,3)=0),"배",
   AND(ISNUMBER(E122),E122&gt;0),"자"
)</f>
        <v>소</v>
      </c>
      <c r="AG122" s="26" t="str" cm="1">
        <f t="array" ref="AG122">_xlfn.IFS(
   OR(F122="",ISBLANK(F122),F122=0),0,
   ISNUMBER(MATCH(F122,{2,3,5,7,11,13,17,19,23,29,31,37,41,43},0)),"소",
   AND(ISNUMBER(F122),MOD(F122,3)=0),"배",
   AND(ISNUMBER(F122),F122&gt;0),"자"
)</f>
        <v>자</v>
      </c>
      <c r="AH122" s="26" t="str" cm="1">
        <f t="array" ref="AH122">_xlfn.IFS(
   OR(G122="",ISBLANK(G122),G122=0),0,
   ISNUMBER(MATCH(G122,{2,3,5,7,11,13,17,19,23,29,31,37,41,43},0)),"소",
   AND(ISNUMBER(G122),MOD(G122,3)=0),"배",
   AND(ISNUMBER(G122),G122&gt;0),"자"
)</f>
        <v>배</v>
      </c>
      <c r="AI122" s="30"/>
      <c r="AJ122" s="3">
        <f t="shared" si="50"/>
        <v>2</v>
      </c>
      <c r="AK122" s="3">
        <f t="shared" si="51"/>
        <v>2</v>
      </c>
      <c r="AL122" s="3">
        <f t="shared" si="52"/>
        <v>2</v>
      </c>
      <c r="AM122" s="33"/>
      <c r="AN122" s="3">
        <f t="shared" si="53"/>
        <v>2</v>
      </c>
      <c r="AO122" s="3">
        <f t="shared" si="54"/>
        <v>1</v>
      </c>
      <c r="AP122" s="3">
        <f t="shared" si="55"/>
        <v>0</v>
      </c>
      <c r="AQ122" s="3">
        <f t="shared" si="56"/>
        <v>2</v>
      </c>
      <c r="AR122" s="3">
        <f t="shared" si="57"/>
        <v>1</v>
      </c>
      <c r="AS122" s="28" t="e">
        <f>#REF!</f>
        <v>#REF!</v>
      </c>
      <c r="AT122" s="28" t="e">
        <f>#REF!*2</f>
        <v>#REF!</v>
      </c>
      <c r="AU122" s="28" t="e">
        <f>#REF!</f>
        <v>#REF!</v>
      </c>
      <c r="AV122" s="28" t="e">
        <f>#REF!*2</f>
        <v>#REF!</v>
      </c>
      <c r="AW122" s="28" t="e">
        <f>#REF!</f>
        <v>#REF!</v>
      </c>
      <c r="AX122" s="28" t="e">
        <f>#REF!*2</f>
        <v>#REF!</v>
      </c>
      <c r="AY122" s="28" t="e">
        <f>#REF!</f>
        <v>#REF!</v>
      </c>
      <c r="AZ122" s="28" t="e">
        <f>#REF!*2</f>
        <v>#REF!</v>
      </c>
      <c r="BA122" s="28" t="e">
        <f>#REF!</f>
        <v>#REF!</v>
      </c>
      <c r="BB122" s="28" t="e">
        <f>#REF!*2</f>
        <v>#REF!</v>
      </c>
      <c r="BC122" s="28" t="e">
        <f>#REF!</f>
        <v>#REF!</v>
      </c>
      <c r="BD122" s="28" t="e">
        <f>#REF!*2</f>
        <v>#REF!</v>
      </c>
      <c r="BE122" s="9" t="e">
        <f>#REF!-#REF!</f>
        <v>#REF!</v>
      </c>
      <c r="BF122" s="9" t="e">
        <f>#REF!-#REF!</f>
        <v>#REF!</v>
      </c>
      <c r="BG122" s="9" t="e">
        <f>#REF!-#REF!</f>
        <v>#REF!</v>
      </c>
      <c r="BH122" s="9" t="e">
        <f>#REF!-#REF!</f>
        <v>#REF!</v>
      </c>
      <c r="BI122" s="9" t="e">
        <f>#REF!-#REF!</f>
        <v>#REF!</v>
      </c>
      <c r="BJ122" s="33"/>
      <c r="BK122" s="3">
        <f t="shared" si="58"/>
        <v>2</v>
      </c>
      <c r="BL122" s="3">
        <f t="shared" si="59"/>
        <v>1</v>
      </c>
      <c r="BM122" s="3">
        <f t="shared" si="60"/>
        <v>1</v>
      </c>
      <c r="BN122" s="3">
        <f t="shared" si="61"/>
        <v>2</v>
      </c>
      <c r="BO122" s="3">
        <f t="shared" si="62"/>
        <v>0</v>
      </c>
      <c r="BP122" s="28" t="e">
        <f>#REF!</f>
        <v>#REF!</v>
      </c>
      <c r="BQ122" s="28" t="e">
        <f>#REF!*2</f>
        <v>#REF!</v>
      </c>
      <c r="BR122" s="28" t="e">
        <f>#REF!</f>
        <v>#REF!</v>
      </c>
      <c r="BS122" s="28" t="e">
        <f>#REF!*2</f>
        <v>#REF!</v>
      </c>
      <c r="BT122" s="28" t="e">
        <f>#REF!</f>
        <v>#REF!</v>
      </c>
      <c r="BU122" s="28" t="e">
        <f>#REF!*2</f>
        <v>#REF!</v>
      </c>
      <c r="BV122" s="28" t="e">
        <f>#REF!</f>
        <v>#REF!</v>
      </c>
      <c r="BW122" s="28" t="e">
        <f>#REF!*2</f>
        <v>#REF!</v>
      </c>
      <c r="BX122" s="28" t="e">
        <f>#REF!</f>
        <v>#REF!</v>
      </c>
      <c r="BY122" s="28" t="e">
        <f>#REF!*2</f>
        <v>#REF!</v>
      </c>
      <c r="BZ122" s="28" t="e">
        <f>#REF!</f>
        <v>#REF!</v>
      </c>
      <c r="CA122" s="28" t="e">
        <f>#REF!*2</f>
        <v>#REF!</v>
      </c>
      <c r="CB122" s="9">
        <f t="shared" si="63"/>
        <v>3</v>
      </c>
      <c r="CC122" s="9">
        <f t="shared" si="64"/>
        <v>12</v>
      </c>
      <c r="CD122" s="9">
        <f t="shared" si="65"/>
        <v>11</v>
      </c>
      <c r="CE122" s="9">
        <f t="shared" si="66"/>
        <v>6</v>
      </c>
      <c r="CF122" s="9">
        <f t="shared" si="67"/>
        <v>4</v>
      </c>
      <c r="CG122" s="33"/>
      <c r="CH122" s="9">
        <f t="shared" si="68"/>
        <v>3</v>
      </c>
      <c r="CI122" s="9">
        <f t="shared" si="69"/>
        <v>12</v>
      </c>
      <c r="CJ122" s="9">
        <f t="shared" si="70"/>
        <v>11</v>
      </c>
      <c r="CK122" s="9">
        <f t="shared" si="71"/>
        <v>6</v>
      </c>
      <c r="CL122" s="9">
        <f t="shared" si="72"/>
        <v>4</v>
      </c>
      <c r="CM122" s="32"/>
      <c r="CN122" s="3">
        <f t="shared" si="73"/>
        <v>1</v>
      </c>
      <c r="CO122" s="3">
        <f t="shared" si="74"/>
        <v>2</v>
      </c>
      <c r="CP122" s="3">
        <f t="shared" si="75"/>
        <v>1</v>
      </c>
      <c r="CQ122" s="3">
        <f t="shared" si="76"/>
        <v>2</v>
      </c>
      <c r="CR122" s="3">
        <f t="shared" si="77"/>
        <v>2</v>
      </c>
      <c r="CS122" s="31"/>
      <c r="CT122" s="3" cm="1">
        <f t="array" ref="CT122">SUMPRODUCT(--(MOD(CH122:CL122,2)=1))</f>
        <v>2</v>
      </c>
      <c r="CU122" s="3">
        <f t="shared" si="78"/>
        <v>3</v>
      </c>
      <c r="CV122" s="30"/>
      <c r="CW122" s="3" cm="1">
        <f t="array" ref="CW122">SUMPRODUCT(--(MOD(CH122:CL122,10)&gt;=1), --(MOD(CH122:CL122,10)&lt;=5))</f>
        <v>4</v>
      </c>
      <c r="CX122" s="3">
        <f t="shared" si="79"/>
        <v>1</v>
      </c>
      <c r="CY122" s="30"/>
      <c r="CZ122" s="3" cm="1">
        <f t="array" ref="CZ122">IFERROR(COUNT(_xlfn._xlws.FILTER(CH122:CL122, ISNUMBER(MATCH(CH122:CL122, {2,3,5,7,11,13,17,19,23,29,31,37,41,43}, 0)))), 0)</f>
        <v>2</v>
      </c>
      <c r="DA122" s="3" cm="1">
        <f t="array" ref="DA122">IFERROR(COUNT(_xlfn._xlws.FILTER(CH122:CL122, ISNUMBER(MATCH(CH122:CL122, {1,4,8,10,14,16,20,22,25,26,28,32,34,35,38,40,44}, 0)))), 0)</f>
        <v>1</v>
      </c>
      <c r="DB122" s="3" cm="1">
        <f t="array" ref="DB122">IFERROR(COUNT(_xlfn._xlws.FILTER(CH122:CL122, ISNUMBER(MATCH(CH122:CL122, {6,9,12,15,18,21,24,27,30,33,36,39,42,45}, 0)))), 0)</f>
        <v>2</v>
      </c>
      <c r="DC122" s="29"/>
      <c r="DD122" s="28" t="e">
        <f>#REF!</f>
        <v>#REF!</v>
      </c>
      <c r="DE122" s="28" t="e">
        <f>#REF!*2</f>
        <v>#REF!</v>
      </c>
      <c r="DF122" s="28" t="e">
        <f>#REF!</f>
        <v>#REF!</v>
      </c>
      <c r="DG122" s="28" t="e">
        <f>#REF!*2</f>
        <v>#REF!</v>
      </c>
      <c r="DH122" s="28" t="e">
        <f>#REF!</f>
        <v>#REF!</v>
      </c>
      <c r="DI122" s="28" t="e">
        <f>#REF!*2</f>
        <v>#REF!</v>
      </c>
      <c r="DJ122" s="28" t="e">
        <f>#REF!</f>
        <v>#REF!</v>
      </c>
      <c r="DK122" s="28" t="e">
        <f>#REF!*2</f>
        <v>#REF!</v>
      </c>
      <c r="DL122" s="28" t="e">
        <f>#REF!</f>
        <v>#REF!</v>
      </c>
      <c r="DM122" s="28" t="e">
        <f>#REF!*2</f>
        <v>#REF!</v>
      </c>
      <c r="DN122" s="27"/>
      <c r="DO122" s="26" t="str" cm="1">
        <f t="array" ref="DO122">_xlfn.IFS(
   OR(CH122="",ISBLANK(CH122),CH122=0),0,
   ISNUMBER(MATCH(CH122,{2,3,5,7,11,13,17,19,23,29,31,37,41,43},0)),"소",
   AND(ISNUMBER(CH122),MOD(CH122,3)=0),"배",
   AND(ISNUMBER(CH122),CH122&gt;0),"자"
)</f>
        <v>소</v>
      </c>
      <c r="DP122" s="26" t="str" cm="1">
        <f t="array" ref="DP122">_xlfn.IFS(
   OR(CI122="",ISBLANK(CI122),CI122=0),0,
   ISNUMBER(MATCH(CI122,{2,3,5,7,11,13,17,19,23,29,31,37,41,43},0)),"소",
   AND(ISNUMBER(CI122),MOD(CI122,3)=0),"배",
   AND(ISNUMBER(CI122),CI122&gt;0),"자"
)</f>
        <v>배</v>
      </c>
      <c r="DQ122" s="26" t="str" cm="1">
        <f t="array" ref="DQ122">_xlfn.IFS(
   OR(CJ122="",ISBLANK(CJ122),CJ122=0),0,
   ISNUMBER(MATCH(CJ122,{2,3,5,7,11,13,17,19,23,29,31,37,41,43},0)),"소",
   AND(ISNUMBER(CJ122),MOD(CJ122,3)=0),"배",
   AND(ISNUMBER(CJ122),CJ122&gt;0),"자"
)</f>
        <v>소</v>
      </c>
      <c r="DR122" s="26" t="str" cm="1">
        <f t="array" ref="DR122">_xlfn.IFS(
   OR(CK122="",ISBLANK(CK122),CK122=0),0,
   ISNUMBER(MATCH(CK122,{2,3,5,7,11,13,17,19,23,29,31,37,41,43},0)),"소",
   AND(ISNUMBER(CK122),MOD(CK122,3)=0),"배",
   AND(ISNUMBER(CK122),CK122&gt;0),"자"
)</f>
        <v>배</v>
      </c>
      <c r="DS122" s="26" t="str" cm="1">
        <f t="array" ref="DS122">_xlfn.IFS(
   OR(CL122="",ISBLANK(CL122),CL122=0),0,
   ISNUMBER(MATCH(CL122,{2,3,5,7,11,13,17,19,23,29,31,37,41,43},0)),"소",
   AND(ISNUMBER(CL122),MOD(CL122,3)=0),"배",
   AND(ISNUMBER(CL122),CL122&gt;0),"자"
)</f>
        <v>자</v>
      </c>
      <c r="DT122" s="25"/>
    </row>
    <row r="123" spans="2:124" x14ac:dyDescent="0.3">
      <c r="B123" s="3">
        <v>8</v>
      </c>
      <c r="C123" s="3">
        <v>16</v>
      </c>
      <c r="D123" s="3">
        <v>28</v>
      </c>
      <c r="E123" s="3">
        <v>30</v>
      </c>
      <c r="F123" s="3">
        <v>31</v>
      </c>
      <c r="G123" s="3">
        <v>44</v>
      </c>
      <c r="H123" s="32"/>
      <c r="I123" s="3">
        <f t="shared" si="40"/>
        <v>2</v>
      </c>
      <c r="J123" s="3">
        <f t="shared" si="41"/>
        <v>2</v>
      </c>
      <c r="K123" s="3">
        <f t="shared" si="42"/>
        <v>2</v>
      </c>
      <c r="L123" s="3">
        <f t="shared" si="43"/>
        <v>2</v>
      </c>
      <c r="M123" s="3">
        <f t="shared" si="44"/>
        <v>1</v>
      </c>
      <c r="N123" s="3">
        <f t="shared" si="45"/>
        <v>2</v>
      </c>
      <c r="O123" s="32"/>
      <c r="P123" s="3" cm="1">
        <f t="array" ref="P123">SUMPRODUCT(--(MOD(B123:G123,2)=1))</f>
        <v>1</v>
      </c>
      <c r="Q123" s="3">
        <f t="shared" si="46"/>
        <v>5</v>
      </c>
      <c r="R123" s="34"/>
      <c r="S123" s="3">
        <f t="shared" si="47"/>
        <v>2</v>
      </c>
      <c r="T123" s="3">
        <f t="shared" si="48"/>
        <v>4</v>
      </c>
      <c r="U123" s="34"/>
      <c r="V123" s="3" cm="1">
        <f t="array" ref="V123">SUMPRODUCT(--(MOD(B123:G123,10)&gt;=1), --(MOD(B123:G123,10)&lt;=5))</f>
        <v>2</v>
      </c>
      <c r="W123" s="3">
        <f t="shared" si="49"/>
        <v>4</v>
      </c>
      <c r="X123" s="34"/>
      <c r="Y123" s="3" cm="1">
        <f t="array" ref="Y123">IFERROR(COUNT(_xlfn._xlws.FILTER(B123:G123, ISNUMBER(MATCH(B123:G123, {2,3,5,7,11,13,17,19,23,29,31,37,41,43}, 0)))), 0)</f>
        <v>1</v>
      </c>
      <c r="Z123" s="3" cm="1">
        <f t="array" ref="Z123">IFERROR(COUNT(_xlfn._xlws.FILTER(B123:G123, ISNUMBER(MATCH(B123:G123, {1,4,8,10,14,16,20,22,25,26,28,32,34,35,38,40,44}, 0)))), 0)</f>
        <v>4</v>
      </c>
      <c r="AA123" s="3" cm="1">
        <f t="array" ref="AA123">IFERROR(COUNT(_xlfn._xlws.FILTER(B123:G123, ISNUMBER(MATCH(B123:G123, {6,9,12,15,18,21,24,27,30,33,36,39,42,45}, 0)))), 0)</f>
        <v>1</v>
      </c>
      <c r="AB123" s="30"/>
      <c r="AC123" s="45" t="str" cm="1">
        <f t="array" ref="AC123">_xlfn.IFS(
   OR(B123="",ISBLANK(B123),B123=0),0,
   ISNUMBER(MATCH(B123,{2,3,5,7,11,13,17,19,23,29,31,37,41,43},0)),"소",
   AND(ISNUMBER(B123),MOD(B123,3)=0),"배",
   AND(ISNUMBER(B123),B123&gt;0),"자"
)</f>
        <v>자</v>
      </c>
      <c r="AD123" s="26" t="str" cm="1">
        <f t="array" ref="AD123">_xlfn.IFS(
   OR(C123="",ISBLANK(C123),C123=0),0,
   ISNUMBER(MATCH(C123,{2,3,5,7,11,13,17,19,23,29,31,37,41,43},0)),"소",
   AND(ISNUMBER(C123),MOD(C123,3)=0),"배",
   AND(ISNUMBER(C123),C123&gt;0),"자"
)</f>
        <v>자</v>
      </c>
      <c r="AE123" s="26" t="str" cm="1">
        <f t="array" ref="AE123">_xlfn.IFS(
   OR(D123="",ISBLANK(D123),D123=0),0,
   ISNUMBER(MATCH(D123,{2,3,5,7,11,13,17,19,23,29,31,37,41,43},0)),"소",
   AND(ISNUMBER(D123),MOD(D123,3)=0),"배",
   AND(ISNUMBER(D123),D123&gt;0),"자"
)</f>
        <v>자</v>
      </c>
      <c r="AF123" s="26" t="str" cm="1">
        <f t="array" ref="AF123">_xlfn.IFS(
   OR(E123="",ISBLANK(E123),E123=0),0,
   ISNUMBER(MATCH(E123,{2,3,5,7,11,13,17,19,23,29,31,37,41,43},0)),"소",
   AND(ISNUMBER(E123),MOD(E123,3)=0),"배",
   AND(ISNUMBER(E123),E123&gt;0),"자"
)</f>
        <v>배</v>
      </c>
      <c r="AG123" s="26" t="str" cm="1">
        <f t="array" ref="AG123">_xlfn.IFS(
   OR(F123="",ISBLANK(F123),F123=0),0,
   ISNUMBER(MATCH(F123,{2,3,5,7,11,13,17,19,23,29,31,37,41,43},0)),"소",
   AND(ISNUMBER(F123),MOD(F123,3)=0),"배",
   AND(ISNUMBER(F123),F123&gt;0),"자"
)</f>
        <v>소</v>
      </c>
      <c r="AH123" s="26" t="str" cm="1">
        <f t="array" ref="AH123">_xlfn.IFS(
   OR(G123="",ISBLANK(G123),G123=0),0,
   ISNUMBER(MATCH(G123,{2,3,5,7,11,13,17,19,23,29,31,37,41,43},0)),"소",
   AND(ISNUMBER(G123),MOD(G123,3)=0),"배",
   AND(ISNUMBER(G123),G123&gt;0),"자"
)</f>
        <v>자</v>
      </c>
      <c r="AI123" s="30"/>
      <c r="AJ123" s="3">
        <f t="shared" si="50"/>
        <v>1</v>
      </c>
      <c r="AK123" s="3">
        <f t="shared" si="51"/>
        <v>4</v>
      </c>
      <c r="AL123" s="3">
        <f t="shared" si="52"/>
        <v>1</v>
      </c>
      <c r="AM123" s="33"/>
      <c r="AN123" s="3">
        <f t="shared" si="53"/>
        <v>1</v>
      </c>
      <c r="AO123" s="3">
        <f t="shared" si="54"/>
        <v>1</v>
      </c>
      <c r="AP123" s="3">
        <f t="shared" si="55"/>
        <v>0</v>
      </c>
      <c r="AQ123" s="3">
        <f t="shared" si="56"/>
        <v>3</v>
      </c>
      <c r="AR123" s="3">
        <f t="shared" si="57"/>
        <v>1</v>
      </c>
      <c r="AS123" s="28" t="e">
        <f>#REF!</f>
        <v>#REF!</v>
      </c>
      <c r="AT123" s="28" t="e">
        <f>#REF!*2</f>
        <v>#REF!</v>
      </c>
      <c r="AU123" s="28" t="e">
        <f>#REF!</f>
        <v>#REF!</v>
      </c>
      <c r="AV123" s="28" t="e">
        <f>#REF!*2</f>
        <v>#REF!</v>
      </c>
      <c r="AW123" s="28" t="e">
        <f>#REF!</f>
        <v>#REF!</v>
      </c>
      <c r="AX123" s="28" t="e">
        <f>#REF!*2</f>
        <v>#REF!</v>
      </c>
      <c r="AY123" s="28" t="e">
        <f>#REF!</f>
        <v>#REF!</v>
      </c>
      <c r="AZ123" s="28" t="e">
        <f>#REF!*2</f>
        <v>#REF!</v>
      </c>
      <c r="BA123" s="28" t="e">
        <f>#REF!</f>
        <v>#REF!</v>
      </c>
      <c r="BB123" s="28" t="e">
        <f>#REF!*2</f>
        <v>#REF!</v>
      </c>
      <c r="BC123" s="28" t="e">
        <f>#REF!</f>
        <v>#REF!</v>
      </c>
      <c r="BD123" s="28" t="e">
        <f>#REF!*2</f>
        <v>#REF!</v>
      </c>
      <c r="BE123" s="9" t="e">
        <f>#REF!-#REF!</f>
        <v>#REF!</v>
      </c>
      <c r="BF123" s="9" t="e">
        <f>#REF!-#REF!</f>
        <v>#REF!</v>
      </c>
      <c r="BG123" s="9" t="e">
        <f>#REF!-#REF!</f>
        <v>#REF!</v>
      </c>
      <c r="BH123" s="9" t="e">
        <f>#REF!-#REF!</f>
        <v>#REF!</v>
      </c>
      <c r="BI123" s="9" t="e">
        <f>#REF!-#REF!</f>
        <v>#REF!</v>
      </c>
      <c r="BJ123" s="33"/>
      <c r="BK123" s="3">
        <f t="shared" si="58"/>
        <v>1</v>
      </c>
      <c r="BL123" s="3">
        <f t="shared" si="59"/>
        <v>1</v>
      </c>
      <c r="BM123" s="3">
        <f t="shared" si="60"/>
        <v>1</v>
      </c>
      <c r="BN123" s="3">
        <f t="shared" si="61"/>
        <v>2</v>
      </c>
      <c r="BO123" s="3">
        <f t="shared" si="62"/>
        <v>1</v>
      </c>
      <c r="BP123" s="28" t="e">
        <f>#REF!</f>
        <v>#REF!</v>
      </c>
      <c r="BQ123" s="28" t="e">
        <f>#REF!*2</f>
        <v>#REF!</v>
      </c>
      <c r="BR123" s="28" t="e">
        <f>#REF!</f>
        <v>#REF!</v>
      </c>
      <c r="BS123" s="28" t="e">
        <f>#REF!*2</f>
        <v>#REF!</v>
      </c>
      <c r="BT123" s="28" t="e">
        <f>#REF!</f>
        <v>#REF!</v>
      </c>
      <c r="BU123" s="28" t="e">
        <f>#REF!*2</f>
        <v>#REF!</v>
      </c>
      <c r="BV123" s="28" t="e">
        <f>#REF!</f>
        <v>#REF!</v>
      </c>
      <c r="BW123" s="28" t="e">
        <f>#REF!*2</f>
        <v>#REF!</v>
      </c>
      <c r="BX123" s="28" t="e">
        <f>#REF!</f>
        <v>#REF!</v>
      </c>
      <c r="BY123" s="28" t="e">
        <f>#REF!*2</f>
        <v>#REF!</v>
      </c>
      <c r="BZ123" s="28" t="e">
        <f>#REF!</f>
        <v>#REF!</v>
      </c>
      <c r="CA123" s="28" t="e">
        <f>#REF!*2</f>
        <v>#REF!</v>
      </c>
      <c r="CB123" s="9">
        <f t="shared" si="63"/>
        <v>8</v>
      </c>
      <c r="CC123" s="9">
        <f t="shared" si="64"/>
        <v>12</v>
      </c>
      <c r="CD123" s="9">
        <f t="shared" si="65"/>
        <v>2</v>
      </c>
      <c r="CE123" s="9">
        <f t="shared" si="66"/>
        <v>1</v>
      </c>
      <c r="CF123" s="9">
        <f t="shared" si="67"/>
        <v>13</v>
      </c>
      <c r="CG123" s="33"/>
      <c r="CH123" s="9">
        <f t="shared" si="68"/>
        <v>8</v>
      </c>
      <c r="CI123" s="35">
        <f t="shared" si="69"/>
        <v>12</v>
      </c>
      <c r="CJ123" s="9">
        <f t="shared" si="70"/>
        <v>2</v>
      </c>
      <c r="CK123" s="9">
        <f t="shared" si="71"/>
        <v>1</v>
      </c>
      <c r="CL123" s="9">
        <f t="shared" si="72"/>
        <v>13</v>
      </c>
      <c r="CM123" s="32"/>
      <c r="CN123" s="3">
        <f t="shared" si="73"/>
        <v>2</v>
      </c>
      <c r="CO123" s="3">
        <f t="shared" si="74"/>
        <v>2</v>
      </c>
      <c r="CP123" s="3">
        <f t="shared" si="75"/>
        <v>2</v>
      </c>
      <c r="CQ123" s="3">
        <f t="shared" si="76"/>
        <v>1</v>
      </c>
      <c r="CR123" s="3">
        <f t="shared" si="77"/>
        <v>1</v>
      </c>
      <c r="CS123" s="31"/>
      <c r="CT123" s="3" cm="1">
        <f t="array" ref="CT123">SUMPRODUCT(--(MOD(CH123:CL123,2)=1))</f>
        <v>2</v>
      </c>
      <c r="CU123" s="3">
        <f t="shared" si="78"/>
        <v>3</v>
      </c>
      <c r="CV123" s="30"/>
      <c r="CW123" s="3" cm="1">
        <f t="array" ref="CW123">SUMPRODUCT(--(MOD(CH123:CL123,10)&gt;=1), --(MOD(CH123:CL123,10)&lt;=5))</f>
        <v>4</v>
      </c>
      <c r="CX123" s="3">
        <f t="shared" si="79"/>
        <v>1</v>
      </c>
      <c r="CY123" s="30"/>
      <c r="CZ123" s="3" cm="1">
        <f t="array" ref="CZ123">IFERROR(COUNT(_xlfn._xlws.FILTER(CH123:CL123, ISNUMBER(MATCH(CH123:CL123, {2,3,5,7,11,13,17,19,23,29,31,37,41,43}, 0)))), 0)</f>
        <v>2</v>
      </c>
      <c r="DA123" s="3" cm="1">
        <f t="array" ref="DA123">IFERROR(COUNT(_xlfn._xlws.FILTER(CH123:CL123, ISNUMBER(MATCH(CH123:CL123, {1,4,8,10,14,16,20,22,25,26,28,32,34,35,38,40,44}, 0)))), 0)</f>
        <v>2</v>
      </c>
      <c r="DB123" s="3" cm="1">
        <f t="array" ref="DB123">IFERROR(COUNT(_xlfn._xlws.FILTER(CH123:CL123, ISNUMBER(MATCH(CH123:CL123, {6,9,12,15,18,21,24,27,30,33,36,39,42,45}, 0)))), 0)</f>
        <v>1</v>
      </c>
      <c r="DC123" s="29"/>
      <c r="DD123" s="28" t="e">
        <f>#REF!</f>
        <v>#REF!</v>
      </c>
      <c r="DE123" s="28" t="e">
        <f>#REF!*2</f>
        <v>#REF!</v>
      </c>
      <c r="DF123" s="28" t="e">
        <f>#REF!</f>
        <v>#REF!</v>
      </c>
      <c r="DG123" s="28" t="e">
        <f>#REF!*2</f>
        <v>#REF!</v>
      </c>
      <c r="DH123" s="28" t="e">
        <f>#REF!</f>
        <v>#REF!</v>
      </c>
      <c r="DI123" s="28" t="e">
        <f>#REF!*2</f>
        <v>#REF!</v>
      </c>
      <c r="DJ123" s="28" t="e">
        <f>#REF!</f>
        <v>#REF!</v>
      </c>
      <c r="DK123" s="28" t="e">
        <f>#REF!*2</f>
        <v>#REF!</v>
      </c>
      <c r="DL123" s="28" t="e">
        <f>#REF!</f>
        <v>#REF!</v>
      </c>
      <c r="DM123" s="28" t="e">
        <f>#REF!*2</f>
        <v>#REF!</v>
      </c>
      <c r="DN123" s="27"/>
      <c r="DO123" s="26" t="str" cm="1">
        <f t="array" ref="DO123">_xlfn.IFS(
   OR(CH123="",ISBLANK(CH123),CH123=0),0,
   ISNUMBER(MATCH(CH123,{2,3,5,7,11,13,17,19,23,29,31,37,41,43},0)),"소",
   AND(ISNUMBER(CH123),MOD(CH123,3)=0),"배",
   AND(ISNUMBER(CH123),CH123&gt;0),"자"
)</f>
        <v>자</v>
      </c>
      <c r="DP123" s="26" t="str" cm="1">
        <f t="array" ref="DP123">_xlfn.IFS(
   OR(CI123="",ISBLANK(CI123),CI123=0),0,
   ISNUMBER(MATCH(CI123,{2,3,5,7,11,13,17,19,23,29,31,37,41,43},0)),"소",
   AND(ISNUMBER(CI123),MOD(CI123,3)=0),"배",
   AND(ISNUMBER(CI123),CI123&gt;0),"자"
)</f>
        <v>배</v>
      </c>
      <c r="DQ123" s="26" t="str" cm="1">
        <f t="array" ref="DQ123">_xlfn.IFS(
   OR(CJ123="",ISBLANK(CJ123),CJ123=0),0,
   ISNUMBER(MATCH(CJ123,{2,3,5,7,11,13,17,19,23,29,31,37,41,43},0)),"소",
   AND(ISNUMBER(CJ123),MOD(CJ123,3)=0),"배",
   AND(ISNUMBER(CJ123),CJ123&gt;0),"자"
)</f>
        <v>소</v>
      </c>
      <c r="DR123" s="26" t="str" cm="1">
        <f t="array" ref="DR123">_xlfn.IFS(
   OR(CK123="",ISBLANK(CK123),CK123=0),0,
   ISNUMBER(MATCH(CK123,{2,3,5,7,11,13,17,19,23,29,31,37,41,43},0)),"소",
   AND(ISNUMBER(CK123),MOD(CK123,3)=0),"배",
   AND(ISNUMBER(CK123),CK123&gt;0),"자"
)</f>
        <v>자</v>
      </c>
      <c r="DS123" s="26" t="str" cm="1">
        <f t="array" ref="DS123">_xlfn.IFS(
   OR(CL123="",ISBLANK(CL123),CL123=0),0,
   ISNUMBER(MATCH(CL123,{2,3,5,7,11,13,17,19,23,29,31,37,41,43},0)),"소",
   AND(ISNUMBER(CL123),MOD(CL123,3)=0),"배",
   AND(ISNUMBER(CL123),CL123&gt;0),"자"
)</f>
        <v>소</v>
      </c>
      <c r="DT123" s="25"/>
    </row>
    <row r="124" spans="2:124" ht="14.25" thickBot="1" x14ac:dyDescent="0.35">
      <c r="B124" s="3">
        <v>1</v>
      </c>
      <c r="C124" s="3">
        <v>4</v>
      </c>
      <c r="D124" s="3">
        <v>16</v>
      </c>
      <c r="E124" s="3">
        <v>23</v>
      </c>
      <c r="F124" s="3">
        <v>31</v>
      </c>
      <c r="G124" s="3">
        <v>41</v>
      </c>
      <c r="H124" s="32"/>
      <c r="I124" s="3">
        <f t="shared" si="40"/>
        <v>1</v>
      </c>
      <c r="J124" s="3">
        <f t="shared" si="41"/>
        <v>2</v>
      </c>
      <c r="K124" s="3">
        <f t="shared" si="42"/>
        <v>2</v>
      </c>
      <c r="L124" s="3">
        <f t="shared" si="43"/>
        <v>1</v>
      </c>
      <c r="M124" s="3">
        <f t="shared" si="44"/>
        <v>1</v>
      </c>
      <c r="N124" s="3">
        <f t="shared" si="45"/>
        <v>1</v>
      </c>
      <c r="O124" s="32"/>
      <c r="P124" s="3" cm="1">
        <f t="array" ref="P124">SUMPRODUCT(--(MOD(B124:G124,2)=1))</f>
        <v>4</v>
      </c>
      <c r="Q124" s="3">
        <f t="shared" si="46"/>
        <v>2</v>
      </c>
      <c r="R124" s="34"/>
      <c r="S124" s="3">
        <f t="shared" si="47"/>
        <v>4</v>
      </c>
      <c r="T124" s="3">
        <f t="shared" si="48"/>
        <v>2</v>
      </c>
      <c r="U124" s="34"/>
      <c r="V124" s="3" cm="1">
        <f t="array" ref="V124">SUMPRODUCT(--(MOD(B124:G124,10)&gt;=1), --(MOD(B124:G124,10)&lt;=5))</f>
        <v>5</v>
      </c>
      <c r="W124" s="3">
        <f t="shared" si="49"/>
        <v>1</v>
      </c>
      <c r="X124" s="34"/>
      <c r="Y124" s="3" cm="1">
        <f t="array" ref="Y124">IFERROR(COUNT(_xlfn._xlws.FILTER(B124:G124, ISNUMBER(MATCH(B124:G124, {2,3,5,7,11,13,17,19,23,29,31,37,41,43}, 0)))), 0)</f>
        <v>3</v>
      </c>
      <c r="Z124" s="3" cm="1">
        <f t="array" ref="Z124">IFERROR(COUNT(_xlfn._xlws.FILTER(B124:G124, ISNUMBER(MATCH(B124:G124, {1,4,8,10,14,16,20,22,25,26,28,32,34,35,38,40,44}, 0)))), 0)</f>
        <v>3</v>
      </c>
      <c r="AA124" s="3" cm="1">
        <f t="array" ref="AA124">IFERROR(COUNT(_xlfn._xlws.FILTER(B124:G124, ISNUMBER(MATCH(B124:G124, {6,9,12,15,18,21,24,27,30,33,36,39,42,45}, 0)))), 0)</f>
        <v>0</v>
      </c>
      <c r="AB124" s="30"/>
      <c r="AC124" s="43" t="str" cm="1">
        <f t="array" ref="AC124">_xlfn.IFS(
   OR(B124="",ISBLANK(B124),B124=0),0,
   ISNUMBER(MATCH(B124,{2,3,5,7,11,13,17,19,23,29,31,37,41,43},0)),"소",
   AND(ISNUMBER(B124),MOD(B124,3)=0),"배",
   AND(ISNUMBER(B124),B124&gt;0),"자"
)</f>
        <v>자</v>
      </c>
      <c r="AD124" s="26" t="str" cm="1">
        <f t="array" ref="AD124">_xlfn.IFS(
   OR(C124="",ISBLANK(C124),C124=0),0,
   ISNUMBER(MATCH(C124,{2,3,5,7,11,13,17,19,23,29,31,37,41,43},0)),"소",
   AND(ISNUMBER(C124),MOD(C124,3)=0),"배",
   AND(ISNUMBER(C124),C124&gt;0),"자"
)</f>
        <v>자</v>
      </c>
      <c r="AE124" s="26" t="str" cm="1">
        <f t="array" ref="AE124">_xlfn.IFS(
   OR(D124="",ISBLANK(D124),D124=0),0,
   ISNUMBER(MATCH(D124,{2,3,5,7,11,13,17,19,23,29,31,37,41,43},0)),"소",
   AND(ISNUMBER(D124),MOD(D124,3)=0),"배",
   AND(ISNUMBER(D124),D124&gt;0),"자"
)</f>
        <v>자</v>
      </c>
      <c r="AF124" s="26" t="str" cm="1">
        <f t="array" ref="AF124">_xlfn.IFS(
   OR(E124="",ISBLANK(E124),E124=0),0,
   ISNUMBER(MATCH(E124,{2,3,5,7,11,13,17,19,23,29,31,37,41,43},0)),"소",
   AND(ISNUMBER(E124),MOD(E124,3)=0),"배",
   AND(ISNUMBER(E124),E124&gt;0),"자"
)</f>
        <v>소</v>
      </c>
      <c r="AG124" s="26" t="str" cm="1">
        <f t="array" ref="AG124">_xlfn.IFS(
   OR(F124="",ISBLANK(F124),F124=0),0,
   ISNUMBER(MATCH(F124,{2,3,5,7,11,13,17,19,23,29,31,37,41,43},0)),"소",
   AND(ISNUMBER(F124),MOD(F124,3)=0),"배",
   AND(ISNUMBER(F124),F124&gt;0),"자"
)</f>
        <v>소</v>
      </c>
      <c r="AH124" s="26" t="str" cm="1">
        <f t="array" ref="AH124">_xlfn.IFS(
   OR(G124="",ISBLANK(G124),G124=0),0,
   ISNUMBER(MATCH(G124,{2,3,5,7,11,13,17,19,23,29,31,37,41,43},0)),"소",
   AND(ISNUMBER(G124),MOD(G124,3)=0),"배",
   AND(ISNUMBER(G124),G124&gt;0),"자"
)</f>
        <v>소</v>
      </c>
      <c r="AI124" s="30"/>
      <c r="AJ124" s="3">
        <f t="shared" si="50"/>
        <v>2</v>
      </c>
      <c r="AK124" s="3">
        <f t="shared" si="51"/>
        <v>3</v>
      </c>
      <c r="AL124" s="3">
        <f t="shared" si="52"/>
        <v>1</v>
      </c>
      <c r="AM124" s="33"/>
      <c r="AN124" s="3">
        <f t="shared" si="53"/>
        <v>2</v>
      </c>
      <c r="AO124" s="3">
        <f t="shared" si="54"/>
        <v>1</v>
      </c>
      <c r="AP124" s="3">
        <f t="shared" si="55"/>
        <v>1</v>
      </c>
      <c r="AQ124" s="3">
        <f t="shared" si="56"/>
        <v>1</v>
      </c>
      <c r="AR124" s="3">
        <f t="shared" si="57"/>
        <v>1</v>
      </c>
      <c r="AS124" s="28" t="e">
        <f>#REF!</f>
        <v>#REF!</v>
      </c>
      <c r="AT124" s="28" t="e">
        <f>#REF!*2</f>
        <v>#REF!</v>
      </c>
      <c r="AU124" s="28" t="e">
        <f>#REF!</f>
        <v>#REF!</v>
      </c>
      <c r="AV124" s="28" t="e">
        <f>#REF!*2</f>
        <v>#REF!</v>
      </c>
      <c r="AW124" s="28" t="e">
        <f>#REF!</f>
        <v>#REF!</v>
      </c>
      <c r="AX124" s="28" t="e">
        <f>#REF!*2</f>
        <v>#REF!</v>
      </c>
      <c r="AY124" s="28" t="e">
        <f>#REF!</f>
        <v>#REF!</v>
      </c>
      <c r="AZ124" s="28" t="e">
        <f>#REF!*2</f>
        <v>#REF!</v>
      </c>
      <c r="BA124" s="28" t="e">
        <f>#REF!</f>
        <v>#REF!</v>
      </c>
      <c r="BB124" s="28" t="e">
        <f>#REF!*2</f>
        <v>#REF!</v>
      </c>
      <c r="BC124" s="28" t="e">
        <f>#REF!</f>
        <v>#REF!</v>
      </c>
      <c r="BD124" s="28" t="e">
        <f>#REF!*2</f>
        <v>#REF!</v>
      </c>
      <c r="BE124" s="9" t="e">
        <f>#REF!-#REF!</f>
        <v>#REF!</v>
      </c>
      <c r="BF124" s="9" t="e">
        <f>#REF!-#REF!</f>
        <v>#REF!</v>
      </c>
      <c r="BG124" s="9" t="e">
        <f>#REF!-#REF!</f>
        <v>#REF!</v>
      </c>
      <c r="BH124" s="9" t="e">
        <f>#REF!-#REF!</f>
        <v>#REF!</v>
      </c>
      <c r="BI124" s="9" t="e">
        <f>#REF!-#REF!</f>
        <v>#REF!</v>
      </c>
      <c r="BJ124" s="33"/>
      <c r="BK124" s="3">
        <f t="shared" si="58"/>
        <v>2</v>
      </c>
      <c r="BL124" s="3">
        <f t="shared" si="59"/>
        <v>1</v>
      </c>
      <c r="BM124" s="3">
        <f t="shared" si="60"/>
        <v>1</v>
      </c>
      <c r="BN124" s="3">
        <f t="shared" si="61"/>
        <v>1</v>
      </c>
      <c r="BO124" s="3">
        <f t="shared" si="62"/>
        <v>1</v>
      </c>
      <c r="BP124" s="28" t="e">
        <f>#REF!</f>
        <v>#REF!</v>
      </c>
      <c r="BQ124" s="28" t="e">
        <f>#REF!*2</f>
        <v>#REF!</v>
      </c>
      <c r="BR124" s="28" t="e">
        <f>#REF!</f>
        <v>#REF!</v>
      </c>
      <c r="BS124" s="28" t="e">
        <f>#REF!*2</f>
        <v>#REF!</v>
      </c>
      <c r="BT124" s="28" t="e">
        <f>#REF!</f>
        <v>#REF!</v>
      </c>
      <c r="BU124" s="28" t="e">
        <f>#REF!*2</f>
        <v>#REF!</v>
      </c>
      <c r="BV124" s="28" t="e">
        <f>#REF!</f>
        <v>#REF!</v>
      </c>
      <c r="BW124" s="28" t="e">
        <f>#REF!*2</f>
        <v>#REF!</v>
      </c>
      <c r="BX124" s="28" t="e">
        <f>#REF!</f>
        <v>#REF!</v>
      </c>
      <c r="BY124" s="28" t="e">
        <f>#REF!*2</f>
        <v>#REF!</v>
      </c>
      <c r="BZ124" s="28" t="e">
        <f>#REF!</f>
        <v>#REF!</v>
      </c>
      <c r="CA124" s="28" t="e">
        <f>#REF!*2</f>
        <v>#REF!</v>
      </c>
      <c r="CB124" s="9">
        <f t="shared" si="63"/>
        <v>3</v>
      </c>
      <c r="CC124" s="9">
        <f t="shared" si="64"/>
        <v>12</v>
      </c>
      <c r="CD124" s="9">
        <f t="shared" si="65"/>
        <v>7</v>
      </c>
      <c r="CE124" s="9">
        <f t="shared" si="66"/>
        <v>8</v>
      </c>
      <c r="CF124" s="9">
        <f t="shared" si="67"/>
        <v>10</v>
      </c>
      <c r="CG124" s="33"/>
      <c r="CH124" s="9">
        <f t="shared" si="68"/>
        <v>3</v>
      </c>
      <c r="CI124" s="44">
        <f t="shared" si="69"/>
        <v>12</v>
      </c>
      <c r="CJ124" s="9">
        <f t="shared" si="70"/>
        <v>7</v>
      </c>
      <c r="CK124" s="9">
        <f t="shared" si="71"/>
        <v>8</v>
      </c>
      <c r="CL124" s="9">
        <f t="shared" si="72"/>
        <v>10</v>
      </c>
      <c r="CM124" s="32"/>
      <c r="CN124" s="3">
        <f t="shared" si="73"/>
        <v>1</v>
      </c>
      <c r="CO124" s="3">
        <f t="shared" si="74"/>
        <v>2</v>
      </c>
      <c r="CP124" s="3">
        <f t="shared" si="75"/>
        <v>1</v>
      </c>
      <c r="CQ124" s="3">
        <f t="shared" si="76"/>
        <v>2</v>
      </c>
      <c r="CR124" s="3">
        <f t="shared" si="77"/>
        <v>2</v>
      </c>
      <c r="CS124" s="31"/>
      <c r="CT124" s="3" cm="1">
        <f t="array" ref="CT124">SUMPRODUCT(--(MOD(CH124:CL124,2)=1))</f>
        <v>2</v>
      </c>
      <c r="CU124" s="3">
        <f t="shared" si="78"/>
        <v>3</v>
      </c>
      <c r="CV124" s="30"/>
      <c r="CW124" s="3" cm="1">
        <f t="array" ref="CW124">SUMPRODUCT(--(MOD(CH124:CL124,10)&gt;=1), --(MOD(CH124:CL124,10)&lt;=5))</f>
        <v>2</v>
      </c>
      <c r="CX124" s="3">
        <f t="shared" si="79"/>
        <v>3</v>
      </c>
      <c r="CY124" s="30"/>
      <c r="CZ124" s="3" cm="1">
        <f t="array" ref="CZ124">IFERROR(COUNT(_xlfn._xlws.FILTER(CH124:CL124, ISNUMBER(MATCH(CH124:CL124, {2,3,5,7,11,13,17,19,23,29,31,37,41,43}, 0)))), 0)</f>
        <v>2</v>
      </c>
      <c r="DA124" s="3" cm="1">
        <f t="array" ref="DA124">IFERROR(COUNT(_xlfn._xlws.FILTER(CH124:CL124, ISNUMBER(MATCH(CH124:CL124, {1,4,8,10,14,16,20,22,25,26,28,32,34,35,38,40,44}, 0)))), 0)</f>
        <v>2</v>
      </c>
      <c r="DB124" s="3" cm="1">
        <f t="array" ref="DB124">IFERROR(COUNT(_xlfn._xlws.FILTER(CH124:CL124, ISNUMBER(MATCH(CH124:CL124, {6,9,12,15,18,21,24,27,30,33,36,39,42,45}, 0)))), 0)</f>
        <v>1</v>
      </c>
      <c r="DC124" s="29"/>
      <c r="DD124" s="28" t="e">
        <f>#REF!</f>
        <v>#REF!</v>
      </c>
      <c r="DE124" s="28" t="e">
        <f>#REF!*2</f>
        <v>#REF!</v>
      </c>
      <c r="DF124" s="28" t="e">
        <f>#REF!</f>
        <v>#REF!</v>
      </c>
      <c r="DG124" s="28" t="e">
        <f>#REF!*2</f>
        <v>#REF!</v>
      </c>
      <c r="DH124" s="28" t="e">
        <f>#REF!</f>
        <v>#REF!</v>
      </c>
      <c r="DI124" s="28" t="e">
        <f>#REF!*2</f>
        <v>#REF!</v>
      </c>
      <c r="DJ124" s="28" t="e">
        <f>#REF!</f>
        <v>#REF!</v>
      </c>
      <c r="DK124" s="28" t="e">
        <f>#REF!*2</f>
        <v>#REF!</v>
      </c>
      <c r="DL124" s="28" t="e">
        <f>#REF!</f>
        <v>#REF!</v>
      </c>
      <c r="DM124" s="28" t="e">
        <f>#REF!*2</f>
        <v>#REF!</v>
      </c>
      <c r="DN124" s="27"/>
      <c r="DO124" s="26" t="str" cm="1">
        <f t="array" ref="DO124">_xlfn.IFS(
   OR(CH124="",ISBLANK(CH124),CH124=0),0,
   ISNUMBER(MATCH(CH124,{2,3,5,7,11,13,17,19,23,29,31,37,41,43},0)),"소",
   AND(ISNUMBER(CH124),MOD(CH124,3)=0),"배",
   AND(ISNUMBER(CH124),CH124&gt;0),"자"
)</f>
        <v>소</v>
      </c>
      <c r="DP124" s="26" t="str" cm="1">
        <f t="array" ref="DP124">_xlfn.IFS(
   OR(CI124="",ISBLANK(CI124),CI124=0),0,
   ISNUMBER(MATCH(CI124,{2,3,5,7,11,13,17,19,23,29,31,37,41,43},0)),"소",
   AND(ISNUMBER(CI124),MOD(CI124,3)=0),"배",
   AND(ISNUMBER(CI124),CI124&gt;0),"자"
)</f>
        <v>배</v>
      </c>
      <c r="DQ124" s="26" t="str" cm="1">
        <f t="array" ref="DQ124">_xlfn.IFS(
   OR(CJ124="",ISBLANK(CJ124),CJ124=0),0,
   ISNUMBER(MATCH(CJ124,{2,3,5,7,11,13,17,19,23,29,31,37,41,43},0)),"소",
   AND(ISNUMBER(CJ124),MOD(CJ124,3)=0),"배",
   AND(ISNUMBER(CJ124),CJ124&gt;0),"자"
)</f>
        <v>소</v>
      </c>
      <c r="DR124" s="26" t="str" cm="1">
        <f t="array" ref="DR124">_xlfn.IFS(
   OR(CK124="",ISBLANK(CK124),CK124=0),0,
   ISNUMBER(MATCH(CK124,{2,3,5,7,11,13,17,19,23,29,31,37,41,43},0)),"소",
   AND(ISNUMBER(CK124),MOD(CK124,3)=0),"배",
   AND(ISNUMBER(CK124),CK124&gt;0),"자"
)</f>
        <v>자</v>
      </c>
      <c r="DS124" s="26" t="str" cm="1">
        <f t="array" ref="DS124">_xlfn.IFS(
   OR(CL124="",ISBLANK(CL124),CL124=0),0,
   ISNUMBER(MATCH(CL124,{2,3,5,7,11,13,17,19,23,29,31,37,41,43},0)),"소",
   AND(ISNUMBER(CL124),MOD(CL124,3)=0),"배",
   AND(ISNUMBER(CL124),CL124&gt;0),"자"
)</f>
        <v>자</v>
      </c>
      <c r="DT124" s="25"/>
    </row>
    <row r="125" spans="2:124" ht="14.25" thickBot="1" x14ac:dyDescent="0.35">
      <c r="B125" s="3">
        <v>1</v>
      </c>
      <c r="C125" s="3">
        <v>3</v>
      </c>
      <c r="D125" s="3">
        <v>17</v>
      </c>
      <c r="E125" s="3">
        <v>26</v>
      </c>
      <c r="F125" s="3">
        <v>27</v>
      </c>
      <c r="G125" s="3">
        <v>42</v>
      </c>
      <c r="H125" s="32"/>
      <c r="I125" s="3">
        <f t="shared" si="40"/>
        <v>1</v>
      </c>
      <c r="J125" s="3">
        <f t="shared" si="41"/>
        <v>1</v>
      </c>
      <c r="K125" s="3">
        <f t="shared" si="42"/>
        <v>1</v>
      </c>
      <c r="L125" s="3">
        <f t="shared" si="43"/>
        <v>2</v>
      </c>
      <c r="M125" s="3">
        <f t="shared" si="44"/>
        <v>1</v>
      </c>
      <c r="N125" s="3">
        <f t="shared" si="45"/>
        <v>2</v>
      </c>
      <c r="O125" s="32"/>
      <c r="P125" s="3" cm="1">
        <f t="array" ref="P125">SUMPRODUCT(--(MOD(B125:G125,2)=1))</f>
        <v>4</v>
      </c>
      <c r="Q125" s="3">
        <f t="shared" si="46"/>
        <v>2</v>
      </c>
      <c r="R125" s="34"/>
      <c r="S125" s="3">
        <f t="shared" si="47"/>
        <v>3</v>
      </c>
      <c r="T125" s="3">
        <f t="shared" si="48"/>
        <v>3</v>
      </c>
      <c r="U125" s="34"/>
      <c r="V125" s="3" cm="1">
        <f t="array" ref="V125">SUMPRODUCT(--(MOD(B125:G125,10)&gt;=1), --(MOD(B125:G125,10)&lt;=5))</f>
        <v>3</v>
      </c>
      <c r="W125" s="3">
        <f t="shared" si="49"/>
        <v>3</v>
      </c>
      <c r="X125" s="34"/>
      <c r="Y125" s="3" cm="1">
        <f t="array" ref="Y125">IFERROR(COUNT(_xlfn._xlws.FILTER(B125:G125, ISNUMBER(MATCH(B125:G125, {2,3,5,7,11,13,17,19,23,29,31,37,41,43}, 0)))), 0)</f>
        <v>2</v>
      </c>
      <c r="Z125" s="3" cm="1">
        <f t="array" ref="Z125">IFERROR(COUNT(_xlfn._xlws.FILTER(B125:G125, ISNUMBER(MATCH(B125:G125, {1,4,8,10,14,16,20,22,25,26,28,32,34,35,38,40,44}, 0)))), 0)</f>
        <v>2</v>
      </c>
      <c r="AA125" s="3" cm="1">
        <f t="array" ref="AA125">IFERROR(COUNT(_xlfn._xlws.FILTER(B125:G125, ISNUMBER(MATCH(B125:G125, {6,9,12,15,18,21,24,27,30,33,36,39,42,45}, 0)))), 0)</f>
        <v>2</v>
      </c>
      <c r="AB125" s="30"/>
      <c r="AC125" s="43" t="str" cm="1">
        <f t="array" ref="AC125">_xlfn.IFS(
   OR(B125="",ISBLANK(B125),B125=0),0,
   ISNUMBER(MATCH(B125,{2,3,5,7,11,13,17,19,23,29,31,37,41,43},0)),"소",
   AND(ISNUMBER(B125),MOD(B125,3)=0),"배",
   AND(ISNUMBER(B125),B125&gt;0),"자"
)</f>
        <v>자</v>
      </c>
      <c r="AD125" s="26" t="str" cm="1">
        <f t="array" ref="AD125">_xlfn.IFS(
   OR(C125="",ISBLANK(C125),C125=0),0,
   ISNUMBER(MATCH(C125,{2,3,5,7,11,13,17,19,23,29,31,37,41,43},0)),"소",
   AND(ISNUMBER(C125),MOD(C125,3)=0),"배",
   AND(ISNUMBER(C125),C125&gt;0),"자"
)</f>
        <v>소</v>
      </c>
      <c r="AE125" s="26" t="str" cm="1">
        <f t="array" ref="AE125">_xlfn.IFS(
   OR(D125="",ISBLANK(D125),D125=0),0,
   ISNUMBER(MATCH(D125,{2,3,5,7,11,13,17,19,23,29,31,37,41,43},0)),"소",
   AND(ISNUMBER(D125),MOD(D125,3)=0),"배",
   AND(ISNUMBER(D125),D125&gt;0),"자"
)</f>
        <v>소</v>
      </c>
      <c r="AF125" s="26" t="str" cm="1">
        <f t="array" ref="AF125">_xlfn.IFS(
   OR(E125="",ISBLANK(E125),E125=0),0,
   ISNUMBER(MATCH(E125,{2,3,5,7,11,13,17,19,23,29,31,37,41,43},0)),"소",
   AND(ISNUMBER(E125),MOD(E125,3)=0),"배",
   AND(ISNUMBER(E125),E125&gt;0),"자"
)</f>
        <v>자</v>
      </c>
      <c r="AG125" s="26" t="str" cm="1">
        <f t="array" ref="AG125">_xlfn.IFS(
   OR(F125="",ISBLANK(F125),F125=0),0,
   ISNUMBER(MATCH(F125,{2,3,5,7,11,13,17,19,23,29,31,37,41,43},0)),"소",
   AND(ISNUMBER(F125),MOD(F125,3)=0),"배",
   AND(ISNUMBER(F125),F125&gt;0),"자"
)</f>
        <v>배</v>
      </c>
      <c r="AH125" s="26" t="str" cm="1">
        <f t="array" ref="AH125">_xlfn.IFS(
   OR(G125="",ISBLANK(G125),G125=0),0,
   ISNUMBER(MATCH(G125,{2,3,5,7,11,13,17,19,23,29,31,37,41,43},0)),"소",
   AND(ISNUMBER(G125),MOD(G125,3)=0),"배",
   AND(ISNUMBER(G125),G125&gt;0),"자"
)</f>
        <v>배</v>
      </c>
      <c r="AI125" s="30"/>
      <c r="AJ125" s="3">
        <f t="shared" si="50"/>
        <v>2</v>
      </c>
      <c r="AK125" s="3">
        <f t="shared" si="51"/>
        <v>3</v>
      </c>
      <c r="AL125" s="3">
        <f t="shared" si="52"/>
        <v>1</v>
      </c>
      <c r="AM125" s="33"/>
      <c r="AN125" s="3">
        <f t="shared" si="53"/>
        <v>2</v>
      </c>
      <c r="AO125" s="3">
        <f t="shared" si="54"/>
        <v>1</v>
      </c>
      <c r="AP125" s="3">
        <f t="shared" si="55"/>
        <v>2</v>
      </c>
      <c r="AQ125" s="3">
        <f t="shared" si="56"/>
        <v>0</v>
      </c>
      <c r="AR125" s="3">
        <f t="shared" si="57"/>
        <v>1</v>
      </c>
      <c r="AS125" s="28" t="e">
        <f>#REF!</f>
        <v>#REF!</v>
      </c>
      <c r="AT125" s="28" t="e">
        <f>#REF!*2</f>
        <v>#REF!</v>
      </c>
      <c r="AU125" s="28" t="e">
        <f>#REF!</f>
        <v>#REF!</v>
      </c>
      <c r="AV125" s="28" t="e">
        <f>#REF!*2</f>
        <v>#REF!</v>
      </c>
      <c r="AW125" s="28" t="e">
        <f>#REF!</f>
        <v>#REF!</v>
      </c>
      <c r="AX125" s="28" t="e">
        <f>#REF!*2</f>
        <v>#REF!</v>
      </c>
      <c r="AY125" s="28" t="e">
        <f>#REF!</f>
        <v>#REF!</v>
      </c>
      <c r="AZ125" s="28" t="e">
        <f>#REF!*2</f>
        <v>#REF!</v>
      </c>
      <c r="BA125" s="28" t="e">
        <f>#REF!</f>
        <v>#REF!</v>
      </c>
      <c r="BB125" s="28" t="e">
        <f>#REF!*2</f>
        <v>#REF!</v>
      </c>
      <c r="BC125" s="28" t="e">
        <f>#REF!</f>
        <v>#REF!</v>
      </c>
      <c r="BD125" s="28" t="e">
        <f>#REF!*2</f>
        <v>#REF!</v>
      </c>
      <c r="BE125" s="9" t="e">
        <f>#REF!-#REF!</f>
        <v>#REF!</v>
      </c>
      <c r="BF125" s="9" t="e">
        <f>#REF!-#REF!</f>
        <v>#REF!</v>
      </c>
      <c r="BG125" s="9" t="e">
        <f>#REF!-#REF!</f>
        <v>#REF!</v>
      </c>
      <c r="BH125" s="9" t="e">
        <f>#REF!-#REF!</f>
        <v>#REF!</v>
      </c>
      <c r="BI125" s="9" t="e">
        <f>#REF!-#REF!</f>
        <v>#REF!</v>
      </c>
      <c r="BJ125" s="33"/>
      <c r="BK125" s="3">
        <f t="shared" si="58"/>
        <v>2</v>
      </c>
      <c r="BL125" s="3">
        <f t="shared" si="59"/>
        <v>1</v>
      </c>
      <c r="BM125" s="3">
        <f t="shared" si="60"/>
        <v>2</v>
      </c>
      <c r="BN125" s="3">
        <f t="shared" si="61"/>
        <v>0</v>
      </c>
      <c r="BO125" s="3">
        <f t="shared" si="62"/>
        <v>1</v>
      </c>
      <c r="BP125" s="28" t="e">
        <f>#REF!</f>
        <v>#REF!</v>
      </c>
      <c r="BQ125" s="28" t="e">
        <f>#REF!*2</f>
        <v>#REF!</v>
      </c>
      <c r="BR125" s="28" t="e">
        <f>#REF!</f>
        <v>#REF!</v>
      </c>
      <c r="BS125" s="28" t="e">
        <f>#REF!*2</f>
        <v>#REF!</v>
      </c>
      <c r="BT125" s="28" t="e">
        <f>#REF!</f>
        <v>#REF!</v>
      </c>
      <c r="BU125" s="28" t="e">
        <f>#REF!*2</f>
        <v>#REF!</v>
      </c>
      <c r="BV125" s="28" t="e">
        <f>#REF!</f>
        <v>#REF!</v>
      </c>
      <c r="BW125" s="28" t="e">
        <f>#REF!*2</f>
        <v>#REF!</v>
      </c>
      <c r="BX125" s="28" t="e">
        <f>#REF!</f>
        <v>#REF!</v>
      </c>
      <c r="BY125" s="28" t="e">
        <f>#REF!*2</f>
        <v>#REF!</v>
      </c>
      <c r="BZ125" s="28" t="e">
        <f>#REF!</f>
        <v>#REF!</v>
      </c>
      <c r="CA125" s="28" t="e">
        <f>#REF!*2</f>
        <v>#REF!</v>
      </c>
      <c r="CB125" s="9">
        <f t="shared" si="63"/>
        <v>2</v>
      </c>
      <c r="CC125" s="9">
        <f t="shared" si="64"/>
        <v>14</v>
      </c>
      <c r="CD125" s="9">
        <f t="shared" si="65"/>
        <v>9</v>
      </c>
      <c r="CE125" s="9">
        <f t="shared" si="66"/>
        <v>1</v>
      </c>
      <c r="CF125" s="9">
        <f t="shared" si="67"/>
        <v>15</v>
      </c>
      <c r="CG125" s="33"/>
      <c r="CH125" s="9">
        <f t="shared" si="68"/>
        <v>2</v>
      </c>
      <c r="CI125" s="9">
        <f t="shared" si="69"/>
        <v>14</v>
      </c>
      <c r="CJ125" s="9">
        <f t="shared" si="70"/>
        <v>9</v>
      </c>
      <c r="CK125" s="9">
        <f t="shared" si="71"/>
        <v>1</v>
      </c>
      <c r="CL125" s="9">
        <f t="shared" si="72"/>
        <v>15</v>
      </c>
      <c r="CM125" s="32"/>
      <c r="CN125" s="3">
        <f t="shared" si="73"/>
        <v>2</v>
      </c>
      <c r="CO125" s="3">
        <f t="shared" si="74"/>
        <v>2</v>
      </c>
      <c r="CP125" s="3">
        <f t="shared" si="75"/>
        <v>1</v>
      </c>
      <c r="CQ125" s="3">
        <f t="shared" si="76"/>
        <v>1</v>
      </c>
      <c r="CR125" s="3">
        <f t="shared" si="77"/>
        <v>1</v>
      </c>
      <c r="CS125" s="31"/>
      <c r="CT125" s="3" cm="1">
        <f t="array" ref="CT125">SUMPRODUCT(--(MOD(CH125:CL125,2)=1))</f>
        <v>3</v>
      </c>
      <c r="CU125" s="3">
        <f t="shared" si="78"/>
        <v>2</v>
      </c>
      <c r="CV125" s="30"/>
      <c r="CW125" s="3" cm="1">
        <f t="array" ref="CW125">SUMPRODUCT(--(MOD(CH125:CL125,10)&gt;=1), --(MOD(CH125:CL125,10)&lt;=5))</f>
        <v>4</v>
      </c>
      <c r="CX125" s="3">
        <f t="shared" si="79"/>
        <v>1</v>
      </c>
      <c r="CY125" s="30"/>
      <c r="CZ125" s="3" cm="1">
        <f t="array" ref="CZ125">IFERROR(COUNT(_xlfn._xlws.FILTER(CH125:CL125, ISNUMBER(MATCH(CH125:CL125, {2,3,5,7,11,13,17,19,23,29,31,37,41,43}, 0)))), 0)</f>
        <v>1</v>
      </c>
      <c r="DA125" s="3" cm="1">
        <f t="array" ref="DA125">IFERROR(COUNT(_xlfn._xlws.FILTER(CH125:CL125, ISNUMBER(MATCH(CH125:CL125, {1,4,8,10,14,16,20,22,25,26,28,32,34,35,38,40,44}, 0)))), 0)</f>
        <v>2</v>
      </c>
      <c r="DB125" s="3" cm="1">
        <f t="array" ref="DB125">IFERROR(COUNT(_xlfn._xlws.FILTER(CH125:CL125, ISNUMBER(MATCH(CH125:CL125, {6,9,12,15,18,21,24,27,30,33,36,39,42,45}, 0)))), 0)</f>
        <v>2</v>
      </c>
      <c r="DC125" s="29"/>
      <c r="DD125" s="28" t="e">
        <f>#REF!</f>
        <v>#REF!</v>
      </c>
      <c r="DE125" s="28" t="e">
        <f>#REF!*2</f>
        <v>#REF!</v>
      </c>
      <c r="DF125" s="28" t="e">
        <f>#REF!</f>
        <v>#REF!</v>
      </c>
      <c r="DG125" s="28" t="e">
        <f>#REF!*2</f>
        <v>#REF!</v>
      </c>
      <c r="DH125" s="28" t="e">
        <f>#REF!</f>
        <v>#REF!</v>
      </c>
      <c r="DI125" s="28" t="e">
        <f>#REF!*2</f>
        <v>#REF!</v>
      </c>
      <c r="DJ125" s="28" t="e">
        <f>#REF!</f>
        <v>#REF!</v>
      </c>
      <c r="DK125" s="28" t="e">
        <f>#REF!*2</f>
        <v>#REF!</v>
      </c>
      <c r="DL125" s="28" t="e">
        <f>#REF!</f>
        <v>#REF!</v>
      </c>
      <c r="DM125" s="28" t="e">
        <f>#REF!*2</f>
        <v>#REF!</v>
      </c>
      <c r="DN125" s="27"/>
      <c r="DO125" s="26" t="str" cm="1">
        <f t="array" ref="DO125">_xlfn.IFS(
   OR(CH125="",ISBLANK(CH125),CH125=0),0,
   ISNUMBER(MATCH(CH125,{2,3,5,7,11,13,17,19,23,29,31,37,41,43},0)),"소",
   AND(ISNUMBER(CH125),MOD(CH125,3)=0),"배",
   AND(ISNUMBER(CH125),CH125&gt;0),"자"
)</f>
        <v>소</v>
      </c>
      <c r="DP125" s="26" t="str" cm="1">
        <f t="array" ref="DP125">_xlfn.IFS(
   OR(CI125="",ISBLANK(CI125),CI125=0),0,
   ISNUMBER(MATCH(CI125,{2,3,5,7,11,13,17,19,23,29,31,37,41,43},0)),"소",
   AND(ISNUMBER(CI125),MOD(CI125,3)=0),"배",
   AND(ISNUMBER(CI125),CI125&gt;0),"자"
)</f>
        <v>자</v>
      </c>
      <c r="DQ125" s="26" t="str" cm="1">
        <f t="array" ref="DQ125">_xlfn.IFS(
   OR(CJ125="",ISBLANK(CJ125),CJ125=0),0,
   ISNUMBER(MATCH(CJ125,{2,3,5,7,11,13,17,19,23,29,31,37,41,43},0)),"소",
   AND(ISNUMBER(CJ125),MOD(CJ125,3)=0),"배",
   AND(ISNUMBER(CJ125),CJ125&gt;0),"자"
)</f>
        <v>배</v>
      </c>
      <c r="DR125" s="26" t="str" cm="1">
        <f t="array" ref="DR125">_xlfn.IFS(
   OR(CK125="",ISBLANK(CK125),CK125=0),0,
   ISNUMBER(MATCH(CK125,{2,3,5,7,11,13,17,19,23,29,31,37,41,43},0)),"소",
   AND(ISNUMBER(CK125),MOD(CK125,3)=0),"배",
   AND(ISNUMBER(CK125),CK125&gt;0),"자"
)</f>
        <v>자</v>
      </c>
      <c r="DS125" s="26" t="str" cm="1">
        <f t="array" ref="DS125">_xlfn.IFS(
   OR(CL125="",ISBLANK(CL125),CL125=0),0,
   ISNUMBER(MATCH(CL125,{2,3,5,7,11,13,17,19,23,29,31,37,41,43},0)),"소",
   AND(ISNUMBER(CL125),MOD(CL125,3)=0),"배",
   AND(ISNUMBER(CL125),CL125&gt;0),"자"
)</f>
        <v>배</v>
      </c>
      <c r="DT125" s="25"/>
    </row>
    <row r="126" spans="2:124" ht="14.25" thickBot="1" x14ac:dyDescent="0.35">
      <c r="B126" s="3">
        <v>10</v>
      </c>
      <c r="C126" s="3">
        <v>22</v>
      </c>
      <c r="D126" s="3">
        <v>24</v>
      </c>
      <c r="E126" s="3">
        <v>27</v>
      </c>
      <c r="F126" s="3">
        <v>38</v>
      </c>
      <c r="G126" s="3">
        <v>45</v>
      </c>
      <c r="H126" s="32"/>
      <c r="I126" s="3">
        <f t="shared" si="40"/>
        <v>2</v>
      </c>
      <c r="J126" s="3">
        <f t="shared" si="41"/>
        <v>2</v>
      </c>
      <c r="K126" s="3">
        <f t="shared" si="42"/>
        <v>2</v>
      </c>
      <c r="L126" s="3">
        <f t="shared" si="43"/>
        <v>1</v>
      </c>
      <c r="M126" s="3">
        <f t="shared" si="44"/>
        <v>2</v>
      </c>
      <c r="N126" s="3">
        <f t="shared" si="45"/>
        <v>1</v>
      </c>
      <c r="O126" s="32"/>
      <c r="P126" s="3" cm="1">
        <f t="array" ref="P126">SUMPRODUCT(--(MOD(B126:G126,2)=1))</f>
        <v>2</v>
      </c>
      <c r="Q126" s="3">
        <f t="shared" si="46"/>
        <v>4</v>
      </c>
      <c r="R126" s="34"/>
      <c r="S126" s="3">
        <f t="shared" si="47"/>
        <v>2</v>
      </c>
      <c r="T126" s="3">
        <f t="shared" si="48"/>
        <v>4</v>
      </c>
      <c r="U126" s="34"/>
      <c r="V126" s="3" cm="1">
        <f t="array" ref="V126">SUMPRODUCT(--(MOD(B126:G126,10)&gt;=1), --(MOD(B126:G126,10)&lt;=5))</f>
        <v>3</v>
      </c>
      <c r="W126" s="3">
        <f t="shared" si="49"/>
        <v>3</v>
      </c>
      <c r="X126" s="34"/>
      <c r="Y126" s="3" cm="1">
        <f t="array" ref="Y126">IFERROR(COUNT(_xlfn._xlws.FILTER(B126:G126, ISNUMBER(MATCH(B126:G126, {2,3,5,7,11,13,17,19,23,29,31,37,41,43}, 0)))), 0)</f>
        <v>0</v>
      </c>
      <c r="Z126" s="3" cm="1">
        <f t="array" ref="Z126">IFERROR(COUNT(_xlfn._xlws.FILTER(B126:G126, ISNUMBER(MATCH(B126:G126, {1,4,8,10,14,16,20,22,25,26,28,32,34,35,38,40,44}, 0)))), 0)</f>
        <v>3</v>
      </c>
      <c r="AA126" s="3" cm="1">
        <f t="array" ref="AA126">IFERROR(COUNT(_xlfn._xlws.FILTER(B126:G126, ISNUMBER(MATCH(B126:G126, {6,9,12,15,18,21,24,27,30,33,36,39,42,45}, 0)))), 0)</f>
        <v>3</v>
      </c>
      <c r="AB126" s="30"/>
      <c r="AC126" s="42" t="str" cm="1">
        <f t="array" ref="AC126">_xlfn.IFS(
   OR(B126="",ISBLANK(B126),B126=0),0,
   ISNUMBER(MATCH(B126,{2,3,5,7,11,13,17,19,23,29,31,37,41,43},0)),"소",
   AND(ISNUMBER(B126),MOD(B126,3)=0),"배",
   AND(ISNUMBER(B126),B126&gt;0),"자"
)</f>
        <v>자</v>
      </c>
      <c r="AD126" s="26" t="str" cm="1">
        <f t="array" ref="AD126">_xlfn.IFS(
   OR(C126="",ISBLANK(C126),C126=0),0,
   ISNUMBER(MATCH(C126,{2,3,5,7,11,13,17,19,23,29,31,37,41,43},0)),"소",
   AND(ISNUMBER(C126),MOD(C126,3)=0),"배",
   AND(ISNUMBER(C126),C126&gt;0),"자"
)</f>
        <v>자</v>
      </c>
      <c r="AE126" s="26" t="str" cm="1">
        <f t="array" ref="AE126">_xlfn.IFS(
   OR(D126="",ISBLANK(D126),D126=0),0,
   ISNUMBER(MATCH(D126,{2,3,5,7,11,13,17,19,23,29,31,37,41,43},0)),"소",
   AND(ISNUMBER(D126),MOD(D126,3)=0),"배",
   AND(ISNUMBER(D126),D126&gt;0),"자"
)</f>
        <v>배</v>
      </c>
      <c r="AF126" s="26" t="str" cm="1">
        <f t="array" ref="AF126">_xlfn.IFS(
   OR(E126="",ISBLANK(E126),E126=0),0,
   ISNUMBER(MATCH(E126,{2,3,5,7,11,13,17,19,23,29,31,37,41,43},0)),"소",
   AND(ISNUMBER(E126),MOD(E126,3)=0),"배",
   AND(ISNUMBER(E126),E126&gt;0),"자"
)</f>
        <v>배</v>
      </c>
      <c r="AG126" s="26" t="str" cm="1">
        <f t="array" ref="AG126">_xlfn.IFS(
   OR(F126="",ISBLANK(F126),F126=0),0,
   ISNUMBER(MATCH(F126,{2,3,5,7,11,13,17,19,23,29,31,37,41,43},0)),"소",
   AND(ISNUMBER(F126),MOD(F126,3)=0),"배",
   AND(ISNUMBER(F126),F126&gt;0),"자"
)</f>
        <v>자</v>
      </c>
      <c r="AH126" s="26" t="str" cm="1">
        <f t="array" ref="AH126">_xlfn.IFS(
   OR(G126="",ISBLANK(G126),G126=0),0,
   ISNUMBER(MATCH(G126,{2,3,5,7,11,13,17,19,23,29,31,37,41,43},0)),"소",
   AND(ISNUMBER(G126),MOD(G126,3)=0),"배",
   AND(ISNUMBER(G126),G126&gt;0),"자"
)</f>
        <v>배</v>
      </c>
      <c r="AI126" s="30"/>
      <c r="AJ126" s="3">
        <f t="shared" si="50"/>
        <v>1</v>
      </c>
      <c r="AK126" s="3">
        <f t="shared" si="51"/>
        <v>3</v>
      </c>
      <c r="AL126" s="3">
        <f t="shared" si="52"/>
        <v>2</v>
      </c>
      <c r="AM126" s="33"/>
      <c r="AN126" s="3">
        <f t="shared" si="53"/>
        <v>0</v>
      </c>
      <c r="AO126" s="3">
        <f t="shared" si="54"/>
        <v>1</v>
      </c>
      <c r="AP126" s="3">
        <f t="shared" si="55"/>
        <v>3</v>
      </c>
      <c r="AQ126" s="3">
        <f t="shared" si="56"/>
        <v>0</v>
      </c>
      <c r="AR126" s="3">
        <f t="shared" si="57"/>
        <v>2</v>
      </c>
      <c r="AS126" s="28" t="e">
        <f>#REF!</f>
        <v>#REF!</v>
      </c>
      <c r="AT126" s="28" t="e">
        <f>#REF!*2</f>
        <v>#REF!</v>
      </c>
      <c r="AU126" s="28" t="e">
        <f>#REF!</f>
        <v>#REF!</v>
      </c>
      <c r="AV126" s="28" t="e">
        <f>#REF!*2</f>
        <v>#REF!</v>
      </c>
      <c r="AW126" s="28" t="e">
        <f>#REF!</f>
        <v>#REF!</v>
      </c>
      <c r="AX126" s="28" t="e">
        <f>#REF!*2</f>
        <v>#REF!</v>
      </c>
      <c r="AY126" s="28" t="e">
        <f>#REF!</f>
        <v>#REF!</v>
      </c>
      <c r="AZ126" s="28" t="e">
        <f>#REF!*2</f>
        <v>#REF!</v>
      </c>
      <c r="BA126" s="28" t="e">
        <f>#REF!</f>
        <v>#REF!</v>
      </c>
      <c r="BB126" s="28" t="e">
        <f>#REF!*2</f>
        <v>#REF!</v>
      </c>
      <c r="BC126" s="28" t="e">
        <f>#REF!</f>
        <v>#REF!</v>
      </c>
      <c r="BD126" s="28" t="e">
        <f>#REF!*2</f>
        <v>#REF!</v>
      </c>
      <c r="BE126" s="9" t="e">
        <f>#REF!-#REF!</f>
        <v>#REF!</v>
      </c>
      <c r="BF126" s="9" t="e">
        <f>#REF!-#REF!</f>
        <v>#REF!</v>
      </c>
      <c r="BG126" s="9" t="e">
        <f>#REF!-#REF!</f>
        <v>#REF!</v>
      </c>
      <c r="BH126" s="9" t="e">
        <f>#REF!-#REF!</f>
        <v>#REF!</v>
      </c>
      <c r="BI126" s="9" t="e">
        <f>#REF!-#REF!</f>
        <v>#REF!</v>
      </c>
      <c r="BJ126" s="33"/>
      <c r="BK126" s="3">
        <f t="shared" si="58"/>
        <v>0</v>
      </c>
      <c r="BL126" s="3">
        <f t="shared" si="59"/>
        <v>1</v>
      </c>
      <c r="BM126" s="3">
        <f t="shared" si="60"/>
        <v>3</v>
      </c>
      <c r="BN126" s="3">
        <f t="shared" si="61"/>
        <v>1</v>
      </c>
      <c r="BO126" s="3">
        <f t="shared" si="62"/>
        <v>1</v>
      </c>
      <c r="BP126" s="28" t="e">
        <f>#REF!</f>
        <v>#REF!</v>
      </c>
      <c r="BQ126" s="28" t="e">
        <f>#REF!*2</f>
        <v>#REF!</v>
      </c>
      <c r="BR126" s="28" t="e">
        <f>#REF!</f>
        <v>#REF!</v>
      </c>
      <c r="BS126" s="28" t="e">
        <f>#REF!*2</f>
        <v>#REF!</v>
      </c>
      <c r="BT126" s="28" t="e">
        <f>#REF!</f>
        <v>#REF!</v>
      </c>
      <c r="BU126" s="28" t="e">
        <f>#REF!*2</f>
        <v>#REF!</v>
      </c>
      <c r="BV126" s="28" t="e">
        <f>#REF!</f>
        <v>#REF!</v>
      </c>
      <c r="BW126" s="28" t="e">
        <f>#REF!*2</f>
        <v>#REF!</v>
      </c>
      <c r="BX126" s="28" t="e">
        <f>#REF!</f>
        <v>#REF!</v>
      </c>
      <c r="BY126" s="28" t="e">
        <f>#REF!*2</f>
        <v>#REF!</v>
      </c>
      <c r="BZ126" s="28" t="e">
        <f>#REF!</f>
        <v>#REF!</v>
      </c>
      <c r="CA126" s="28" t="e">
        <f>#REF!*2</f>
        <v>#REF!</v>
      </c>
      <c r="CB126" s="9">
        <f t="shared" si="63"/>
        <v>12</v>
      </c>
      <c r="CC126" s="9">
        <f t="shared" si="64"/>
        <v>2</v>
      </c>
      <c r="CD126" s="9">
        <f t="shared" si="65"/>
        <v>3</v>
      </c>
      <c r="CE126" s="9">
        <f t="shared" si="66"/>
        <v>11</v>
      </c>
      <c r="CF126" s="9">
        <f t="shared" si="67"/>
        <v>7</v>
      </c>
      <c r="CG126" s="33"/>
      <c r="CH126" s="12">
        <f t="shared" si="68"/>
        <v>12</v>
      </c>
      <c r="CI126" s="9">
        <f t="shared" si="69"/>
        <v>2</v>
      </c>
      <c r="CJ126" s="9">
        <f t="shared" si="70"/>
        <v>3</v>
      </c>
      <c r="CK126" s="12">
        <f t="shared" si="71"/>
        <v>11</v>
      </c>
      <c r="CL126" s="9">
        <f t="shared" si="72"/>
        <v>7</v>
      </c>
      <c r="CM126" s="32"/>
      <c r="CN126" s="3">
        <f t="shared" si="73"/>
        <v>2</v>
      </c>
      <c r="CO126" s="3">
        <f t="shared" si="74"/>
        <v>2</v>
      </c>
      <c r="CP126" s="3">
        <f t="shared" si="75"/>
        <v>1</v>
      </c>
      <c r="CQ126" s="3">
        <f t="shared" si="76"/>
        <v>1</v>
      </c>
      <c r="CR126" s="3">
        <f t="shared" si="77"/>
        <v>1</v>
      </c>
      <c r="CS126" s="31"/>
      <c r="CT126" s="3" cm="1">
        <f t="array" ref="CT126">SUMPRODUCT(--(MOD(CH126:CL126,2)=1))</f>
        <v>3</v>
      </c>
      <c r="CU126" s="3">
        <f t="shared" si="78"/>
        <v>2</v>
      </c>
      <c r="CV126" s="30"/>
      <c r="CW126" s="3" cm="1">
        <f t="array" ref="CW126">SUMPRODUCT(--(MOD(CH126:CL126,10)&gt;=1), --(MOD(CH126:CL126,10)&lt;=5))</f>
        <v>4</v>
      </c>
      <c r="CX126" s="3">
        <f t="shared" si="79"/>
        <v>1</v>
      </c>
      <c r="CY126" s="30"/>
      <c r="CZ126" s="3" cm="1">
        <f t="array" ref="CZ126">IFERROR(COUNT(_xlfn._xlws.FILTER(CH126:CL126, ISNUMBER(MATCH(CH126:CL126, {2,3,5,7,11,13,17,19,23,29,31,37,41,43}, 0)))), 0)</f>
        <v>4</v>
      </c>
      <c r="DA126" s="3" cm="1">
        <f t="array" ref="DA126">IFERROR(COUNT(_xlfn._xlws.FILTER(CH126:CL126, ISNUMBER(MATCH(CH126:CL126, {1,4,8,10,14,16,20,22,25,26,28,32,34,35,38,40,44}, 0)))), 0)</f>
        <v>0</v>
      </c>
      <c r="DB126" s="3" cm="1">
        <f t="array" ref="DB126">IFERROR(COUNT(_xlfn._xlws.FILTER(CH126:CL126, ISNUMBER(MATCH(CH126:CL126, {6,9,12,15,18,21,24,27,30,33,36,39,42,45}, 0)))), 0)</f>
        <v>1</v>
      </c>
      <c r="DC126" s="29"/>
      <c r="DD126" s="28" t="e">
        <f>#REF!</f>
        <v>#REF!</v>
      </c>
      <c r="DE126" s="28" t="e">
        <f>#REF!*2</f>
        <v>#REF!</v>
      </c>
      <c r="DF126" s="28" t="e">
        <f>#REF!</f>
        <v>#REF!</v>
      </c>
      <c r="DG126" s="28" t="e">
        <f>#REF!*2</f>
        <v>#REF!</v>
      </c>
      <c r="DH126" s="28" t="e">
        <f>#REF!</f>
        <v>#REF!</v>
      </c>
      <c r="DI126" s="28" t="e">
        <f>#REF!*2</f>
        <v>#REF!</v>
      </c>
      <c r="DJ126" s="28" t="e">
        <f>#REF!</f>
        <v>#REF!</v>
      </c>
      <c r="DK126" s="28" t="e">
        <f>#REF!*2</f>
        <v>#REF!</v>
      </c>
      <c r="DL126" s="28" t="e">
        <f>#REF!</f>
        <v>#REF!</v>
      </c>
      <c r="DM126" s="28" t="e">
        <f>#REF!*2</f>
        <v>#REF!</v>
      </c>
      <c r="DN126" s="27"/>
      <c r="DO126" s="26" t="str" cm="1">
        <f t="array" ref="DO126">_xlfn.IFS(
   OR(CH126="",ISBLANK(CH126),CH126=0),0,
   ISNUMBER(MATCH(CH126,{2,3,5,7,11,13,17,19,23,29,31,37,41,43},0)),"소",
   AND(ISNUMBER(CH126),MOD(CH126,3)=0),"배",
   AND(ISNUMBER(CH126),CH126&gt;0),"자"
)</f>
        <v>배</v>
      </c>
      <c r="DP126" s="26" t="str" cm="1">
        <f t="array" ref="DP126">_xlfn.IFS(
   OR(CI126="",ISBLANK(CI126),CI126=0),0,
   ISNUMBER(MATCH(CI126,{2,3,5,7,11,13,17,19,23,29,31,37,41,43},0)),"소",
   AND(ISNUMBER(CI126),MOD(CI126,3)=0),"배",
   AND(ISNUMBER(CI126),CI126&gt;0),"자"
)</f>
        <v>소</v>
      </c>
      <c r="DQ126" s="26" t="str" cm="1">
        <f t="array" ref="DQ126">_xlfn.IFS(
   OR(CJ126="",ISBLANK(CJ126),CJ126=0),0,
   ISNUMBER(MATCH(CJ126,{2,3,5,7,11,13,17,19,23,29,31,37,41,43},0)),"소",
   AND(ISNUMBER(CJ126),MOD(CJ126,3)=0),"배",
   AND(ISNUMBER(CJ126),CJ126&gt;0),"자"
)</f>
        <v>소</v>
      </c>
      <c r="DR126" s="26" t="str" cm="1">
        <f t="array" ref="DR126">_xlfn.IFS(
   OR(CK126="",ISBLANK(CK126),CK126=0),0,
   ISNUMBER(MATCH(CK126,{2,3,5,7,11,13,17,19,23,29,31,37,41,43},0)),"소",
   AND(ISNUMBER(CK126),MOD(CK126,3)=0),"배",
   AND(ISNUMBER(CK126),CK126&gt;0),"자"
)</f>
        <v>소</v>
      </c>
      <c r="DS126" s="26" t="str" cm="1">
        <f t="array" ref="DS126">_xlfn.IFS(
   OR(CL126="",ISBLANK(CL126),CL126=0),0,
   ISNUMBER(MATCH(CL126,{2,3,5,7,11,13,17,19,23,29,31,37,41,43},0)),"소",
   AND(ISNUMBER(CL126),MOD(CL126,3)=0),"배",
   AND(ISNUMBER(CL126),CL126&gt;0),"자"
)</f>
        <v>소</v>
      </c>
      <c r="DT126" s="25"/>
    </row>
    <row r="127" spans="2:124" ht="14.25" thickBot="1" x14ac:dyDescent="0.35">
      <c r="B127" s="3">
        <v>6</v>
      </c>
      <c r="C127" s="3">
        <v>27</v>
      </c>
      <c r="D127" s="3">
        <v>30</v>
      </c>
      <c r="E127" s="3">
        <v>36</v>
      </c>
      <c r="F127" s="3">
        <v>38</v>
      </c>
      <c r="G127" s="3">
        <v>42</v>
      </c>
      <c r="H127" s="32"/>
      <c r="I127" s="3">
        <f t="shared" si="40"/>
        <v>2</v>
      </c>
      <c r="J127" s="3">
        <f t="shared" si="41"/>
        <v>1</v>
      </c>
      <c r="K127" s="3">
        <f t="shared" si="42"/>
        <v>2</v>
      </c>
      <c r="L127" s="3">
        <f t="shared" si="43"/>
        <v>2</v>
      </c>
      <c r="M127" s="3">
        <f t="shared" si="44"/>
        <v>2</v>
      </c>
      <c r="N127" s="3">
        <f t="shared" si="45"/>
        <v>2</v>
      </c>
      <c r="O127" s="32"/>
      <c r="P127" s="3" cm="1">
        <f t="array" ref="P127">SUMPRODUCT(--(MOD(B127:G127,2)=1))</f>
        <v>1</v>
      </c>
      <c r="Q127" s="3">
        <f t="shared" si="46"/>
        <v>5</v>
      </c>
      <c r="R127" s="34"/>
      <c r="S127" s="3">
        <f t="shared" si="47"/>
        <v>1</v>
      </c>
      <c r="T127" s="3">
        <f t="shared" si="48"/>
        <v>5</v>
      </c>
      <c r="U127" s="34"/>
      <c r="V127" s="3" cm="1">
        <f t="array" ref="V127">SUMPRODUCT(--(MOD(B127:G127,10)&gt;=1), --(MOD(B127:G127,10)&lt;=5))</f>
        <v>1</v>
      </c>
      <c r="W127" s="3">
        <f t="shared" si="49"/>
        <v>5</v>
      </c>
      <c r="X127" s="34"/>
      <c r="Y127" s="3" cm="1">
        <f t="array" ref="Y127">IFERROR(COUNT(_xlfn._xlws.FILTER(B127:G127, ISNUMBER(MATCH(B127:G127, {2,3,5,7,11,13,17,19,23,29,31,37,41,43}, 0)))), 0)</f>
        <v>0</v>
      </c>
      <c r="Z127" s="3" cm="1">
        <f t="array" ref="Z127">IFERROR(COUNT(_xlfn._xlws.FILTER(B127:G127, ISNUMBER(MATCH(B127:G127, {1,4,8,10,14,16,20,22,25,26,28,32,34,35,38,40,44}, 0)))), 0)</f>
        <v>1</v>
      </c>
      <c r="AA127" s="3" cm="1">
        <f t="array" ref="AA127">IFERROR(COUNT(_xlfn._xlws.FILTER(B127:G127, ISNUMBER(MATCH(B127:G127, {6,9,12,15,18,21,24,27,30,33,36,39,42,45}, 0)))), 0)</f>
        <v>5</v>
      </c>
      <c r="AB127" s="30"/>
      <c r="AC127" s="26" t="str" cm="1">
        <f t="array" ref="AC127">_xlfn.IFS(
   OR(B127="",ISBLANK(B127),B127=0),0,
   ISNUMBER(MATCH(B127,{2,3,5,7,11,13,17,19,23,29,31,37,41,43},0)),"소",
   AND(ISNUMBER(B127),MOD(B127,3)=0),"배",
   AND(ISNUMBER(B127),B127&gt;0),"자"
)</f>
        <v>배</v>
      </c>
      <c r="AD127" s="26" t="str" cm="1">
        <f t="array" ref="AD127">_xlfn.IFS(
   OR(C127="",ISBLANK(C127),C127=0),0,
   ISNUMBER(MATCH(C127,{2,3,5,7,11,13,17,19,23,29,31,37,41,43},0)),"소",
   AND(ISNUMBER(C127),MOD(C127,3)=0),"배",
   AND(ISNUMBER(C127),C127&gt;0),"자"
)</f>
        <v>배</v>
      </c>
      <c r="AE127" s="26" t="str" cm="1">
        <f t="array" ref="AE127">_xlfn.IFS(
   OR(D127="",ISBLANK(D127),D127=0),0,
   ISNUMBER(MATCH(D127,{2,3,5,7,11,13,17,19,23,29,31,37,41,43},0)),"소",
   AND(ISNUMBER(D127),MOD(D127,3)=0),"배",
   AND(ISNUMBER(D127),D127&gt;0),"자"
)</f>
        <v>배</v>
      </c>
      <c r="AF127" s="26" t="str" cm="1">
        <f t="array" ref="AF127">_xlfn.IFS(
   OR(E127="",ISBLANK(E127),E127=0),0,
   ISNUMBER(MATCH(E127,{2,3,5,7,11,13,17,19,23,29,31,37,41,43},0)),"소",
   AND(ISNUMBER(E127),MOD(E127,3)=0),"배",
   AND(ISNUMBER(E127),E127&gt;0),"자"
)</f>
        <v>배</v>
      </c>
      <c r="AG127" s="26" t="str" cm="1">
        <f t="array" ref="AG127">_xlfn.IFS(
   OR(F127="",ISBLANK(F127),F127=0),0,
   ISNUMBER(MATCH(F127,{2,3,5,7,11,13,17,19,23,29,31,37,41,43},0)),"소",
   AND(ISNUMBER(F127),MOD(F127,3)=0),"배",
   AND(ISNUMBER(F127),F127&gt;0),"자"
)</f>
        <v>자</v>
      </c>
      <c r="AH127" s="26" t="str" cm="1">
        <f t="array" ref="AH127">_xlfn.IFS(
   OR(G127="",ISBLANK(G127),G127=0),0,
   ISNUMBER(MATCH(G127,{2,3,5,7,11,13,17,19,23,29,31,37,41,43},0)),"소",
   AND(ISNUMBER(G127),MOD(G127,3)=0),"배",
   AND(ISNUMBER(G127),G127&gt;0),"자"
)</f>
        <v>배</v>
      </c>
      <c r="AI127" s="30"/>
      <c r="AJ127" s="3">
        <f t="shared" si="50"/>
        <v>1</v>
      </c>
      <c r="AK127" s="3">
        <f t="shared" si="51"/>
        <v>2</v>
      </c>
      <c r="AL127" s="3">
        <f t="shared" si="52"/>
        <v>3</v>
      </c>
      <c r="AM127" s="33"/>
      <c r="AN127" s="3">
        <f t="shared" si="53"/>
        <v>1</v>
      </c>
      <c r="AO127" s="3">
        <f t="shared" si="54"/>
        <v>0</v>
      </c>
      <c r="AP127" s="3">
        <f t="shared" si="55"/>
        <v>1</v>
      </c>
      <c r="AQ127" s="3">
        <f t="shared" si="56"/>
        <v>2</v>
      </c>
      <c r="AR127" s="3">
        <f t="shared" si="57"/>
        <v>2</v>
      </c>
      <c r="AS127" s="28" t="e">
        <f>#REF!</f>
        <v>#REF!</v>
      </c>
      <c r="AT127" s="28" t="e">
        <f>#REF!*2</f>
        <v>#REF!</v>
      </c>
      <c r="AU127" s="28" t="e">
        <f>#REF!</f>
        <v>#REF!</v>
      </c>
      <c r="AV127" s="28" t="e">
        <f>#REF!*2</f>
        <v>#REF!</v>
      </c>
      <c r="AW127" s="28" t="e">
        <f>#REF!</f>
        <v>#REF!</v>
      </c>
      <c r="AX127" s="28" t="e">
        <f>#REF!*2</f>
        <v>#REF!</v>
      </c>
      <c r="AY127" s="28" t="e">
        <f>#REF!</f>
        <v>#REF!</v>
      </c>
      <c r="AZ127" s="28" t="e">
        <f>#REF!*2</f>
        <v>#REF!</v>
      </c>
      <c r="BA127" s="28" t="e">
        <f>#REF!</f>
        <v>#REF!</v>
      </c>
      <c r="BB127" s="28" t="e">
        <f>#REF!*2</f>
        <v>#REF!</v>
      </c>
      <c r="BC127" s="28" t="e">
        <f>#REF!</f>
        <v>#REF!</v>
      </c>
      <c r="BD127" s="28" t="e">
        <f>#REF!*2</f>
        <v>#REF!</v>
      </c>
      <c r="BE127" s="9" t="e">
        <f>#REF!-#REF!</f>
        <v>#REF!</v>
      </c>
      <c r="BF127" s="9" t="e">
        <f>#REF!-#REF!</f>
        <v>#REF!</v>
      </c>
      <c r="BG127" s="9" t="e">
        <f>#REF!-#REF!</f>
        <v>#REF!</v>
      </c>
      <c r="BH127" s="9" t="e">
        <f>#REF!-#REF!</f>
        <v>#REF!</v>
      </c>
      <c r="BI127" s="9" t="e">
        <f>#REF!-#REF!</f>
        <v>#REF!</v>
      </c>
      <c r="BJ127" s="33"/>
      <c r="BK127" s="3">
        <f t="shared" si="58"/>
        <v>1</v>
      </c>
      <c r="BL127" s="3">
        <f t="shared" si="59"/>
        <v>0</v>
      </c>
      <c r="BM127" s="3">
        <f t="shared" si="60"/>
        <v>1</v>
      </c>
      <c r="BN127" s="3">
        <f t="shared" si="61"/>
        <v>3</v>
      </c>
      <c r="BO127" s="3">
        <f t="shared" si="62"/>
        <v>1</v>
      </c>
      <c r="BP127" s="28" t="e">
        <f>#REF!</f>
        <v>#REF!</v>
      </c>
      <c r="BQ127" s="28" t="e">
        <f>#REF!*2</f>
        <v>#REF!</v>
      </c>
      <c r="BR127" s="28" t="e">
        <f>#REF!</f>
        <v>#REF!</v>
      </c>
      <c r="BS127" s="28" t="e">
        <f>#REF!*2</f>
        <v>#REF!</v>
      </c>
      <c r="BT127" s="28" t="e">
        <f>#REF!</f>
        <v>#REF!</v>
      </c>
      <c r="BU127" s="28" t="e">
        <f>#REF!*2</f>
        <v>#REF!</v>
      </c>
      <c r="BV127" s="28" t="e">
        <f>#REF!</f>
        <v>#REF!</v>
      </c>
      <c r="BW127" s="28" t="e">
        <f>#REF!*2</f>
        <v>#REF!</v>
      </c>
      <c r="BX127" s="28" t="e">
        <f>#REF!</f>
        <v>#REF!</v>
      </c>
      <c r="BY127" s="28" t="e">
        <f>#REF!*2</f>
        <v>#REF!</v>
      </c>
      <c r="BZ127" s="28" t="e">
        <f>#REF!</f>
        <v>#REF!</v>
      </c>
      <c r="CA127" s="28" t="e">
        <f>#REF!*2</f>
        <v>#REF!</v>
      </c>
      <c r="CB127" s="9">
        <f t="shared" si="63"/>
        <v>21</v>
      </c>
      <c r="CC127" s="9">
        <f t="shared" si="64"/>
        <v>3</v>
      </c>
      <c r="CD127" s="9">
        <f t="shared" si="65"/>
        <v>6</v>
      </c>
      <c r="CE127" s="9">
        <f t="shared" si="66"/>
        <v>2</v>
      </c>
      <c r="CF127" s="9">
        <f t="shared" si="67"/>
        <v>4</v>
      </c>
      <c r="CG127" s="33"/>
      <c r="CH127" s="9">
        <f t="shared" si="68"/>
        <v>21</v>
      </c>
      <c r="CI127" s="9">
        <f t="shared" si="69"/>
        <v>3</v>
      </c>
      <c r="CJ127" s="9">
        <f t="shared" si="70"/>
        <v>6</v>
      </c>
      <c r="CK127" s="9">
        <f t="shared" si="71"/>
        <v>2</v>
      </c>
      <c r="CL127" s="9">
        <f t="shared" si="72"/>
        <v>4</v>
      </c>
      <c r="CM127" s="32"/>
      <c r="CN127" s="3">
        <f t="shared" si="73"/>
        <v>1</v>
      </c>
      <c r="CO127" s="3">
        <f t="shared" si="74"/>
        <v>1</v>
      </c>
      <c r="CP127" s="3">
        <f t="shared" si="75"/>
        <v>2</v>
      </c>
      <c r="CQ127" s="3">
        <f t="shared" si="76"/>
        <v>2</v>
      </c>
      <c r="CR127" s="3">
        <f t="shared" si="77"/>
        <v>2</v>
      </c>
      <c r="CS127" s="31"/>
      <c r="CT127" s="3" cm="1">
        <f t="array" ref="CT127">SUMPRODUCT(--(MOD(CH127:CL127,2)=1))</f>
        <v>2</v>
      </c>
      <c r="CU127" s="3">
        <f t="shared" si="78"/>
        <v>3</v>
      </c>
      <c r="CV127" s="30"/>
      <c r="CW127" s="3" cm="1">
        <f t="array" ref="CW127">SUMPRODUCT(--(MOD(CH127:CL127,10)&gt;=1), --(MOD(CH127:CL127,10)&lt;=5))</f>
        <v>4</v>
      </c>
      <c r="CX127" s="3">
        <f t="shared" si="79"/>
        <v>1</v>
      </c>
      <c r="CY127" s="30"/>
      <c r="CZ127" s="3" cm="1">
        <f t="array" ref="CZ127">IFERROR(COUNT(_xlfn._xlws.FILTER(CH127:CL127, ISNUMBER(MATCH(CH127:CL127, {2,3,5,7,11,13,17,19,23,29,31,37,41,43}, 0)))), 0)</f>
        <v>2</v>
      </c>
      <c r="DA127" s="3" cm="1">
        <f t="array" ref="DA127">IFERROR(COUNT(_xlfn._xlws.FILTER(CH127:CL127, ISNUMBER(MATCH(CH127:CL127, {1,4,8,10,14,16,20,22,25,26,28,32,34,35,38,40,44}, 0)))), 0)</f>
        <v>1</v>
      </c>
      <c r="DB127" s="3" cm="1">
        <f t="array" ref="DB127">IFERROR(COUNT(_xlfn._xlws.FILTER(CH127:CL127, ISNUMBER(MATCH(CH127:CL127, {6,9,12,15,18,21,24,27,30,33,36,39,42,45}, 0)))), 0)</f>
        <v>2</v>
      </c>
      <c r="DC127" s="29"/>
      <c r="DD127" s="28" t="e">
        <f>#REF!</f>
        <v>#REF!</v>
      </c>
      <c r="DE127" s="28" t="e">
        <f>#REF!*2</f>
        <v>#REF!</v>
      </c>
      <c r="DF127" s="28" t="e">
        <f>#REF!</f>
        <v>#REF!</v>
      </c>
      <c r="DG127" s="28" t="e">
        <f>#REF!*2</f>
        <v>#REF!</v>
      </c>
      <c r="DH127" s="28" t="e">
        <f>#REF!</f>
        <v>#REF!</v>
      </c>
      <c r="DI127" s="28" t="e">
        <f>#REF!*2</f>
        <v>#REF!</v>
      </c>
      <c r="DJ127" s="28" t="e">
        <f>#REF!</f>
        <v>#REF!</v>
      </c>
      <c r="DK127" s="28" t="e">
        <f>#REF!*2</f>
        <v>#REF!</v>
      </c>
      <c r="DL127" s="28" t="e">
        <f>#REF!</f>
        <v>#REF!</v>
      </c>
      <c r="DM127" s="28" t="e">
        <f>#REF!*2</f>
        <v>#REF!</v>
      </c>
      <c r="DN127" s="27"/>
      <c r="DO127" s="41" t="str" cm="1">
        <f t="array" ref="DO127">_xlfn.IFS(
   OR(CH127="",ISBLANK(CH127),CH127=0),0,
   ISNUMBER(MATCH(CH127,{2,3,5,7,11,13,17,19,23,29,31,37,41,43},0)),"소",
   AND(ISNUMBER(CH127),MOD(CH127,3)=0),"배",
   AND(ISNUMBER(CH127),CH127&gt;0),"자"
)</f>
        <v>배</v>
      </c>
      <c r="DP127" s="40" t="str" cm="1">
        <f t="array" ref="DP127">_xlfn.IFS(
   OR(CI127="",ISBLANK(CI127),CI127=0),0,
   ISNUMBER(MATCH(CI127,{2,3,5,7,11,13,17,19,23,29,31,37,41,43},0)),"소",
   AND(ISNUMBER(CI127),MOD(CI127,3)=0),"배",
   AND(ISNUMBER(CI127),CI127&gt;0),"자"
)</f>
        <v>소</v>
      </c>
      <c r="DQ127" s="40" t="str" cm="1">
        <f t="array" ref="DQ127">_xlfn.IFS(
   OR(CJ127="",ISBLANK(CJ127),CJ127=0),0,
   ISNUMBER(MATCH(CJ127,{2,3,5,7,11,13,17,19,23,29,31,37,41,43},0)),"소",
   AND(ISNUMBER(CJ127),MOD(CJ127,3)=0),"배",
   AND(ISNUMBER(CJ127),CJ127&gt;0),"자"
)</f>
        <v>배</v>
      </c>
      <c r="DR127" s="39" t="str" cm="1">
        <f t="array" ref="DR127">_xlfn.IFS(
   OR(CK127="",ISBLANK(CK127),CK127=0),0,
   ISNUMBER(MATCH(CK127,{2,3,5,7,11,13,17,19,23,29,31,37,41,43},0)),"소",
   AND(ISNUMBER(CK127),MOD(CK127,3)=0),"배",
   AND(ISNUMBER(CK127),CK127&gt;0),"자"
)</f>
        <v>소</v>
      </c>
      <c r="DS127" s="26" t="str" cm="1">
        <f t="array" ref="DS127">_xlfn.IFS(
   OR(CL127="",ISBLANK(CL127),CL127=0),0,
   ISNUMBER(MATCH(CL127,{2,3,5,7,11,13,17,19,23,29,31,37,41,43},0)),"소",
   AND(ISNUMBER(CL127),MOD(CL127,3)=0),"배",
   AND(ISNUMBER(CL127),CL127&gt;0),"자"
)</f>
        <v>자</v>
      </c>
      <c r="DT127" s="25"/>
    </row>
    <row r="128" spans="2:124" ht="14.25" thickBot="1" x14ac:dyDescent="0.35">
      <c r="B128" s="3">
        <v>2</v>
      </c>
      <c r="C128" s="3">
        <v>17</v>
      </c>
      <c r="D128" s="3">
        <v>20</v>
      </c>
      <c r="E128" s="3">
        <v>35</v>
      </c>
      <c r="F128" s="3">
        <v>37</v>
      </c>
      <c r="G128" s="3">
        <v>39</v>
      </c>
      <c r="H128" s="32"/>
      <c r="I128" s="3">
        <f t="shared" si="40"/>
        <v>2</v>
      </c>
      <c r="J128" s="3">
        <f t="shared" si="41"/>
        <v>1</v>
      </c>
      <c r="K128" s="3">
        <f t="shared" si="42"/>
        <v>2</v>
      </c>
      <c r="L128" s="3">
        <f t="shared" si="43"/>
        <v>1</v>
      </c>
      <c r="M128" s="3">
        <f t="shared" si="44"/>
        <v>1</v>
      </c>
      <c r="N128" s="3">
        <f t="shared" si="45"/>
        <v>1</v>
      </c>
      <c r="O128" s="32"/>
      <c r="P128" s="3" cm="1">
        <f t="array" ref="P128">SUMPRODUCT(--(MOD(B128:G128,2)=1))</f>
        <v>4</v>
      </c>
      <c r="Q128" s="3">
        <f t="shared" si="46"/>
        <v>2</v>
      </c>
      <c r="R128" s="34"/>
      <c r="S128" s="3">
        <f t="shared" si="47"/>
        <v>3</v>
      </c>
      <c r="T128" s="3">
        <f t="shared" si="48"/>
        <v>3</v>
      </c>
      <c r="U128" s="34"/>
      <c r="V128" s="3" cm="1">
        <f t="array" ref="V128">SUMPRODUCT(--(MOD(B128:G128,10)&gt;=1), --(MOD(B128:G128,10)&lt;=5))</f>
        <v>2</v>
      </c>
      <c r="W128" s="3">
        <f t="shared" si="49"/>
        <v>4</v>
      </c>
      <c r="X128" s="34"/>
      <c r="Y128" s="3" cm="1">
        <f t="array" ref="Y128">IFERROR(COUNT(_xlfn._xlws.FILTER(B128:G128, ISNUMBER(MATCH(B128:G128, {2,3,5,7,11,13,17,19,23,29,31,37,41,43}, 0)))), 0)</f>
        <v>3</v>
      </c>
      <c r="Z128" s="3" cm="1">
        <f t="array" ref="Z128">IFERROR(COUNT(_xlfn._xlws.FILTER(B128:G128, ISNUMBER(MATCH(B128:G128, {1,4,8,10,14,16,20,22,25,26,28,32,34,35,38,40,44}, 0)))), 0)</f>
        <v>2</v>
      </c>
      <c r="AA128" s="3" cm="1">
        <f t="array" ref="AA128">IFERROR(COUNT(_xlfn._xlws.FILTER(B128:G128, ISNUMBER(MATCH(B128:G128, {6,9,12,15,18,21,24,27,30,33,36,39,42,45}, 0)))), 0)</f>
        <v>1</v>
      </c>
      <c r="AB128" s="30"/>
      <c r="AC128" s="26" t="str" cm="1">
        <f t="array" ref="AC128">_xlfn.IFS(
   OR(B128="",ISBLANK(B128),B128=0),0,
   ISNUMBER(MATCH(B128,{2,3,5,7,11,13,17,19,23,29,31,37,41,43},0)),"소",
   AND(ISNUMBER(B128),MOD(B128,3)=0),"배",
   AND(ISNUMBER(B128),B128&gt;0),"자"
)</f>
        <v>소</v>
      </c>
      <c r="AD128" s="26" t="str" cm="1">
        <f t="array" ref="AD128">_xlfn.IFS(
   OR(C128="",ISBLANK(C128),C128=0),0,
   ISNUMBER(MATCH(C128,{2,3,5,7,11,13,17,19,23,29,31,37,41,43},0)),"소",
   AND(ISNUMBER(C128),MOD(C128,3)=0),"배",
   AND(ISNUMBER(C128),C128&gt;0),"자"
)</f>
        <v>소</v>
      </c>
      <c r="AE128" s="26" t="str" cm="1">
        <f t="array" ref="AE128">_xlfn.IFS(
   OR(D128="",ISBLANK(D128),D128=0),0,
   ISNUMBER(MATCH(D128,{2,3,5,7,11,13,17,19,23,29,31,37,41,43},0)),"소",
   AND(ISNUMBER(D128),MOD(D128,3)=0),"배",
   AND(ISNUMBER(D128),D128&gt;0),"자"
)</f>
        <v>자</v>
      </c>
      <c r="AF128" s="26" t="str" cm="1">
        <f t="array" ref="AF128">_xlfn.IFS(
   OR(E128="",ISBLANK(E128),E128=0),0,
   ISNUMBER(MATCH(E128,{2,3,5,7,11,13,17,19,23,29,31,37,41,43},0)),"소",
   AND(ISNUMBER(E128),MOD(E128,3)=0),"배",
   AND(ISNUMBER(E128),E128&gt;0),"자"
)</f>
        <v>자</v>
      </c>
      <c r="AG128" s="26" t="str" cm="1">
        <f t="array" ref="AG128">_xlfn.IFS(
   OR(F128="",ISBLANK(F128),F128=0),0,
   ISNUMBER(MATCH(F128,{2,3,5,7,11,13,17,19,23,29,31,37,41,43},0)),"소",
   AND(ISNUMBER(F128),MOD(F128,3)=0),"배",
   AND(ISNUMBER(F128),F128&gt;0),"자"
)</f>
        <v>소</v>
      </c>
      <c r="AH128" s="26" t="str" cm="1">
        <f t="array" ref="AH128">_xlfn.IFS(
   OR(G128="",ISBLANK(G128),G128=0),0,
   ISNUMBER(MATCH(G128,{2,3,5,7,11,13,17,19,23,29,31,37,41,43},0)),"소",
   AND(ISNUMBER(G128),MOD(G128,3)=0),"배",
   AND(ISNUMBER(G128),G128&gt;0),"자"
)</f>
        <v>배</v>
      </c>
      <c r="AI128" s="30"/>
      <c r="AJ128" s="3">
        <f t="shared" si="50"/>
        <v>1</v>
      </c>
      <c r="AK128" s="3">
        <f t="shared" si="51"/>
        <v>2</v>
      </c>
      <c r="AL128" s="3">
        <f t="shared" si="52"/>
        <v>3</v>
      </c>
      <c r="AM128" s="33"/>
      <c r="AN128" s="3">
        <f t="shared" si="53"/>
        <v>1</v>
      </c>
      <c r="AO128" s="3">
        <f t="shared" si="54"/>
        <v>1</v>
      </c>
      <c r="AP128" s="3">
        <f t="shared" si="55"/>
        <v>1</v>
      </c>
      <c r="AQ128" s="3">
        <f t="shared" si="56"/>
        <v>1</v>
      </c>
      <c r="AR128" s="3">
        <f t="shared" si="57"/>
        <v>2</v>
      </c>
      <c r="AS128" s="28" t="e">
        <f>#REF!</f>
        <v>#REF!</v>
      </c>
      <c r="AT128" s="28" t="e">
        <f>#REF!*2</f>
        <v>#REF!</v>
      </c>
      <c r="AU128" s="28" t="e">
        <f>#REF!</f>
        <v>#REF!</v>
      </c>
      <c r="AV128" s="28" t="e">
        <f>#REF!*2</f>
        <v>#REF!</v>
      </c>
      <c r="AW128" s="28" t="e">
        <f>#REF!</f>
        <v>#REF!</v>
      </c>
      <c r="AX128" s="28" t="e">
        <f>#REF!*2</f>
        <v>#REF!</v>
      </c>
      <c r="AY128" s="28" t="e">
        <f>#REF!</f>
        <v>#REF!</v>
      </c>
      <c r="AZ128" s="28" t="e">
        <f>#REF!*2</f>
        <v>#REF!</v>
      </c>
      <c r="BA128" s="28" t="e">
        <f>#REF!</f>
        <v>#REF!</v>
      </c>
      <c r="BB128" s="28" t="e">
        <f>#REF!*2</f>
        <v>#REF!</v>
      </c>
      <c r="BC128" s="28" t="e">
        <f>#REF!</f>
        <v>#REF!</v>
      </c>
      <c r="BD128" s="28" t="e">
        <f>#REF!*2</f>
        <v>#REF!</v>
      </c>
      <c r="BE128" s="9" t="e">
        <f>#REF!-#REF!</f>
        <v>#REF!</v>
      </c>
      <c r="BF128" s="9" t="e">
        <f>#REF!-#REF!</f>
        <v>#REF!</v>
      </c>
      <c r="BG128" s="9" t="e">
        <f>#REF!-#REF!</f>
        <v>#REF!</v>
      </c>
      <c r="BH128" s="9" t="e">
        <f>#REF!-#REF!</f>
        <v>#REF!</v>
      </c>
      <c r="BI128" s="9" t="e">
        <f>#REF!-#REF!</f>
        <v>#REF!</v>
      </c>
      <c r="BJ128" s="33"/>
      <c r="BK128" s="3">
        <f t="shared" si="58"/>
        <v>1</v>
      </c>
      <c r="BL128" s="3">
        <f t="shared" si="59"/>
        <v>1</v>
      </c>
      <c r="BM128" s="3">
        <f t="shared" si="60"/>
        <v>1</v>
      </c>
      <c r="BN128" s="3">
        <f t="shared" si="61"/>
        <v>3</v>
      </c>
      <c r="BO128" s="3">
        <f t="shared" si="62"/>
        <v>0</v>
      </c>
      <c r="BP128" s="28" t="e">
        <f>#REF!</f>
        <v>#REF!</v>
      </c>
      <c r="BQ128" s="28" t="e">
        <f>#REF!*2</f>
        <v>#REF!</v>
      </c>
      <c r="BR128" s="28" t="e">
        <f>#REF!</f>
        <v>#REF!</v>
      </c>
      <c r="BS128" s="28" t="e">
        <f>#REF!*2</f>
        <v>#REF!</v>
      </c>
      <c r="BT128" s="28" t="e">
        <f>#REF!</f>
        <v>#REF!</v>
      </c>
      <c r="BU128" s="28" t="e">
        <f>#REF!*2</f>
        <v>#REF!</v>
      </c>
      <c r="BV128" s="28" t="e">
        <f>#REF!</f>
        <v>#REF!</v>
      </c>
      <c r="BW128" s="28" t="e">
        <f>#REF!*2</f>
        <v>#REF!</v>
      </c>
      <c r="BX128" s="28" t="e">
        <f>#REF!</f>
        <v>#REF!</v>
      </c>
      <c r="BY128" s="28" t="e">
        <f>#REF!*2</f>
        <v>#REF!</v>
      </c>
      <c r="BZ128" s="28" t="e">
        <f>#REF!</f>
        <v>#REF!</v>
      </c>
      <c r="CA128" s="28" t="e">
        <f>#REF!*2</f>
        <v>#REF!</v>
      </c>
      <c r="CB128" s="9">
        <f t="shared" si="63"/>
        <v>15</v>
      </c>
      <c r="CC128" s="9">
        <f t="shared" si="64"/>
        <v>3</v>
      </c>
      <c r="CD128" s="9">
        <f t="shared" si="65"/>
        <v>15</v>
      </c>
      <c r="CE128" s="9">
        <f t="shared" si="66"/>
        <v>2</v>
      </c>
      <c r="CF128" s="9">
        <f t="shared" si="67"/>
        <v>2</v>
      </c>
      <c r="CG128" s="33"/>
      <c r="CH128" s="9">
        <f t="shared" si="68"/>
        <v>15</v>
      </c>
      <c r="CI128" s="12">
        <f t="shared" si="69"/>
        <v>3</v>
      </c>
      <c r="CJ128" s="9">
        <f t="shared" si="70"/>
        <v>15</v>
      </c>
      <c r="CK128" s="13">
        <f t="shared" si="71"/>
        <v>2</v>
      </c>
      <c r="CL128" s="11">
        <f t="shared" si="72"/>
        <v>2</v>
      </c>
      <c r="CM128" s="32"/>
      <c r="CN128" s="3">
        <f t="shared" si="73"/>
        <v>1</v>
      </c>
      <c r="CO128" s="3">
        <f t="shared" si="74"/>
        <v>1</v>
      </c>
      <c r="CP128" s="3">
        <f t="shared" si="75"/>
        <v>1</v>
      </c>
      <c r="CQ128" s="3">
        <f t="shared" si="76"/>
        <v>2</v>
      </c>
      <c r="CR128" s="3">
        <f t="shared" si="77"/>
        <v>2</v>
      </c>
      <c r="CS128" s="31"/>
      <c r="CT128" s="3" cm="1">
        <f t="array" ref="CT128">SUMPRODUCT(--(MOD(CH128:CL128,2)=1))</f>
        <v>3</v>
      </c>
      <c r="CU128" s="3">
        <f t="shared" si="78"/>
        <v>2</v>
      </c>
      <c r="CV128" s="30"/>
      <c r="CW128" s="3" cm="1">
        <f t="array" ref="CW128">SUMPRODUCT(--(MOD(CH128:CL128,10)&gt;=1), --(MOD(CH128:CL128,10)&lt;=5))</f>
        <v>5</v>
      </c>
      <c r="CX128" s="3">
        <f t="shared" si="79"/>
        <v>0</v>
      </c>
      <c r="CY128" s="30"/>
      <c r="CZ128" s="3" cm="1">
        <f t="array" ref="CZ128">IFERROR(COUNT(_xlfn._xlws.FILTER(CH128:CL128, ISNUMBER(MATCH(CH128:CL128, {2,3,5,7,11,13,17,19,23,29,31,37,41,43}, 0)))), 0)</f>
        <v>3</v>
      </c>
      <c r="DA128" s="3" cm="1">
        <f t="array" ref="DA128">IFERROR(COUNT(_xlfn._xlws.FILTER(CH128:CL128, ISNUMBER(MATCH(CH128:CL128, {1,4,8,10,14,16,20,22,25,26,28,32,34,35,38,40,44}, 0)))), 0)</f>
        <v>0</v>
      </c>
      <c r="DB128" s="3" cm="1">
        <f t="array" ref="DB128">IFERROR(COUNT(_xlfn._xlws.FILTER(CH128:CL128, ISNUMBER(MATCH(CH128:CL128, {6,9,12,15,18,21,24,27,30,33,36,39,42,45}, 0)))), 0)</f>
        <v>2</v>
      </c>
      <c r="DC128" s="29"/>
      <c r="DD128" s="28" t="e">
        <f>#REF!</f>
        <v>#REF!</v>
      </c>
      <c r="DE128" s="28" t="e">
        <f>#REF!*2</f>
        <v>#REF!</v>
      </c>
      <c r="DF128" s="28" t="e">
        <f>#REF!</f>
        <v>#REF!</v>
      </c>
      <c r="DG128" s="28" t="e">
        <f>#REF!*2</f>
        <v>#REF!</v>
      </c>
      <c r="DH128" s="28" t="e">
        <f>#REF!</f>
        <v>#REF!</v>
      </c>
      <c r="DI128" s="28" t="e">
        <f>#REF!*2</f>
        <v>#REF!</v>
      </c>
      <c r="DJ128" s="28" t="e">
        <f>#REF!</f>
        <v>#REF!</v>
      </c>
      <c r="DK128" s="28" t="e">
        <f>#REF!*2</f>
        <v>#REF!</v>
      </c>
      <c r="DL128" s="28" t="e">
        <f>#REF!</f>
        <v>#REF!</v>
      </c>
      <c r="DM128" s="28" t="e">
        <f>#REF!*2</f>
        <v>#REF!</v>
      </c>
      <c r="DN128" s="27"/>
      <c r="DO128" s="38" t="str" cm="1">
        <f t="array" ref="DO128">_xlfn.IFS(
   OR(CH128="",ISBLANK(CH128),CH128=0),0,
   ISNUMBER(MATCH(CH128,{2,3,5,7,11,13,17,19,23,29,31,37,41,43},0)),"소",
   AND(ISNUMBER(CH128),MOD(CH128,3)=0),"배",
   AND(ISNUMBER(CH128),CH128&gt;0),"자"
)</f>
        <v>배</v>
      </c>
      <c r="DP128" s="37" t="str" cm="1">
        <f t="array" ref="DP128">_xlfn.IFS(
   OR(CI128="",ISBLANK(CI128),CI128=0),0,
   ISNUMBER(MATCH(CI128,{2,3,5,7,11,13,17,19,23,29,31,37,41,43},0)),"소",
   AND(ISNUMBER(CI128),MOD(CI128,3)=0),"배",
   AND(ISNUMBER(CI128),CI128&gt;0),"자"
)</f>
        <v>소</v>
      </c>
      <c r="DQ128" s="37" t="str" cm="1">
        <f t="array" ref="DQ128">_xlfn.IFS(
   OR(CJ128="",ISBLANK(CJ128),CJ128=0),0,
   ISNUMBER(MATCH(CJ128,{2,3,5,7,11,13,17,19,23,29,31,37,41,43},0)),"소",
   AND(ISNUMBER(CJ128),MOD(CJ128,3)=0),"배",
   AND(ISNUMBER(CJ128),CJ128&gt;0),"자"
)</f>
        <v>배</v>
      </c>
      <c r="DR128" s="36" t="str" cm="1">
        <f t="array" ref="DR128">_xlfn.IFS(
   OR(CK128="",ISBLANK(CK128),CK128=0),0,
   ISNUMBER(MATCH(CK128,{2,3,5,7,11,13,17,19,23,29,31,37,41,43},0)),"소",
   AND(ISNUMBER(CK128),MOD(CK128,3)=0),"배",
   AND(ISNUMBER(CK128),CK128&gt;0),"자"
)</f>
        <v>소</v>
      </c>
      <c r="DS128" s="26" t="str" cm="1">
        <f t="array" ref="DS128">_xlfn.IFS(
   OR(CL128="",ISBLANK(CL128),CL128=0),0,
   ISNUMBER(MATCH(CL128,{2,3,5,7,11,13,17,19,23,29,31,37,41,43},0)),"소",
   AND(ISNUMBER(CL128),MOD(CL128,3)=0),"배",
   AND(ISNUMBER(CL128),CL128&gt;0),"자"
)</f>
        <v>소</v>
      </c>
      <c r="DT128" s="25"/>
    </row>
    <row r="129" spans="2:124" x14ac:dyDescent="0.3">
      <c r="B129" s="3">
        <v>1</v>
      </c>
      <c r="C129" s="3">
        <v>7</v>
      </c>
      <c r="D129" s="3">
        <v>9</v>
      </c>
      <c r="E129" s="3">
        <v>17</v>
      </c>
      <c r="F129" s="3">
        <v>27</v>
      </c>
      <c r="G129" s="3">
        <v>38</v>
      </c>
      <c r="H129" s="32"/>
      <c r="I129" s="3">
        <f t="shared" si="40"/>
        <v>1</v>
      </c>
      <c r="J129" s="3">
        <f t="shared" si="41"/>
        <v>1</v>
      </c>
      <c r="K129" s="3">
        <f t="shared" si="42"/>
        <v>1</v>
      </c>
      <c r="L129" s="3">
        <f t="shared" si="43"/>
        <v>1</v>
      </c>
      <c r="M129" s="3">
        <f t="shared" si="44"/>
        <v>1</v>
      </c>
      <c r="N129" s="3">
        <f t="shared" si="45"/>
        <v>2</v>
      </c>
      <c r="O129" s="32"/>
      <c r="P129" s="3" cm="1">
        <f t="array" ref="P129">SUMPRODUCT(--(MOD(B129:G129,2)=1))</f>
        <v>5</v>
      </c>
      <c r="Q129" s="3">
        <f t="shared" si="46"/>
        <v>1</v>
      </c>
      <c r="R129" s="34"/>
      <c r="S129" s="3">
        <f t="shared" si="47"/>
        <v>4</v>
      </c>
      <c r="T129" s="3">
        <f t="shared" si="48"/>
        <v>2</v>
      </c>
      <c r="U129" s="34"/>
      <c r="V129" s="3" cm="1">
        <f t="array" ref="V129">SUMPRODUCT(--(MOD(B129:G129,10)&gt;=1), --(MOD(B129:G129,10)&lt;=5))</f>
        <v>1</v>
      </c>
      <c r="W129" s="3">
        <f t="shared" si="49"/>
        <v>5</v>
      </c>
      <c r="X129" s="34"/>
      <c r="Y129" s="3" cm="1">
        <f t="array" ref="Y129">IFERROR(COUNT(_xlfn._xlws.FILTER(B129:G129, ISNUMBER(MATCH(B129:G129, {2,3,5,7,11,13,17,19,23,29,31,37,41,43}, 0)))), 0)</f>
        <v>2</v>
      </c>
      <c r="Z129" s="3" cm="1">
        <f t="array" ref="Z129">IFERROR(COUNT(_xlfn._xlws.FILTER(B129:G129, ISNUMBER(MATCH(B129:G129, {1,4,8,10,14,16,20,22,25,26,28,32,34,35,38,40,44}, 0)))), 0)</f>
        <v>2</v>
      </c>
      <c r="AA129" s="3" cm="1">
        <f t="array" ref="AA129">IFERROR(COUNT(_xlfn._xlws.FILTER(B129:G129, ISNUMBER(MATCH(B129:G129, {6,9,12,15,18,21,24,27,30,33,36,39,42,45}, 0)))), 0)</f>
        <v>2</v>
      </c>
      <c r="AB129" s="30"/>
      <c r="AC129" s="26" t="str" cm="1">
        <f t="array" ref="AC129">_xlfn.IFS(
   OR(B129="",ISBLANK(B129),B129=0),0,
   ISNUMBER(MATCH(B129,{2,3,5,7,11,13,17,19,23,29,31,37,41,43},0)),"소",
   AND(ISNUMBER(B129),MOD(B129,3)=0),"배",
   AND(ISNUMBER(B129),B129&gt;0),"자"
)</f>
        <v>자</v>
      </c>
      <c r="AD129" s="26" t="str" cm="1">
        <f t="array" ref="AD129">_xlfn.IFS(
   OR(C129="",ISBLANK(C129),C129=0),0,
   ISNUMBER(MATCH(C129,{2,3,5,7,11,13,17,19,23,29,31,37,41,43},0)),"소",
   AND(ISNUMBER(C129),MOD(C129,3)=0),"배",
   AND(ISNUMBER(C129),C129&gt;0),"자"
)</f>
        <v>소</v>
      </c>
      <c r="AE129" s="26" t="str" cm="1">
        <f t="array" ref="AE129">_xlfn.IFS(
   OR(D129="",ISBLANK(D129),D129=0),0,
   ISNUMBER(MATCH(D129,{2,3,5,7,11,13,17,19,23,29,31,37,41,43},0)),"소",
   AND(ISNUMBER(D129),MOD(D129,3)=0),"배",
   AND(ISNUMBER(D129),D129&gt;0),"자"
)</f>
        <v>배</v>
      </c>
      <c r="AF129" s="26" t="str" cm="1">
        <f t="array" ref="AF129">_xlfn.IFS(
   OR(E129="",ISBLANK(E129),E129=0),0,
   ISNUMBER(MATCH(E129,{2,3,5,7,11,13,17,19,23,29,31,37,41,43},0)),"소",
   AND(ISNUMBER(E129),MOD(E129,3)=0),"배",
   AND(ISNUMBER(E129),E129&gt;0),"자"
)</f>
        <v>소</v>
      </c>
      <c r="AG129" s="26" t="str" cm="1">
        <f t="array" ref="AG129">_xlfn.IFS(
   OR(F129="",ISBLANK(F129),F129=0),0,
   ISNUMBER(MATCH(F129,{2,3,5,7,11,13,17,19,23,29,31,37,41,43},0)),"소",
   AND(ISNUMBER(F129),MOD(F129,3)=0),"배",
   AND(ISNUMBER(F129),F129&gt;0),"자"
)</f>
        <v>배</v>
      </c>
      <c r="AH129" s="26" t="str" cm="1">
        <f t="array" ref="AH129">_xlfn.IFS(
   OR(G129="",ISBLANK(G129),G129=0),0,
   ISNUMBER(MATCH(G129,{2,3,5,7,11,13,17,19,23,29,31,37,41,43},0)),"소",
   AND(ISNUMBER(G129),MOD(G129,3)=0),"배",
   AND(ISNUMBER(G129),G129&gt;0),"자"
)</f>
        <v>자</v>
      </c>
      <c r="AI129" s="30"/>
      <c r="AJ129" s="3">
        <f t="shared" si="50"/>
        <v>3</v>
      </c>
      <c r="AK129" s="3">
        <f t="shared" si="51"/>
        <v>2</v>
      </c>
      <c r="AL129" s="3">
        <f t="shared" si="52"/>
        <v>1</v>
      </c>
      <c r="AM129" s="33"/>
      <c r="AN129" s="3">
        <f t="shared" si="53"/>
        <v>3</v>
      </c>
      <c r="AO129" s="3">
        <f t="shared" si="54"/>
        <v>1</v>
      </c>
      <c r="AP129" s="3">
        <f t="shared" si="55"/>
        <v>1</v>
      </c>
      <c r="AQ129" s="3">
        <f t="shared" si="56"/>
        <v>0</v>
      </c>
      <c r="AR129" s="3">
        <f t="shared" si="57"/>
        <v>1</v>
      </c>
      <c r="AS129" s="28" t="e">
        <f>#REF!</f>
        <v>#REF!</v>
      </c>
      <c r="AT129" s="28" t="e">
        <f>#REF!*2</f>
        <v>#REF!</v>
      </c>
      <c r="AU129" s="28" t="e">
        <f>#REF!</f>
        <v>#REF!</v>
      </c>
      <c r="AV129" s="28" t="e">
        <f>#REF!*2</f>
        <v>#REF!</v>
      </c>
      <c r="AW129" s="28" t="e">
        <f>#REF!</f>
        <v>#REF!</v>
      </c>
      <c r="AX129" s="28" t="e">
        <f>#REF!*2</f>
        <v>#REF!</v>
      </c>
      <c r="AY129" s="28" t="e">
        <f>#REF!</f>
        <v>#REF!</v>
      </c>
      <c r="AZ129" s="28" t="e">
        <f>#REF!*2</f>
        <v>#REF!</v>
      </c>
      <c r="BA129" s="28" t="e">
        <f>#REF!</f>
        <v>#REF!</v>
      </c>
      <c r="BB129" s="28" t="e">
        <f>#REF!*2</f>
        <v>#REF!</v>
      </c>
      <c r="BC129" s="28" t="e">
        <f>#REF!</f>
        <v>#REF!</v>
      </c>
      <c r="BD129" s="28" t="e">
        <f>#REF!*2</f>
        <v>#REF!</v>
      </c>
      <c r="BE129" s="9" t="e">
        <f>#REF!-#REF!</f>
        <v>#REF!</v>
      </c>
      <c r="BF129" s="9" t="e">
        <f>#REF!-#REF!</f>
        <v>#REF!</v>
      </c>
      <c r="BG129" s="9" t="e">
        <f>#REF!-#REF!</f>
        <v>#REF!</v>
      </c>
      <c r="BH129" s="9" t="e">
        <f>#REF!-#REF!</f>
        <v>#REF!</v>
      </c>
      <c r="BI129" s="9" t="e">
        <f>#REF!-#REF!</f>
        <v>#REF!</v>
      </c>
      <c r="BJ129" s="33"/>
      <c r="BK129" s="3">
        <f t="shared" si="58"/>
        <v>3</v>
      </c>
      <c r="BL129" s="3">
        <f t="shared" si="59"/>
        <v>1</v>
      </c>
      <c r="BM129" s="3">
        <f t="shared" si="60"/>
        <v>1</v>
      </c>
      <c r="BN129" s="3">
        <f t="shared" si="61"/>
        <v>1</v>
      </c>
      <c r="BO129" s="3">
        <f t="shared" si="62"/>
        <v>0</v>
      </c>
      <c r="BP129" s="28" t="e">
        <f>#REF!</f>
        <v>#REF!</v>
      </c>
      <c r="BQ129" s="28" t="e">
        <f>#REF!*2</f>
        <v>#REF!</v>
      </c>
      <c r="BR129" s="28" t="e">
        <f>#REF!</f>
        <v>#REF!</v>
      </c>
      <c r="BS129" s="28" t="e">
        <f>#REF!*2</f>
        <v>#REF!</v>
      </c>
      <c r="BT129" s="28" t="e">
        <f>#REF!</f>
        <v>#REF!</v>
      </c>
      <c r="BU129" s="28" t="e">
        <f>#REF!*2</f>
        <v>#REF!</v>
      </c>
      <c r="BV129" s="28" t="e">
        <f>#REF!</f>
        <v>#REF!</v>
      </c>
      <c r="BW129" s="28" t="e">
        <f>#REF!*2</f>
        <v>#REF!</v>
      </c>
      <c r="BX129" s="28" t="e">
        <f>#REF!</f>
        <v>#REF!</v>
      </c>
      <c r="BY129" s="28" t="e">
        <f>#REF!*2</f>
        <v>#REF!</v>
      </c>
      <c r="BZ129" s="28" t="e">
        <f>#REF!</f>
        <v>#REF!</v>
      </c>
      <c r="CA129" s="28" t="e">
        <f>#REF!*2</f>
        <v>#REF!</v>
      </c>
      <c r="CB129" s="9">
        <f t="shared" si="63"/>
        <v>6</v>
      </c>
      <c r="CC129" s="9">
        <f t="shared" si="64"/>
        <v>2</v>
      </c>
      <c r="CD129" s="9">
        <f t="shared" si="65"/>
        <v>8</v>
      </c>
      <c r="CE129" s="9">
        <f t="shared" si="66"/>
        <v>10</v>
      </c>
      <c r="CF129" s="9">
        <f t="shared" si="67"/>
        <v>11</v>
      </c>
      <c r="CG129" s="33"/>
      <c r="CH129" s="9">
        <f t="shared" si="68"/>
        <v>6</v>
      </c>
      <c r="CI129" s="9">
        <f t="shared" si="69"/>
        <v>2</v>
      </c>
      <c r="CJ129" s="9">
        <f t="shared" si="70"/>
        <v>8</v>
      </c>
      <c r="CK129" s="9">
        <f t="shared" si="71"/>
        <v>10</v>
      </c>
      <c r="CL129" s="9">
        <f t="shared" si="72"/>
        <v>11</v>
      </c>
      <c r="CM129" s="32"/>
      <c r="CN129" s="3">
        <f t="shared" si="73"/>
        <v>2</v>
      </c>
      <c r="CO129" s="3">
        <f t="shared" si="74"/>
        <v>2</v>
      </c>
      <c r="CP129" s="3">
        <f t="shared" si="75"/>
        <v>2</v>
      </c>
      <c r="CQ129" s="3">
        <f t="shared" si="76"/>
        <v>2</v>
      </c>
      <c r="CR129" s="3">
        <f t="shared" si="77"/>
        <v>1</v>
      </c>
      <c r="CS129" s="31"/>
      <c r="CT129" s="3" cm="1">
        <f t="array" ref="CT129">SUMPRODUCT(--(MOD(CH129:CL129,2)=1))</f>
        <v>1</v>
      </c>
      <c r="CU129" s="3">
        <f t="shared" si="78"/>
        <v>4</v>
      </c>
      <c r="CV129" s="30"/>
      <c r="CW129" s="3" cm="1">
        <f t="array" ref="CW129">SUMPRODUCT(--(MOD(CH129:CL129,10)&gt;=1), --(MOD(CH129:CL129,10)&lt;=5))</f>
        <v>2</v>
      </c>
      <c r="CX129" s="3">
        <f t="shared" si="79"/>
        <v>3</v>
      </c>
      <c r="CY129" s="30"/>
      <c r="CZ129" s="3" cm="1">
        <f t="array" ref="CZ129">IFERROR(COUNT(_xlfn._xlws.FILTER(CH129:CL129, ISNUMBER(MATCH(CH129:CL129, {2,3,5,7,11,13,17,19,23,29,31,37,41,43}, 0)))), 0)</f>
        <v>2</v>
      </c>
      <c r="DA129" s="3" cm="1">
        <f t="array" ref="DA129">IFERROR(COUNT(_xlfn._xlws.FILTER(CH129:CL129, ISNUMBER(MATCH(CH129:CL129, {1,4,8,10,14,16,20,22,25,26,28,32,34,35,38,40,44}, 0)))), 0)</f>
        <v>2</v>
      </c>
      <c r="DB129" s="3" cm="1">
        <f t="array" ref="DB129">IFERROR(COUNT(_xlfn._xlws.FILTER(CH129:CL129, ISNUMBER(MATCH(CH129:CL129, {6,9,12,15,18,21,24,27,30,33,36,39,42,45}, 0)))), 0)</f>
        <v>1</v>
      </c>
      <c r="DC129" s="29"/>
      <c r="DD129" s="28" t="e">
        <f>#REF!</f>
        <v>#REF!</v>
      </c>
      <c r="DE129" s="28" t="e">
        <f>#REF!*2</f>
        <v>#REF!</v>
      </c>
      <c r="DF129" s="28" t="e">
        <f>#REF!</f>
        <v>#REF!</v>
      </c>
      <c r="DG129" s="28" t="e">
        <f>#REF!*2</f>
        <v>#REF!</v>
      </c>
      <c r="DH129" s="28" t="e">
        <f>#REF!</f>
        <v>#REF!</v>
      </c>
      <c r="DI129" s="28" t="e">
        <f>#REF!*2</f>
        <v>#REF!</v>
      </c>
      <c r="DJ129" s="28" t="e">
        <f>#REF!</f>
        <v>#REF!</v>
      </c>
      <c r="DK129" s="28" t="e">
        <f>#REF!*2</f>
        <v>#REF!</v>
      </c>
      <c r="DL129" s="28" t="e">
        <f>#REF!</f>
        <v>#REF!</v>
      </c>
      <c r="DM129" s="28" t="e">
        <f>#REF!*2</f>
        <v>#REF!</v>
      </c>
      <c r="DN129" s="27"/>
      <c r="DO129" s="26" t="str" cm="1">
        <f t="array" ref="DO129">_xlfn.IFS(
   OR(CH129="",ISBLANK(CH129),CH129=0),0,
   ISNUMBER(MATCH(CH129,{2,3,5,7,11,13,17,19,23,29,31,37,41,43},0)),"소",
   AND(ISNUMBER(CH129),MOD(CH129,3)=0),"배",
   AND(ISNUMBER(CH129),CH129&gt;0),"자"
)</f>
        <v>배</v>
      </c>
      <c r="DP129" s="26" t="str" cm="1">
        <f t="array" ref="DP129">_xlfn.IFS(
   OR(CI129="",ISBLANK(CI129),CI129=0),0,
   ISNUMBER(MATCH(CI129,{2,3,5,7,11,13,17,19,23,29,31,37,41,43},0)),"소",
   AND(ISNUMBER(CI129),MOD(CI129,3)=0),"배",
   AND(ISNUMBER(CI129),CI129&gt;0),"자"
)</f>
        <v>소</v>
      </c>
      <c r="DQ129" s="26" t="str" cm="1">
        <f t="array" ref="DQ129">_xlfn.IFS(
   OR(CJ129="",ISBLANK(CJ129),CJ129=0),0,
   ISNUMBER(MATCH(CJ129,{2,3,5,7,11,13,17,19,23,29,31,37,41,43},0)),"소",
   AND(ISNUMBER(CJ129),MOD(CJ129,3)=0),"배",
   AND(ISNUMBER(CJ129),CJ129&gt;0),"자"
)</f>
        <v>자</v>
      </c>
      <c r="DR129" s="26" t="str" cm="1">
        <f t="array" ref="DR129">_xlfn.IFS(
   OR(CK129="",ISBLANK(CK129),CK129=0),0,
   ISNUMBER(MATCH(CK129,{2,3,5,7,11,13,17,19,23,29,31,37,41,43},0)),"소",
   AND(ISNUMBER(CK129),MOD(CK129,3)=0),"배",
   AND(ISNUMBER(CK129),CK129&gt;0),"자"
)</f>
        <v>자</v>
      </c>
      <c r="DS129" s="26" t="str" cm="1">
        <f t="array" ref="DS129">_xlfn.IFS(
   OR(CL129="",ISBLANK(CL129),CL129=0),0,
   ISNUMBER(MATCH(CL129,{2,3,5,7,11,13,17,19,23,29,31,37,41,43},0)),"소",
   AND(ISNUMBER(CL129),MOD(CL129,3)=0),"배",
   AND(ISNUMBER(CL129),CL129&gt;0),"자"
)</f>
        <v>소</v>
      </c>
      <c r="DT129" s="25"/>
    </row>
    <row r="130" spans="2:124" ht="14.25" thickBot="1" x14ac:dyDescent="0.35">
      <c r="B130" s="3">
        <v>23</v>
      </c>
      <c r="C130" s="3">
        <v>26</v>
      </c>
      <c r="D130" s="3">
        <v>27</v>
      </c>
      <c r="E130" s="3">
        <v>35</v>
      </c>
      <c r="F130" s="3">
        <v>38</v>
      </c>
      <c r="G130" s="3">
        <v>40</v>
      </c>
      <c r="H130" s="32"/>
      <c r="I130" s="3">
        <f t="shared" si="40"/>
        <v>1</v>
      </c>
      <c r="J130" s="3">
        <f t="shared" si="41"/>
        <v>2</v>
      </c>
      <c r="K130" s="3">
        <f t="shared" si="42"/>
        <v>1</v>
      </c>
      <c r="L130" s="3">
        <f t="shared" si="43"/>
        <v>1</v>
      </c>
      <c r="M130" s="3">
        <f t="shared" si="44"/>
        <v>2</v>
      </c>
      <c r="N130" s="3">
        <f t="shared" si="45"/>
        <v>2</v>
      </c>
      <c r="O130" s="32"/>
      <c r="P130" s="3" cm="1">
        <f t="array" ref="P130">SUMPRODUCT(--(MOD(B130:G130,2)=1))</f>
        <v>3</v>
      </c>
      <c r="Q130" s="3">
        <f t="shared" si="46"/>
        <v>3</v>
      </c>
      <c r="R130" s="34"/>
      <c r="S130" s="3">
        <f t="shared" si="47"/>
        <v>1</v>
      </c>
      <c r="T130" s="3">
        <f t="shared" si="48"/>
        <v>5</v>
      </c>
      <c r="U130" s="34"/>
      <c r="V130" s="3" cm="1">
        <f t="array" ref="V130">SUMPRODUCT(--(MOD(B130:G130,10)&gt;=1), --(MOD(B130:G130,10)&lt;=5))</f>
        <v>2</v>
      </c>
      <c r="W130" s="3">
        <f t="shared" si="49"/>
        <v>4</v>
      </c>
      <c r="X130" s="34"/>
      <c r="Y130" s="3" cm="1">
        <f t="array" ref="Y130">IFERROR(COUNT(_xlfn._xlws.FILTER(B130:G130, ISNUMBER(MATCH(B130:G130, {2,3,5,7,11,13,17,19,23,29,31,37,41,43}, 0)))), 0)</f>
        <v>1</v>
      </c>
      <c r="Z130" s="3" cm="1">
        <f t="array" ref="Z130">IFERROR(COUNT(_xlfn._xlws.FILTER(B130:G130, ISNUMBER(MATCH(B130:G130, {1,4,8,10,14,16,20,22,25,26,28,32,34,35,38,40,44}, 0)))), 0)</f>
        <v>4</v>
      </c>
      <c r="AA130" s="3" cm="1">
        <f t="array" ref="AA130">IFERROR(COUNT(_xlfn._xlws.FILTER(B130:G130, ISNUMBER(MATCH(B130:G130, {6,9,12,15,18,21,24,27,30,33,36,39,42,45}, 0)))), 0)</f>
        <v>1</v>
      </c>
      <c r="AB130" s="30"/>
      <c r="AC130" s="26" t="str" cm="1">
        <f t="array" ref="AC130">_xlfn.IFS(
   OR(B130="",ISBLANK(B130),B130=0),0,
   ISNUMBER(MATCH(B130,{2,3,5,7,11,13,17,19,23,29,31,37,41,43},0)),"소",
   AND(ISNUMBER(B130),MOD(B130,3)=0),"배",
   AND(ISNUMBER(B130),B130&gt;0),"자"
)</f>
        <v>소</v>
      </c>
      <c r="AD130" s="26" t="str" cm="1">
        <f t="array" ref="AD130">_xlfn.IFS(
   OR(C130="",ISBLANK(C130),C130=0),0,
   ISNUMBER(MATCH(C130,{2,3,5,7,11,13,17,19,23,29,31,37,41,43},0)),"소",
   AND(ISNUMBER(C130),MOD(C130,3)=0),"배",
   AND(ISNUMBER(C130),C130&gt;0),"자"
)</f>
        <v>자</v>
      </c>
      <c r="AE130" s="26" t="str" cm="1">
        <f t="array" ref="AE130">_xlfn.IFS(
   OR(D130="",ISBLANK(D130),D130=0),0,
   ISNUMBER(MATCH(D130,{2,3,5,7,11,13,17,19,23,29,31,37,41,43},0)),"소",
   AND(ISNUMBER(D130),MOD(D130,3)=0),"배",
   AND(ISNUMBER(D130),D130&gt;0),"자"
)</f>
        <v>배</v>
      </c>
      <c r="AF130" s="26" t="str" cm="1">
        <f t="array" ref="AF130">_xlfn.IFS(
   OR(E130="",ISBLANK(E130),E130=0),0,
   ISNUMBER(MATCH(E130,{2,3,5,7,11,13,17,19,23,29,31,37,41,43},0)),"소",
   AND(ISNUMBER(E130),MOD(E130,3)=0),"배",
   AND(ISNUMBER(E130),E130&gt;0),"자"
)</f>
        <v>자</v>
      </c>
      <c r="AG130" s="26" t="str" cm="1">
        <f t="array" ref="AG130">_xlfn.IFS(
   OR(F130="",ISBLANK(F130),F130=0),0,
   ISNUMBER(MATCH(F130,{2,3,5,7,11,13,17,19,23,29,31,37,41,43},0)),"소",
   AND(ISNUMBER(F130),MOD(F130,3)=0),"배",
   AND(ISNUMBER(F130),F130&gt;0),"자"
)</f>
        <v>자</v>
      </c>
      <c r="AH130" s="26" t="str" cm="1">
        <f t="array" ref="AH130">_xlfn.IFS(
   OR(G130="",ISBLANK(G130),G130=0),0,
   ISNUMBER(MATCH(G130,{2,3,5,7,11,13,17,19,23,29,31,37,41,43},0)),"소",
   AND(ISNUMBER(G130),MOD(G130,3)=0),"배",
   AND(ISNUMBER(G130),G130&gt;0),"자"
)</f>
        <v>자</v>
      </c>
      <c r="AI130" s="30"/>
      <c r="AJ130" s="3">
        <f t="shared" si="50"/>
        <v>0</v>
      </c>
      <c r="AK130" s="3">
        <f t="shared" si="51"/>
        <v>3</v>
      </c>
      <c r="AL130" s="3">
        <f t="shared" si="52"/>
        <v>3</v>
      </c>
      <c r="AM130" s="33"/>
      <c r="AN130" s="3">
        <f t="shared" si="53"/>
        <v>0</v>
      </c>
      <c r="AO130" s="3">
        <f t="shared" si="54"/>
        <v>0</v>
      </c>
      <c r="AP130" s="3">
        <f t="shared" si="55"/>
        <v>3</v>
      </c>
      <c r="AQ130" s="3">
        <f t="shared" si="56"/>
        <v>1</v>
      </c>
      <c r="AR130" s="3">
        <f t="shared" si="57"/>
        <v>2</v>
      </c>
      <c r="AS130" s="28" t="e">
        <f>#REF!</f>
        <v>#REF!</v>
      </c>
      <c r="AT130" s="28" t="e">
        <f>#REF!*2</f>
        <v>#REF!</v>
      </c>
      <c r="AU130" s="28" t="e">
        <f>#REF!</f>
        <v>#REF!</v>
      </c>
      <c r="AV130" s="28" t="e">
        <f>#REF!*2</f>
        <v>#REF!</v>
      </c>
      <c r="AW130" s="28" t="e">
        <f>#REF!</f>
        <v>#REF!</v>
      </c>
      <c r="AX130" s="28" t="e">
        <f>#REF!*2</f>
        <v>#REF!</v>
      </c>
      <c r="AY130" s="28" t="e">
        <f>#REF!</f>
        <v>#REF!</v>
      </c>
      <c r="AZ130" s="28" t="e">
        <f>#REF!*2</f>
        <v>#REF!</v>
      </c>
      <c r="BA130" s="28" t="e">
        <f>#REF!</f>
        <v>#REF!</v>
      </c>
      <c r="BB130" s="28" t="e">
        <f>#REF!*2</f>
        <v>#REF!</v>
      </c>
      <c r="BC130" s="28" t="e">
        <f>#REF!</f>
        <v>#REF!</v>
      </c>
      <c r="BD130" s="28" t="e">
        <f>#REF!*2</f>
        <v>#REF!</v>
      </c>
      <c r="BE130" s="9" t="e">
        <f>#REF!-#REF!</f>
        <v>#REF!</v>
      </c>
      <c r="BF130" s="9" t="e">
        <f>#REF!-#REF!</f>
        <v>#REF!</v>
      </c>
      <c r="BG130" s="9" t="e">
        <f>#REF!-#REF!</f>
        <v>#REF!</v>
      </c>
      <c r="BH130" s="9" t="e">
        <f>#REF!-#REF!</f>
        <v>#REF!</v>
      </c>
      <c r="BI130" s="9" t="e">
        <f>#REF!-#REF!</f>
        <v>#REF!</v>
      </c>
      <c r="BJ130" s="33"/>
      <c r="BK130" s="3">
        <f t="shared" si="58"/>
        <v>0</v>
      </c>
      <c r="BL130" s="3">
        <f t="shared" si="59"/>
        <v>0</v>
      </c>
      <c r="BM130" s="3">
        <f t="shared" si="60"/>
        <v>3</v>
      </c>
      <c r="BN130" s="3">
        <f t="shared" si="61"/>
        <v>2</v>
      </c>
      <c r="BO130" s="3">
        <f t="shared" si="62"/>
        <v>1</v>
      </c>
      <c r="BP130" s="28" t="e">
        <f>#REF!</f>
        <v>#REF!</v>
      </c>
      <c r="BQ130" s="28" t="e">
        <f>#REF!*2</f>
        <v>#REF!</v>
      </c>
      <c r="BR130" s="28" t="e">
        <f>#REF!</f>
        <v>#REF!</v>
      </c>
      <c r="BS130" s="28" t="e">
        <f>#REF!*2</f>
        <v>#REF!</v>
      </c>
      <c r="BT130" s="28" t="e">
        <f>#REF!</f>
        <v>#REF!</v>
      </c>
      <c r="BU130" s="28" t="e">
        <f>#REF!*2</f>
        <v>#REF!</v>
      </c>
      <c r="BV130" s="28" t="e">
        <f>#REF!</f>
        <v>#REF!</v>
      </c>
      <c r="BW130" s="28" t="e">
        <f>#REF!*2</f>
        <v>#REF!</v>
      </c>
      <c r="BX130" s="28" t="e">
        <f>#REF!</f>
        <v>#REF!</v>
      </c>
      <c r="BY130" s="28" t="e">
        <f>#REF!*2</f>
        <v>#REF!</v>
      </c>
      <c r="BZ130" s="28" t="e">
        <f>#REF!</f>
        <v>#REF!</v>
      </c>
      <c r="CA130" s="28" t="e">
        <f>#REF!*2</f>
        <v>#REF!</v>
      </c>
      <c r="CB130" s="9">
        <f t="shared" si="63"/>
        <v>3</v>
      </c>
      <c r="CC130" s="9">
        <f t="shared" si="64"/>
        <v>1</v>
      </c>
      <c r="CD130" s="9">
        <f t="shared" si="65"/>
        <v>8</v>
      </c>
      <c r="CE130" s="9">
        <f t="shared" si="66"/>
        <v>3</v>
      </c>
      <c r="CF130" s="9">
        <f t="shared" si="67"/>
        <v>2</v>
      </c>
      <c r="CG130" s="33"/>
      <c r="CH130" s="9">
        <f t="shared" si="68"/>
        <v>3</v>
      </c>
      <c r="CI130" s="9">
        <f t="shared" si="69"/>
        <v>1</v>
      </c>
      <c r="CJ130" s="9">
        <f t="shared" si="70"/>
        <v>8</v>
      </c>
      <c r="CK130" s="9">
        <f t="shared" si="71"/>
        <v>3</v>
      </c>
      <c r="CL130" s="9">
        <f t="shared" si="72"/>
        <v>2</v>
      </c>
      <c r="CM130" s="32"/>
      <c r="CN130" s="3">
        <f t="shared" si="73"/>
        <v>1</v>
      </c>
      <c r="CO130" s="3">
        <f t="shared" si="74"/>
        <v>1</v>
      </c>
      <c r="CP130" s="3">
        <f t="shared" si="75"/>
        <v>2</v>
      </c>
      <c r="CQ130" s="3">
        <f t="shared" si="76"/>
        <v>1</v>
      </c>
      <c r="CR130" s="3">
        <f t="shared" si="77"/>
        <v>2</v>
      </c>
      <c r="CS130" s="31"/>
      <c r="CT130" s="3" cm="1">
        <f t="array" ref="CT130">SUMPRODUCT(--(MOD(CH130:CL130,2)=1))</f>
        <v>3</v>
      </c>
      <c r="CU130" s="3">
        <f t="shared" si="78"/>
        <v>2</v>
      </c>
      <c r="CV130" s="30"/>
      <c r="CW130" s="3" cm="1">
        <f t="array" ref="CW130">SUMPRODUCT(--(MOD(CH130:CL130,10)&gt;=1), --(MOD(CH130:CL130,10)&lt;=5))</f>
        <v>4</v>
      </c>
      <c r="CX130" s="3">
        <f t="shared" si="79"/>
        <v>1</v>
      </c>
      <c r="CY130" s="30"/>
      <c r="CZ130" s="3" cm="1">
        <f t="array" ref="CZ130">IFERROR(COUNT(_xlfn._xlws.FILTER(CH130:CL130, ISNUMBER(MATCH(CH130:CL130, {2,3,5,7,11,13,17,19,23,29,31,37,41,43}, 0)))), 0)</f>
        <v>3</v>
      </c>
      <c r="DA130" s="3" cm="1">
        <f t="array" ref="DA130">IFERROR(COUNT(_xlfn._xlws.FILTER(CH130:CL130, ISNUMBER(MATCH(CH130:CL130, {1,4,8,10,14,16,20,22,25,26,28,32,34,35,38,40,44}, 0)))), 0)</f>
        <v>2</v>
      </c>
      <c r="DB130" s="3" cm="1">
        <f t="array" ref="DB130">IFERROR(COUNT(_xlfn._xlws.FILTER(CH130:CL130, ISNUMBER(MATCH(CH130:CL130, {6,9,12,15,18,21,24,27,30,33,36,39,42,45}, 0)))), 0)</f>
        <v>0</v>
      </c>
      <c r="DC130" s="29"/>
      <c r="DD130" s="28" t="e">
        <f>#REF!</f>
        <v>#REF!</v>
      </c>
      <c r="DE130" s="28" t="e">
        <f>#REF!*2</f>
        <v>#REF!</v>
      </c>
      <c r="DF130" s="28" t="e">
        <f>#REF!</f>
        <v>#REF!</v>
      </c>
      <c r="DG130" s="28" t="e">
        <f>#REF!*2</f>
        <v>#REF!</v>
      </c>
      <c r="DH130" s="28" t="e">
        <f>#REF!</f>
        <v>#REF!</v>
      </c>
      <c r="DI130" s="28" t="e">
        <f>#REF!*2</f>
        <v>#REF!</v>
      </c>
      <c r="DJ130" s="28" t="e">
        <f>#REF!</f>
        <v>#REF!</v>
      </c>
      <c r="DK130" s="28" t="e">
        <f>#REF!*2</f>
        <v>#REF!</v>
      </c>
      <c r="DL130" s="28" t="e">
        <f>#REF!</f>
        <v>#REF!</v>
      </c>
      <c r="DM130" s="28" t="e">
        <f>#REF!*2</f>
        <v>#REF!</v>
      </c>
      <c r="DN130" s="27"/>
      <c r="DO130" s="26" t="str" cm="1">
        <f t="array" ref="DO130">_xlfn.IFS(
   OR(CH130="",ISBLANK(CH130),CH130=0),0,
   ISNUMBER(MATCH(CH130,{2,3,5,7,11,13,17,19,23,29,31,37,41,43},0)),"소",
   AND(ISNUMBER(CH130),MOD(CH130,3)=0),"배",
   AND(ISNUMBER(CH130),CH130&gt;0),"자"
)</f>
        <v>소</v>
      </c>
      <c r="DP130" s="26" t="str" cm="1">
        <f t="array" ref="DP130">_xlfn.IFS(
   OR(CI130="",ISBLANK(CI130),CI130=0),0,
   ISNUMBER(MATCH(CI130,{2,3,5,7,11,13,17,19,23,29,31,37,41,43},0)),"소",
   AND(ISNUMBER(CI130),MOD(CI130,3)=0),"배",
   AND(ISNUMBER(CI130),CI130&gt;0),"자"
)</f>
        <v>자</v>
      </c>
      <c r="DQ130" s="26" t="str" cm="1">
        <f t="array" ref="DQ130">_xlfn.IFS(
   OR(CJ130="",ISBLANK(CJ130),CJ130=0),0,
   ISNUMBER(MATCH(CJ130,{2,3,5,7,11,13,17,19,23,29,31,37,41,43},0)),"소",
   AND(ISNUMBER(CJ130),MOD(CJ130,3)=0),"배",
   AND(ISNUMBER(CJ130),CJ130&gt;0),"자"
)</f>
        <v>자</v>
      </c>
      <c r="DR130" s="26" t="str" cm="1">
        <f t="array" ref="DR130">_xlfn.IFS(
   OR(CK130="",ISBLANK(CK130),CK130=0),0,
   ISNUMBER(MATCH(CK130,{2,3,5,7,11,13,17,19,23,29,31,37,41,43},0)),"소",
   AND(ISNUMBER(CK130),MOD(CK130,3)=0),"배",
   AND(ISNUMBER(CK130),CK130&gt;0),"자"
)</f>
        <v>소</v>
      </c>
      <c r="DS130" s="26" t="str" cm="1">
        <f t="array" ref="DS130">_xlfn.IFS(
   OR(CL130="",ISBLANK(CL130),CL130=0),0,
   ISNUMBER(MATCH(CL130,{2,3,5,7,11,13,17,19,23,29,31,37,41,43},0)),"소",
   AND(ISNUMBER(CL130),MOD(CL130,3)=0),"배",
   AND(ISNUMBER(CL130),CL130&gt;0),"자"
)</f>
        <v>소</v>
      </c>
      <c r="DT130" s="25"/>
    </row>
    <row r="131" spans="2:124" ht="14.25" thickBot="1" x14ac:dyDescent="0.35">
      <c r="B131" s="3">
        <v>5</v>
      </c>
      <c r="C131" s="3">
        <v>8</v>
      </c>
      <c r="D131" s="3">
        <v>25</v>
      </c>
      <c r="E131" s="3">
        <v>31</v>
      </c>
      <c r="F131" s="3">
        <v>41</v>
      </c>
      <c r="G131" s="3">
        <v>44</v>
      </c>
      <c r="H131" s="32"/>
      <c r="I131" s="3">
        <f t="shared" si="40"/>
        <v>1</v>
      </c>
      <c r="J131" s="3">
        <f t="shared" si="41"/>
        <v>2</v>
      </c>
      <c r="K131" s="3">
        <f t="shared" si="42"/>
        <v>1</v>
      </c>
      <c r="L131" s="3">
        <f t="shared" si="43"/>
        <v>1</v>
      </c>
      <c r="M131" s="3">
        <f t="shared" si="44"/>
        <v>1</v>
      </c>
      <c r="N131" s="3">
        <f t="shared" si="45"/>
        <v>2</v>
      </c>
      <c r="O131" s="32"/>
      <c r="P131" s="3" cm="1">
        <f t="array" ref="P131">SUMPRODUCT(--(MOD(B131:G131,2)=1))</f>
        <v>4</v>
      </c>
      <c r="Q131" s="3">
        <f t="shared" si="46"/>
        <v>2</v>
      </c>
      <c r="R131" s="34"/>
      <c r="S131" s="3">
        <f t="shared" si="47"/>
        <v>2</v>
      </c>
      <c r="T131" s="3">
        <f t="shared" si="48"/>
        <v>4</v>
      </c>
      <c r="U131" s="34"/>
      <c r="V131" s="3" cm="1">
        <f t="array" ref="V131">SUMPRODUCT(--(MOD(B131:G131,10)&gt;=1), --(MOD(B131:G131,10)&lt;=5))</f>
        <v>5</v>
      </c>
      <c r="W131" s="3">
        <f t="shared" si="49"/>
        <v>1</v>
      </c>
      <c r="X131" s="34"/>
      <c r="Y131" s="3" cm="1">
        <f t="array" ref="Y131">IFERROR(COUNT(_xlfn._xlws.FILTER(B131:G131, ISNUMBER(MATCH(B131:G131, {2,3,5,7,11,13,17,19,23,29,31,37,41,43}, 0)))), 0)</f>
        <v>3</v>
      </c>
      <c r="Z131" s="3" cm="1">
        <f t="array" ref="Z131">IFERROR(COUNT(_xlfn._xlws.FILTER(B131:G131, ISNUMBER(MATCH(B131:G131, {1,4,8,10,14,16,20,22,25,26,28,32,34,35,38,40,44}, 0)))), 0)</f>
        <v>3</v>
      </c>
      <c r="AA131" s="3" cm="1">
        <f t="array" ref="AA131">IFERROR(COUNT(_xlfn._xlws.FILTER(B131:G131, ISNUMBER(MATCH(B131:G131, {6,9,12,15,18,21,24,27,30,33,36,39,42,45}, 0)))), 0)</f>
        <v>0</v>
      </c>
      <c r="AB131" s="30"/>
      <c r="AC131" s="26" t="str" cm="1">
        <f t="array" ref="AC131">_xlfn.IFS(
   OR(B131="",ISBLANK(B131),B131=0),0,
   ISNUMBER(MATCH(B131,{2,3,5,7,11,13,17,19,23,29,31,37,41,43},0)),"소",
   AND(ISNUMBER(B131),MOD(B131,3)=0),"배",
   AND(ISNUMBER(B131),B131&gt;0),"자"
)</f>
        <v>소</v>
      </c>
      <c r="AD131" s="26" t="str" cm="1">
        <f t="array" ref="AD131">_xlfn.IFS(
   OR(C131="",ISBLANK(C131),C131=0),0,
   ISNUMBER(MATCH(C131,{2,3,5,7,11,13,17,19,23,29,31,37,41,43},0)),"소",
   AND(ISNUMBER(C131),MOD(C131,3)=0),"배",
   AND(ISNUMBER(C131),C131&gt;0),"자"
)</f>
        <v>자</v>
      </c>
      <c r="AE131" s="26" t="str" cm="1">
        <f t="array" ref="AE131">_xlfn.IFS(
   OR(D131="",ISBLANK(D131),D131=0),0,
   ISNUMBER(MATCH(D131,{2,3,5,7,11,13,17,19,23,29,31,37,41,43},0)),"소",
   AND(ISNUMBER(D131),MOD(D131,3)=0),"배",
   AND(ISNUMBER(D131),D131&gt;0),"자"
)</f>
        <v>자</v>
      </c>
      <c r="AF131" s="26" t="str" cm="1">
        <f t="array" ref="AF131">_xlfn.IFS(
   OR(E131="",ISBLANK(E131),E131=0),0,
   ISNUMBER(MATCH(E131,{2,3,5,7,11,13,17,19,23,29,31,37,41,43},0)),"소",
   AND(ISNUMBER(E131),MOD(E131,3)=0),"배",
   AND(ISNUMBER(E131),E131&gt;0),"자"
)</f>
        <v>소</v>
      </c>
      <c r="AG131" s="26" t="str" cm="1">
        <f t="array" ref="AG131">_xlfn.IFS(
   OR(F131="",ISBLANK(F131),F131=0),0,
   ISNUMBER(MATCH(F131,{2,3,5,7,11,13,17,19,23,29,31,37,41,43},0)),"소",
   AND(ISNUMBER(F131),MOD(F131,3)=0),"배",
   AND(ISNUMBER(F131),F131&gt;0),"자"
)</f>
        <v>소</v>
      </c>
      <c r="AH131" s="26" t="str" cm="1">
        <f t="array" ref="AH131">_xlfn.IFS(
   OR(G131="",ISBLANK(G131),G131=0),0,
   ISNUMBER(MATCH(G131,{2,3,5,7,11,13,17,19,23,29,31,37,41,43},0)),"소",
   AND(ISNUMBER(G131),MOD(G131,3)=0),"배",
   AND(ISNUMBER(G131),G131&gt;0),"자"
)</f>
        <v>자</v>
      </c>
      <c r="AI131" s="30"/>
      <c r="AJ131" s="3">
        <f t="shared" si="50"/>
        <v>2</v>
      </c>
      <c r="AK131" s="3">
        <f t="shared" si="51"/>
        <v>2</v>
      </c>
      <c r="AL131" s="3">
        <f t="shared" si="52"/>
        <v>2</v>
      </c>
      <c r="AM131" s="33"/>
      <c r="AN131" s="3">
        <f t="shared" si="53"/>
        <v>2</v>
      </c>
      <c r="AO131" s="3">
        <f t="shared" si="54"/>
        <v>0</v>
      </c>
      <c r="AP131" s="3">
        <f t="shared" si="55"/>
        <v>1</v>
      </c>
      <c r="AQ131" s="3">
        <f t="shared" si="56"/>
        <v>1</v>
      </c>
      <c r="AR131" s="3">
        <f t="shared" si="57"/>
        <v>2</v>
      </c>
      <c r="AS131" s="28" t="e">
        <f>#REF!</f>
        <v>#REF!</v>
      </c>
      <c r="AT131" s="28" t="e">
        <f>#REF!*2</f>
        <v>#REF!</v>
      </c>
      <c r="AU131" s="28" t="e">
        <f>#REF!</f>
        <v>#REF!</v>
      </c>
      <c r="AV131" s="28" t="e">
        <f>#REF!*2</f>
        <v>#REF!</v>
      </c>
      <c r="AW131" s="28" t="e">
        <f>#REF!</f>
        <v>#REF!</v>
      </c>
      <c r="AX131" s="28" t="e">
        <f>#REF!*2</f>
        <v>#REF!</v>
      </c>
      <c r="AY131" s="28" t="e">
        <f>#REF!</f>
        <v>#REF!</v>
      </c>
      <c r="AZ131" s="28" t="e">
        <f>#REF!*2</f>
        <v>#REF!</v>
      </c>
      <c r="BA131" s="28" t="e">
        <f>#REF!</f>
        <v>#REF!</v>
      </c>
      <c r="BB131" s="28" t="e">
        <f>#REF!*2</f>
        <v>#REF!</v>
      </c>
      <c r="BC131" s="28" t="e">
        <f>#REF!</f>
        <v>#REF!</v>
      </c>
      <c r="BD131" s="28" t="e">
        <f>#REF!*2</f>
        <v>#REF!</v>
      </c>
      <c r="BE131" s="9" t="e">
        <f>#REF!-#REF!</f>
        <v>#REF!</v>
      </c>
      <c r="BF131" s="9" t="e">
        <f>#REF!-#REF!</f>
        <v>#REF!</v>
      </c>
      <c r="BG131" s="9" t="e">
        <f>#REF!-#REF!</f>
        <v>#REF!</v>
      </c>
      <c r="BH131" s="9" t="e">
        <f>#REF!-#REF!</f>
        <v>#REF!</v>
      </c>
      <c r="BI131" s="9" t="e">
        <f>#REF!-#REF!</f>
        <v>#REF!</v>
      </c>
      <c r="BJ131" s="33"/>
      <c r="BK131" s="3">
        <f t="shared" si="58"/>
        <v>2</v>
      </c>
      <c r="BL131" s="3">
        <f t="shared" si="59"/>
        <v>0</v>
      </c>
      <c r="BM131" s="3">
        <f t="shared" si="60"/>
        <v>1</v>
      </c>
      <c r="BN131" s="3">
        <f t="shared" si="61"/>
        <v>1</v>
      </c>
      <c r="BO131" s="3">
        <f t="shared" si="62"/>
        <v>2</v>
      </c>
      <c r="BP131" s="28" t="e">
        <f>#REF!</f>
        <v>#REF!</v>
      </c>
      <c r="BQ131" s="28" t="e">
        <f>#REF!*2</f>
        <v>#REF!</v>
      </c>
      <c r="BR131" s="28" t="e">
        <f>#REF!</f>
        <v>#REF!</v>
      </c>
      <c r="BS131" s="28" t="e">
        <f>#REF!*2</f>
        <v>#REF!</v>
      </c>
      <c r="BT131" s="28" t="e">
        <f>#REF!</f>
        <v>#REF!</v>
      </c>
      <c r="BU131" s="28" t="e">
        <f>#REF!*2</f>
        <v>#REF!</v>
      </c>
      <c r="BV131" s="28" t="e">
        <f>#REF!</f>
        <v>#REF!</v>
      </c>
      <c r="BW131" s="28" t="e">
        <f>#REF!*2</f>
        <v>#REF!</v>
      </c>
      <c r="BX131" s="28" t="e">
        <f>#REF!</f>
        <v>#REF!</v>
      </c>
      <c r="BY131" s="28" t="e">
        <f>#REF!*2</f>
        <v>#REF!</v>
      </c>
      <c r="BZ131" s="28" t="e">
        <f>#REF!</f>
        <v>#REF!</v>
      </c>
      <c r="CA131" s="28" t="e">
        <f>#REF!*2</f>
        <v>#REF!</v>
      </c>
      <c r="CB131" s="9">
        <f t="shared" si="63"/>
        <v>3</v>
      </c>
      <c r="CC131" s="9">
        <f t="shared" si="64"/>
        <v>17</v>
      </c>
      <c r="CD131" s="9">
        <f t="shared" si="65"/>
        <v>6</v>
      </c>
      <c r="CE131" s="9">
        <f t="shared" si="66"/>
        <v>10</v>
      </c>
      <c r="CF131" s="9">
        <f t="shared" si="67"/>
        <v>3</v>
      </c>
      <c r="CG131" s="33"/>
      <c r="CH131" s="12">
        <f t="shared" si="68"/>
        <v>3</v>
      </c>
      <c r="CI131" s="9">
        <f t="shared" si="69"/>
        <v>17</v>
      </c>
      <c r="CJ131" s="9">
        <f t="shared" si="70"/>
        <v>6</v>
      </c>
      <c r="CK131" s="9">
        <f t="shared" si="71"/>
        <v>10</v>
      </c>
      <c r="CL131" s="35">
        <f t="shared" si="72"/>
        <v>3</v>
      </c>
      <c r="CM131" s="32"/>
      <c r="CN131" s="3">
        <f t="shared" si="73"/>
        <v>1</v>
      </c>
      <c r="CO131" s="3">
        <f t="shared" si="74"/>
        <v>1</v>
      </c>
      <c r="CP131" s="3">
        <f t="shared" si="75"/>
        <v>2</v>
      </c>
      <c r="CQ131" s="3">
        <f t="shared" si="76"/>
        <v>2</v>
      </c>
      <c r="CR131" s="3">
        <f t="shared" si="77"/>
        <v>1</v>
      </c>
      <c r="CS131" s="31"/>
      <c r="CT131" s="3" cm="1">
        <f t="array" ref="CT131">SUMPRODUCT(--(MOD(CH131:CL131,2)=1))</f>
        <v>3</v>
      </c>
      <c r="CU131" s="3">
        <f t="shared" si="78"/>
        <v>2</v>
      </c>
      <c r="CV131" s="30"/>
      <c r="CW131" s="3" cm="1">
        <f t="array" ref="CW131">SUMPRODUCT(--(MOD(CH131:CL131,10)&gt;=1), --(MOD(CH131:CL131,10)&lt;=5))</f>
        <v>2</v>
      </c>
      <c r="CX131" s="3">
        <f t="shared" si="79"/>
        <v>3</v>
      </c>
      <c r="CY131" s="30"/>
      <c r="CZ131" s="3" cm="1">
        <f t="array" ref="CZ131">IFERROR(COUNT(_xlfn._xlws.FILTER(CH131:CL131, ISNUMBER(MATCH(CH131:CL131, {2,3,5,7,11,13,17,19,23,29,31,37,41,43}, 0)))), 0)</f>
        <v>3</v>
      </c>
      <c r="DA131" s="3" cm="1">
        <f t="array" ref="DA131">IFERROR(COUNT(_xlfn._xlws.FILTER(CH131:CL131, ISNUMBER(MATCH(CH131:CL131, {1,4,8,10,14,16,20,22,25,26,28,32,34,35,38,40,44}, 0)))), 0)</f>
        <v>1</v>
      </c>
      <c r="DB131" s="3" cm="1">
        <f t="array" ref="DB131">IFERROR(COUNT(_xlfn._xlws.FILTER(CH131:CL131, ISNUMBER(MATCH(CH131:CL131, {6,9,12,15,18,21,24,27,30,33,36,39,42,45}, 0)))), 0)</f>
        <v>1</v>
      </c>
      <c r="DC131" s="29"/>
      <c r="DD131" s="28" t="e">
        <f>#REF!</f>
        <v>#REF!</v>
      </c>
      <c r="DE131" s="28" t="e">
        <f>#REF!*2</f>
        <v>#REF!</v>
      </c>
      <c r="DF131" s="28" t="e">
        <f>#REF!</f>
        <v>#REF!</v>
      </c>
      <c r="DG131" s="28" t="e">
        <f>#REF!*2</f>
        <v>#REF!</v>
      </c>
      <c r="DH131" s="28" t="e">
        <f>#REF!</f>
        <v>#REF!</v>
      </c>
      <c r="DI131" s="28" t="e">
        <f>#REF!*2</f>
        <v>#REF!</v>
      </c>
      <c r="DJ131" s="28" t="e">
        <f>#REF!</f>
        <v>#REF!</v>
      </c>
      <c r="DK131" s="28" t="e">
        <f>#REF!*2</f>
        <v>#REF!</v>
      </c>
      <c r="DL131" s="28" t="e">
        <f>#REF!</f>
        <v>#REF!</v>
      </c>
      <c r="DM131" s="28" t="e">
        <f>#REF!*2</f>
        <v>#REF!</v>
      </c>
      <c r="DN131" s="27"/>
      <c r="DO131" s="26" t="str" cm="1">
        <f t="array" ref="DO131">_xlfn.IFS(
   OR(CH131="",ISBLANK(CH131),CH131=0),0,
   ISNUMBER(MATCH(CH131,{2,3,5,7,11,13,17,19,23,29,31,37,41,43},0)),"소",
   AND(ISNUMBER(CH131),MOD(CH131,3)=0),"배",
   AND(ISNUMBER(CH131),CH131&gt;0),"자"
)</f>
        <v>소</v>
      </c>
      <c r="DP131" s="26" t="str" cm="1">
        <f t="array" ref="DP131">_xlfn.IFS(
   OR(CI131="",ISBLANK(CI131),CI131=0),0,
   ISNUMBER(MATCH(CI131,{2,3,5,7,11,13,17,19,23,29,31,37,41,43},0)),"소",
   AND(ISNUMBER(CI131),MOD(CI131,3)=0),"배",
   AND(ISNUMBER(CI131),CI131&gt;0),"자"
)</f>
        <v>소</v>
      </c>
      <c r="DQ131" s="26" t="str" cm="1">
        <f t="array" ref="DQ131">_xlfn.IFS(
   OR(CJ131="",ISBLANK(CJ131),CJ131=0),0,
   ISNUMBER(MATCH(CJ131,{2,3,5,7,11,13,17,19,23,29,31,37,41,43},0)),"소",
   AND(ISNUMBER(CJ131),MOD(CJ131,3)=0),"배",
   AND(ISNUMBER(CJ131),CJ131&gt;0),"자"
)</f>
        <v>배</v>
      </c>
      <c r="DR131" s="26" t="str" cm="1">
        <f t="array" ref="DR131">_xlfn.IFS(
   OR(CK131="",ISBLANK(CK131),CK131=0),0,
   ISNUMBER(MATCH(CK131,{2,3,5,7,11,13,17,19,23,29,31,37,41,43},0)),"소",
   AND(ISNUMBER(CK131),MOD(CK131,3)=0),"배",
   AND(ISNUMBER(CK131),CK131&gt;0),"자"
)</f>
        <v>자</v>
      </c>
      <c r="DS131" s="26" t="str" cm="1">
        <f t="array" ref="DS131">_xlfn.IFS(
   OR(CL131="",ISBLANK(CL131),CL131=0),0,
   ISNUMBER(MATCH(CL131,{2,3,5,7,11,13,17,19,23,29,31,37,41,43},0)),"소",
   AND(ISNUMBER(CL131),MOD(CL131,3)=0),"배",
   AND(ISNUMBER(CL131),CL131&gt;0),"자"
)</f>
        <v>소</v>
      </c>
      <c r="DT131" s="25"/>
    </row>
    <row r="132" spans="2:124" ht="14.25" thickBot="1" x14ac:dyDescent="0.35">
      <c r="B132" s="3">
        <v>5</v>
      </c>
      <c r="C132" s="3">
        <v>11</v>
      </c>
      <c r="D132" s="3">
        <v>25</v>
      </c>
      <c r="E132" s="3">
        <v>27</v>
      </c>
      <c r="F132" s="3">
        <v>36</v>
      </c>
      <c r="G132" s="3">
        <v>38</v>
      </c>
      <c r="H132" s="32"/>
      <c r="I132" s="3">
        <f t="shared" ref="I132:I195" si="80">IF(OR(B132="",ISBLANK(B132),B132=0),0,IF(MOD(B132,2)=1,1,2))</f>
        <v>1</v>
      </c>
      <c r="J132" s="3">
        <f t="shared" ref="J132:J195" si="81">IF(OR(C132="",ISBLANK(C132),C132=0),0,IF(MOD(C132,2)=1,1,2))</f>
        <v>1</v>
      </c>
      <c r="K132" s="3">
        <f t="shared" ref="K132:K195" si="82">IF(OR(D132="",ISBLANK(D132),D132=0),0,IF(MOD(D132,2)=1,1,2))</f>
        <v>1</v>
      </c>
      <c r="L132" s="3">
        <f t="shared" ref="L132:L195" si="83">IF(OR(E132="",ISBLANK(E132),E132=0),0,IF(MOD(E132,2)=1,1,2))</f>
        <v>1</v>
      </c>
      <c r="M132" s="3">
        <f t="shared" ref="M132:M195" si="84">IF(OR(F132="",ISBLANK(F132),F132=0),0,IF(MOD(F132,2)=1,1,2))</f>
        <v>2</v>
      </c>
      <c r="N132" s="3">
        <f t="shared" ref="N132:N195" si="85">IF(OR(G132="",ISBLANK(G132),G132=0),0,IF(MOD(G132,2)=1,1,2))</f>
        <v>2</v>
      </c>
      <c r="O132" s="32"/>
      <c r="P132" s="3" cm="1">
        <f t="array" ref="P132">SUMPRODUCT(--(MOD(B132:G132,2)=1))</f>
        <v>4</v>
      </c>
      <c r="Q132" s="3">
        <f t="shared" ref="Q132:Q195" si="86">6-P132</f>
        <v>2</v>
      </c>
      <c r="R132" s="34"/>
      <c r="S132" s="3">
        <f t="shared" ref="S132:S195" si="87">COUNTIFS(B132:G132,"&gt;=1",B132:G132,"&lt;=23")</f>
        <v>2</v>
      </c>
      <c r="T132" s="3">
        <f t="shared" ref="T132:T195" si="88">6-S132</f>
        <v>4</v>
      </c>
      <c r="U132" s="34"/>
      <c r="V132" s="3" cm="1">
        <f t="array" ref="V132">SUMPRODUCT(--(MOD(B132:G132,10)&gt;=1), --(MOD(B132:G132,10)&lt;=5))</f>
        <v>3</v>
      </c>
      <c r="W132" s="3">
        <f t="shared" ref="W132:W195" si="89">6-V132</f>
        <v>3</v>
      </c>
      <c r="X132" s="34"/>
      <c r="Y132" s="3" cm="1">
        <f t="array" ref="Y132">IFERROR(COUNT(_xlfn._xlws.FILTER(B132:G132, ISNUMBER(MATCH(B132:G132, {2,3,5,7,11,13,17,19,23,29,31,37,41,43}, 0)))), 0)</f>
        <v>2</v>
      </c>
      <c r="Z132" s="3" cm="1">
        <f t="array" ref="Z132">IFERROR(COUNT(_xlfn._xlws.FILTER(B132:G132, ISNUMBER(MATCH(B132:G132, {1,4,8,10,14,16,20,22,25,26,28,32,34,35,38,40,44}, 0)))), 0)</f>
        <v>2</v>
      </c>
      <c r="AA132" s="3" cm="1">
        <f t="array" ref="AA132">IFERROR(COUNT(_xlfn._xlws.FILTER(B132:G132, ISNUMBER(MATCH(B132:G132, {6,9,12,15,18,21,24,27,30,33,36,39,42,45}, 0)))), 0)</f>
        <v>2</v>
      </c>
      <c r="AB132" s="30"/>
      <c r="AC132" s="26" t="str" cm="1">
        <f t="array" ref="AC132">_xlfn.IFS(
   OR(B132="",ISBLANK(B132),B132=0),0,
   ISNUMBER(MATCH(B132,{2,3,5,7,11,13,17,19,23,29,31,37,41,43},0)),"소",
   AND(ISNUMBER(B132),MOD(B132,3)=0),"배",
   AND(ISNUMBER(B132),B132&gt;0),"자"
)</f>
        <v>소</v>
      </c>
      <c r="AD132" s="26" t="str" cm="1">
        <f t="array" ref="AD132">_xlfn.IFS(
   OR(C132="",ISBLANK(C132),C132=0),0,
   ISNUMBER(MATCH(C132,{2,3,5,7,11,13,17,19,23,29,31,37,41,43},0)),"소",
   AND(ISNUMBER(C132),MOD(C132,3)=0),"배",
   AND(ISNUMBER(C132),C132&gt;0),"자"
)</f>
        <v>소</v>
      </c>
      <c r="AE132" s="26" t="str" cm="1">
        <f t="array" ref="AE132">_xlfn.IFS(
   OR(D132="",ISBLANK(D132),D132=0),0,
   ISNUMBER(MATCH(D132,{2,3,5,7,11,13,17,19,23,29,31,37,41,43},0)),"소",
   AND(ISNUMBER(D132),MOD(D132,3)=0),"배",
   AND(ISNUMBER(D132),D132&gt;0),"자"
)</f>
        <v>자</v>
      </c>
      <c r="AF132" s="26" t="str" cm="1">
        <f t="array" ref="AF132">_xlfn.IFS(
   OR(E132="",ISBLANK(E132),E132=0),0,
   ISNUMBER(MATCH(E132,{2,3,5,7,11,13,17,19,23,29,31,37,41,43},0)),"소",
   AND(ISNUMBER(E132),MOD(E132,3)=0),"배",
   AND(ISNUMBER(E132),E132&gt;0),"자"
)</f>
        <v>배</v>
      </c>
      <c r="AG132" s="26" t="str" cm="1">
        <f t="array" ref="AG132">_xlfn.IFS(
   OR(F132="",ISBLANK(F132),F132=0),0,
   ISNUMBER(MATCH(F132,{2,3,5,7,11,13,17,19,23,29,31,37,41,43},0)),"소",
   AND(ISNUMBER(F132),MOD(F132,3)=0),"배",
   AND(ISNUMBER(F132),F132&gt;0),"자"
)</f>
        <v>배</v>
      </c>
      <c r="AH132" s="26" t="str" cm="1">
        <f t="array" ref="AH132">_xlfn.IFS(
   OR(G132="",ISBLANK(G132),G132=0),0,
   ISNUMBER(MATCH(G132,{2,3,5,7,11,13,17,19,23,29,31,37,41,43},0)),"소",
   AND(ISNUMBER(G132),MOD(G132,3)=0),"배",
   AND(ISNUMBER(G132),G132&gt;0),"자"
)</f>
        <v>자</v>
      </c>
      <c r="AI132" s="30"/>
      <c r="AJ132" s="3">
        <f t="shared" ref="AJ132:AJ195" si="90">COUNTIFS(B132:G132,"&gt;=1",B132:G132,"&lt;=14")</f>
        <v>2</v>
      </c>
      <c r="AK132" s="3">
        <f t="shared" ref="AK132:AK195" si="91">COUNTIFS(B132:G132,"&gt;=15",B132:G132,"&lt;=31")</f>
        <v>2</v>
      </c>
      <c r="AL132" s="3">
        <f t="shared" ref="AL132:AL195" si="92">6-AK132-AJ132</f>
        <v>2</v>
      </c>
      <c r="AM132" s="33"/>
      <c r="AN132" s="3">
        <f t="shared" ref="AN132:AN195" si="93">COUNTIFS($B132:$G132, "&gt;=1",$B132:$G132, "&lt;=9")</f>
        <v>1</v>
      </c>
      <c r="AO132" s="3">
        <f t="shared" ref="AO132:AO195" si="94">COUNTIFS($B132:$G132, "&gt;=10",$B132:$G132, "&lt;=18")</f>
        <v>1</v>
      </c>
      <c r="AP132" s="3">
        <f t="shared" ref="AP132:AP195" si="95">COUNTIFS($B132:$G132, "&gt;=19",$B132:$G132, "&lt;=27")</f>
        <v>2</v>
      </c>
      <c r="AQ132" s="3">
        <f t="shared" ref="AQ132:AQ195" si="96">COUNTIFS($B132:$G132, "&gt;=28",$B132:$G132, "&lt;=36")</f>
        <v>1</v>
      </c>
      <c r="AR132" s="3">
        <f t="shared" ref="AR132:AR195" si="97">COUNTIFS($B132:$G132, "&gt;=37",$B132:$G132, "&lt;=45")</f>
        <v>1</v>
      </c>
      <c r="AS132" s="28" t="e">
        <f>#REF!</f>
        <v>#REF!</v>
      </c>
      <c r="AT132" s="28" t="e">
        <f>#REF!*2</f>
        <v>#REF!</v>
      </c>
      <c r="AU132" s="28" t="e">
        <f>#REF!</f>
        <v>#REF!</v>
      </c>
      <c r="AV132" s="28" t="e">
        <f>#REF!*2</f>
        <v>#REF!</v>
      </c>
      <c r="AW132" s="28" t="e">
        <f>#REF!</f>
        <v>#REF!</v>
      </c>
      <c r="AX132" s="28" t="e">
        <f>#REF!*2</f>
        <v>#REF!</v>
      </c>
      <c r="AY132" s="28" t="e">
        <f>#REF!</f>
        <v>#REF!</v>
      </c>
      <c r="AZ132" s="28" t="e">
        <f>#REF!*2</f>
        <v>#REF!</v>
      </c>
      <c r="BA132" s="28" t="e">
        <f>#REF!</f>
        <v>#REF!</v>
      </c>
      <c r="BB132" s="28" t="e">
        <f>#REF!*2</f>
        <v>#REF!</v>
      </c>
      <c r="BC132" s="28" t="e">
        <f>#REF!</f>
        <v>#REF!</v>
      </c>
      <c r="BD132" s="28" t="e">
        <f>#REF!*2</f>
        <v>#REF!</v>
      </c>
      <c r="BE132" s="9" t="e">
        <f>#REF!-#REF!</f>
        <v>#REF!</v>
      </c>
      <c r="BF132" s="9" t="e">
        <f>#REF!-#REF!</f>
        <v>#REF!</v>
      </c>
      <c r="BG132" s="9" t="e">
        <f>#REF!-#REF!</f>
        <v>#REF!</v>
      </c>
      <c r="BH132" s="9" t="e">
        <f>#REF!-#REF!</f>
        <v>#REF!</v>
      </c>
      <c r="BI132" s="9" t="e">
        <f>#REF!-#REF!</f>
        <v>#REF!</v>
      </c>
      <c r="BJ132" s="33"/>
      <c r="BK132" s="3">
        <f t="shared" ref="BK132:BK195" si="98">COUNTIFS(B132:G132, "&gt;=1", B132:G132, "&lt;=9")</f>
        <v>1</v>
      </c>
      <c r="BL132" s="3">
        <f t="shared" ref="BL132:BL195" si="99">COUNTIFS(B132:G132, "&gt;=10", B132:G132, "&lt;=19")</f>
        <v>1</v>
      </c>
      <c r="BM132" s="3">
        <f t="shared" ref="BM132:BM195" si="100">COUNTIFS(B132:G132, "&gt;=20", B132:G132, "&lt;=29")</f>
        <v>2</v>
      </c>
      <c r="BN132" s="3">
        <f t="shared" ref="BN132:BN195" si="101">COUNTIFS(B132:G132, "&gt;=30", B132:G132, "&lt;=39")</f>
        <v>2</v>
      </c>
      <c r="BO132" s="3">
        <f t="shared" ref="BO132:BO195" si="102">COUNTIFS(B132:G132, "&gt;=40", B132:G132, "&lt;=45")</f>
        <v>0</v>
      </c>
      <c r="BP132" s="28" t="e">
        <f>#REF!</f>
        <v>#REF!</v>
      </c>
      <c r="BQ132" s="28" t="e">
        <f>#REF!*2</f>
        <v>#REF!</v>
      </c>
      <c r="BR132" s="28" t="e">
        <f>#REF!</f>
        <v>#REF!</v>
      </c>
      <c r="BS132" s="28" t="e">
        <f>#REF!*2</f>
        <v>#REF!</v>
      </c>
      <c r="BT132" s="28" t="e">
        <f>#REF!</f>
        <v>#REF!</v>
      </c>
      <c r="BU132" s="28" t="e">
        <f>#REF!*2</f>
        <v>#REF!</v>
      </c>
      <c r="BV132" s="28" t="e">
        <f>#REF!</f>
        <v>#REF!</v>
      </c>
      <c r="BW132" s="28" t="e">
        <f>#REF!*2</f>
        <v>#REF!</v>
      </c>
      <c r="BX132" s="28" t="e">
        <f>#REF!</f>
        <v>#REF!</v>
      </c>
      <c r="BY132" s="28" t="e">
        <f>#REF!*2</f>
        <v>#REF!</v>
      </c>
      <c r="BZ132" s="28" t="e">
        <f>#REF!</f>
        <v>#REF!</v>
      </c>
      <c r="CA132" s="28" t="e">
        <f>#REF!*2</f>
        <v>#REF!</v>
      </c>
      <c r="CB132" s="9">
        <f t="shared" ref="CB132:CB195" si="103">C132-B132</f>
        <v>6</v>
      </c>
      <c r="CC132" s="9">
        <f t="shared" ref="CC132:CC195" si="104">D132-C132</f>
        <v>14</v>
      </c>
      <c r="CD132" s="9">
        <f t="shared" ref="CD132:CD195" si="105">E132-D132</f>
        <v>2</v>
      </c>
      <c r="CE132" s="9">
        <f t="shared" ref="CE132:CE195" si="106">F132-E132</f>
        <v>9</v>
      </c>
      <c r="CF132" s="9">
        <f t="shared" ref="CF132:CF195" si="107">G132-F132</f>
        <v>2</v>
      </c>
      <c r="CG132" s="33"/>
      <c r="CH132" s="9">
        <f t="shared" ref="CH132:CH195" si="108">C132-B132</f>
        <v>6</v>
      </c>
      <c r="CI132" s="9">
        <f t="shared" ref="CI132:CI195" si="109">D132-C132</f>
        <v>14</v>
      </c>
      <c r="CJ132" s="12">
        <f t="shared" ref="CJ132:CJ195" si="110">E132-D132</f>
        <v>2</v>
      </c>
      <c r="CK132" s="9">
        <f t="shared" ref="CK132:CK195" si="111">F132-E132</f>
        <v>9</v>
      </c>
      <c r="CL132" s="12">
        <f t="shared" ref="CL132:CL195" si="112">G132-F132</f>
        <v>2</v>
      </c>
      <c r="CM132" s="32"/>
      <c r="CN132" s="3">
        <f t="shared" ref="CN132:CN195" si="113">IF(OR(CH132="",ISBLANK(CH132),CH132=0),0,IF(MOD(CH132,2)=1,1,2))</f>
        <v>2</v>
      </c>
      <c r="CO132" s="3">
        <f t="shared" ref="CO132:CO195" si="114">IF(OR(CI132="",ISBLANK(CI132),CI132=0),0,IF(MOD(CI132,2)=1,1,2))</f>
        <v>2</v>
      </c>
      <c r="CP132" s="3">
        <f t="shared" ref="CP132:CP195" si="115">IF(OR(CJ132="",ISBLANK(CJ132),CJ132=0),0,IF(MOD(CJ132,2)=1,1,2))</f>
        <v>2</v>
      </c>
      <c r="CQ132" s="3">
        <f t="shared" ref="CQ132:CQ195" si="116">IF(OR(CK132="",ISBLANK(CK132),CK132=0),0,IF(MOD(CK132,2)=1,1,2))</f>
        <v>1</v>
      </c>
      <c r="CR132" s="3">
        <f t="shared" ref="CR132:CR195" si="117">IF(OR(CL132="",ISBLANK(CL132),CL132=0),0,IF(MOD(CL132,2)=1,1,2))</f>
        <v>2</v>
      </c>
      <c r="CS132" s="31"/>
      <c r="CT132" s="3" cm="1">
        <f t="array" ref="CT132">SUMPRODUCT(--(MOD(CH132:CL132,2)=1))</f>
        <v>1</v>
      </c>
      <c r="CU132" s="3">
        <f t="shared" ref="CU132:CU195" si="118">5-CT132</f>
        <v>4</v>
      </c>
      <c r="CV132" s="30"/>
      <c r="CW132" s="3" cm="1">
        <f t="array" ref="CW132">SUMPRODUCT(--(MOD(CH132:CL132,10)&gt;=1), --(MOD(CH132:CL132,10)&lt;=5))</f>
        <v>3</v>
      </c>
      <c r="CX132" s="3">
        <f t="shared" ref="CX132:CX195" si="119">5-CW132</f>
        <v>2</v>
      </c>
      <c r="CY132" s="30"/>
      <c r="CZ132" s="3" cm="1">
        <f t="array" ref="CZ132">IFERROR(COUNT(_xlfn._xlws.FILTER(CH132:CL132, ISNUMBER(MATCH(CH132:CL132, {2,3,5,7,11,13,17,19,23,29,31,37,41,43}, 0)))), 0)</f>
        <v>2</v>
      </c>
      <c r="DA132" s="3" cm="1">
        <f t="array" ref="DA132">IFERROR(COUNT(_xlfn._xlws.FILTER(CH132:CL132, ISNUMBER(MATCH(CH132:CL132, {1,4,8,10,14,16,20,22,25,26,28,32,34,35,38,40,44}, 0)))), 0)</f>
        <v>1</v>
      </c>
      <c r="DB132" s="3" cm="1">
        <f t="array" ref="DB132">IFERROR(COUNT(_xlfn._xlws.FILTER(CH132:CL132, ISNUMBER(MATCH(CH132:CL132, {6,9,12,15,18,21,24,27,30,33,36,39,42,45}, 0)))), 0)</f>
        <v>2</v>
      </c>
      <c r="DC132" s="29"/>
      <c r="DD132" s="28" t="e">
        <f>#REF!</f>
        <v>#REF!</v>
      </c>
      <c r="DE132" s="28" t="e">
        <f>#REF!*2</f>
        <v>#REF!</v>
      </c>
      <c r="DF132" s="28" t="e">
        <f>#REF!</f>
        <v>#REF!</v>
      </c>
      <c r="DG132" s="28" t="e">
        <f>#REF!*2</f>
        <v>#REF!</v>
      </c>
      <c r="DH132" s="28" t="e">
        <f>#REF!</f>
        <v>#REF!</v>
      </c>
      <c r="DI132" s="28" t="e">
        <f>#REF!*2</f>
        <v>#REF!</v>
      </c>
      <c r="DJ132" s="28" t="e">
        <f>#REF!</f>
        <v>#REF!</v>
      </c>
      <c r="DK132" s="28" t="e">
        <f>#REF!*2</f>
        <v>#REF!</v>
      </c>
      <c r="DL132" s="28" t="e">
        <f>#REF!</f>
        <v>#REF!</v>
      </c>
      <c r="DM132" s="28" t="e">
        <f>#REF!*2</f>
        <v>#REF!</v>
      </c>
      <c r="DN132" s="27"/>
      <c r="DO132" s="26" t="str" cm="1">
        <f t="array" ref="DO132">_xlfn.IFS(
   OR(CH132="",ISBLANK(CH132),CH132=0),0,
   ISNUMBER(MATCH(CH132,{2,3,5,7,11,13,17,19,23,29,31,37,41,43},0)),"소",
   AND(ISNUMBER(CH132),MOD(CH132,3)=0),"배",
   AND(ISNUMBER(CH132),CH132&gt;0),"자"
)</f>
        <v>배</v>
      </c>
      <c r="DP132" s="26" t="str" cm="1">
        <f t="array" ref="DP132">_xlfn.IFS(
   OR(CI132="",ISBLANK(CI132),CI132=0),0,
   ISNUMBER(MATCH(CI132,{2,3,5,7,11,13,17,19,23,29,31,37,41,43},0)),"소",
   AND(ISNUMBER(CI132),MOD(CI132,3)=0),"배",
   AND(ISNUMBER(CI132),CI132&gt;0),"자"
)</f>
        <v>자</v>
      </c>
      <c r="DQ132" s="26" t="str" cm="1">
        <f t="array" ref="DQ132">_xlfn.IFS(
   OR(CJ132="",ISBLANK(CJ132),CJ132=0),0,
   ISNUMBER(MATCH(CJ132,{2,3,5,7,11,13,17,19,23,29,31,37,41,43},0)),"소",
   AND(ISNUMBER(CJ132),MOD(CJ132,3)=0),"배",
   AND(ISNUMBER(CJ132),CJ132&gt;0),"자"
)</f>
        <v>소</v>
      </c>
      <c r="DR132" s="26" t="str" cm="1">
        <f t="array" ref="DR132">_xlfn.IFS(
   OR(CK132="",ISBLANK(CK132),CK132=0),0,
   ISNUMBER(MATCH(CK132,{2,3,5,7,11,13,17,19,23,29,31,37,41,43},0)),"소",
   AND(ISNUMBER(CK132),MOD(CK132,3)=0),"배",
   AND(ISNUMBER(CK132),CK132&gt;0),"자"
)</f>
        <v>배</v>
      </c>
      <c r="DS132" s="26" t="str" cm="1">
        <f t="array" ref="DS132">_xlfn.IFS(
   OR(CL132="",ISBLANK(CL132),CL132=0),0,
   ISNUMBER(MATCH(CL132,{2,3,5,7,11,13,17,19,23,29,31,37,41,43},0)),"소",
   AND(ISNUMBER(CL132),MOD(CL132,3)=0),"배",
   AND(ISNUMBER(CL132),CL132&gt;0),"자"
)</f>
        <v>소</v>
      </c>
      <c r="DT132" s="25"/>
    </row>
    <row r="133" spans="2:124" x14ac:dyDescent="0.3">
      <c r="B133" s="3">
        <v>10</v>
      </c>
      <c r="C133" s="3">
        <v>15</v>
      </c>
      <c r="D133" s="3">
        <v>19</v>
      </c>
      <c r="E133" s="3">
        <v>27</v>
      </c>
      <c r="F133" s="3">
        <v>30</v>
      </c>
      <c r="G133" s="3">
        <v>33</v>
      </c>
      <c r="H133" s="32"/>
      <c r="I133" s="3">
        <f t="shared" si="80"/>
        <v>2</v>
      </c>
      <c r="J133" s="3">
        <f t="shared" si="81"/>
        <v>1</v>
      </c>
      <c r="K133" s="3">
        <f t="shared" si="82"/>
        <v>1</v>
      </c>
      <c r="L133" s="3">
        <f t="shared" si="83"/>
        <v>1</v>
      </c>
      <c r="M133" s="3">
        <f t="shared" si="84"/>
        <v>2</v>
      </c>
      <c r="N133" s="3">
        <f t="shared" si="85"/>
        <v>1</v>
      </c>
      <c r="O133" s="32"/>
      <c r="P133" s="3" cm="1">
        <f t="array" ref="P133">SUMPRODUCT(--(MOD(B133:G133,2)=1))</f>
        <v>4</v>
      </c>
      <c r="Q133" s="3">
        <f t="shared" si="86"/>
        <v>2</v>
      </c>
      <c r="R133" s="34"/>
      <c r="S133" s="3">
        <f t="shared" si="87"/>
        <v>3</v>
      </c>
      <c r="T133" s="3">
        <f t="shared" si="88"/>
        <v>3</v>
      </c>
      <c r="U133" s="34"/>
      <c r="V133" s="3" cm="1">
        <f t="array" ref="V133">SUMPRODUCT(--(MOD(B133:G133,10)&gt;=1), --(MOD(B133:G133,10)&lt;=5))</f>
        <v>2</v>
      </c>
      <c r="W133" s="3">
        <f t="shared" si="89"/>
        <v>4</v>
      </c>
      <c r="X133" s="34"/>
      <c r="Y133" s="3" cm="1">
        <f t="array" ref="Y133">IFERROR(COUNT(_xlfn._xlws.FILTER(B133:G133, ISNUMBER(MATCH(B133:G133, {2,3,5,7,11,13,17,19,23,29,31,37,41,43}, 0)))), 0)</f>
        <v>1</v>
      </c>
      <c r="Z133" s="3" cm="1">
        <f t="array" ref="Z133">IFERROR(COUNT(_xlfn._xlws.FILTER(B133:G133, ISNUMBER(MATCH(B133:G133, {1,4,8,10,14,16,20,22,25,26,28,32,34,35,38,40,44}, 0)))), 0)</f>
        <v>1</v>
      </c>
      <c r="AA133" s="3" cm="1">
        <f t="array" ref="AA133">IFERROR(COUNT(_xlfn._xlws.FILTER(B133:G133, ISNUMBER(MATCH(B133:G133, {6,9,12,15,18,21,24,27,30,33,36,39,42,45}, 0)))), 0)</f>
        <v>4</v>
      </c>
      <c r="AB133" s="30"/>
      <c r="AC133" s="26" t="str" cm="1">
        <f t="array" ref="AC133">_xlfn.IFS(
   OR(B133="",ISBLANK(B133),B133=0),0,
   ISNUMBER(MATCH(B133,{2,3,5,7,11,13,17,19,23,29,31,37,41,43},0)),"소",
   AND(ISNUMBER(B133),MOD(B133,3)=0),"배",
   AND(ISNUMBER(B133),B133&gt;0),"자"
)</f>
        <v>자</v>
      </c>
      <c r="AD133" s="26" t="str" cm="1">
        <f t="array" ref="AD133">_xlfn.IFS(
   OR(C133="",ISBLANK(C133),C133=0),0,
   ISNUMBER(MATCH(C133,{2,3,5,7,11,13,17,19,23,29,31,37,41,43},0)),"소",
   AND(ISNUMBER(C133),MOD(C133,3)=0),"배",
   AND(ISNUMBER(C133),C133&gt;0),"자"
)</f>
        <v>배</v>
      </c>
      <c r="AE133" s="26" t="str" cm="1">
        <f t="array" ref="AE133">_xlfn.IFS(
   OR(D133="",ISBLANK(D133),D133=0),0,
   ISNUMBER(MATCH(D133,{2,3,5,7,11,13,17,19,23,29,31,37,41,43},0)),"소",
   AND(ISNUMBER(D133),MOD(D133,3)=0),"배",
   AND(ISNUMBER(D133),D133&gt;0),"자"
)</f>
        <v>소</v>
      </c>
      <c r="AF133" s="26" t="str" cm="1">
        <f t="array" ref="AF133">_xlfn.IFS(
   OR(E133="",ISBLANK(E133),E133=0),0,
   ISNUMBER(MATCH(E133,{2,3,5,7,11,13,17,19,23,29,31,37,41,43},0)),"소",
   AND(ISNUMBER(E133),MOD(E133,3)=0),"배",
   AND(ISNUMBER(E133),E133&gt;0),"자"
)</f>
        <v>배</v>
      </c>
      <c r="AG133" s="26" t="str" cm="1">
        <f t="array" ref="AG133">_xlfn.IFS(
   OR(F133="",ISBLANK(F133),F133=0),0,
   ISNUMBER(MATCH(F133,{2,3,5,7,11,13,17,19,23,29,31,37,41,43},0)),"소",
   AND(ISNUMBER(F133),MOD(F133,3)=0),"배",
   AND(ISNUMBER(F133),F133&gt;0),"자"
)</f>
        <v>배</v>
      </c>
      <c r="AH133" s="26" t="str" cm="1">
        <f t="array" ref="AH133">_xlfn.IFS(
   OR(G133="",ISBLANK(G133),G133=0),0,
   ISNUMBER(MATCH(G133,{2,3,5,7,11,13,17,19,23,29,31,37,41,43},0)),"소",
   AND(ISNUMBER(G133),MOD(G133,3)=0),"배",
   AND(ISNUMBER(G133),G133&gt;0),"자"
)</f>
        <v>배</v>
      </c>
      <c r="AI133" s="30"/>
      <c r="AJ133" s="3">
        <f t="shared" si="90"/>
        <v>1</v>
      </c>
      <c r="AK133" s="3">
        <f t="shared" si="91"/>
        <v>4</v>
      </c>
      <c r="AL133" s="3">
        <f t="shared" si="92"/>
        <v>1</v>
      </c>
      <c r="AM133" s="33"/>
      <c r="AN133" s="3">
        <f t="shared" si="93"/>
        <v>0</v>
      </c>
      <c r="AO133" s="3">
        <f t="shared" si="94"/>
        <v>2</v>
      </c>
      <c r="AP133" s="3">
        <f t="shared" si="95"/>
        <v>2</v>
      </c>
      <c r="AQ133" s="3">
        <f t="shared" si="96"/>
        <v>2</v>
      </c>
      <c r="AR133" s="3">
        <f t="shared" si="97"/>
        <v>0</v>
      </c>
      <c r="AS133" s="28" t="e">
        <f>#REF!</f>
        <v>#REF!</v>
      </c>
      <c r="AT133" s="28" t="e">
        <f>#REF!*2</f>
        <v>#REF!</v>
      </c>
      <c r="AU133" s="28" t="e">
        <f>#REF!</f>
        <v>#REF!</v>
      </c>
      <c r="AV133" s="28" t="e">
        <f>#REF!*2</f>
        <v>#REF!</v>
      </c>
      <c r="AW133" s="28" t="e">
        <f>#REF!</f>
        <v>#REF!</v>
      </c>
      <c r="AX133" s="28" t="e">
        <f>#REF!*2</f>
        <v>#REF!</v>
      </c>
      <c r="AY133" s="28" t="e">
        <f>#REF!</f>
        <v>#REF!</v>
      </c>
      <c r="AZ133" s="28" t="e">
        <f>#REF!*2</f>
        <v>#REF!</v>
      </c>
      <c r="BA133" s="28" t="e">
        <f>#REF!</f>
        <v>#REF!</v>
      </c>
      <c r="BB133" s="28" t="e">
        <f>#REF!*2</f>
        <v>#REF!</v>
      </c>
      <c r="BC133" s="28" t="e">
        <f>#REF!</f>
        <v>#REF!</v>
      </c>
      <c r="BD133" s="28" t="e">
        <f>#REF!*2</f>
        <v>#REF!</v>
      </c>
      <c r="BE133" s="9" t="e">
        <f>#REF!-#REF!</f>
        <v>#REF!</v>
      </c>
      <c r="BF133" s="9" t="e">
        <f>#REF!-#REF!</f>
        <v>#REF!</v>
      </c>
      <c r="BG133" s="9" t="e">
        <f>#REF!-#REF!</f>
        <v>#REF!</v>
      </c>
      <c r="BH133" s="9" t="e">
        <f>#REF!-#REF!</f>
        <v>#REF!</v>
      </c>
      <c r="BI133" s="9" t="e">
        <f>#REF!-#REF!</f>
        <v>#REF!</v>
      </c>
      <c r="BJ133" s="33"/>
      <c r="BK133" s="3">
        <f t="shared" si="98"/>
        <v>0</v>
      </c>
      <c r="BL133" s="3">
        <f t="shared" si="99"/>
        <v>3</v>
      </c>
      <c r="BM133" s="3">
        <f t="shared" si="100"/>
        <v>1</v>
      </c>
      <c r="BN133" s="3">
        <f t="shared" si="101"/>
        <v>2</v>
      </c>
      <c r="BO133" s="3">
        <f t="shared" si="102"/>
        <v>0</v>
      </c>
      <c r="BP133" s="28" t="e">
        <f>#REF!</f>
        <v>#REF!</v>
      </c>
      <c r="BQ133" s="28" t="e">
        <f>#REF!*2</f>
        <v>#REF!</v>
      </c>
      <c r="BR133" s="28" t="e">
        <f>#REF!</f>
        <v>#REF!</v>
      </c>
      <c r="BS133" s="28" t="e">
        <f>#REF!*2</f>
        <v>#REF!</v>
      </c>
      <c r="BT133" s="28" t="e">
        <f>#REF!</f>
        <v>#REF!</v>
      </c>
      <c r="BU133" s="28" t="e">
        <f>#REF!*2</f>
        <v>#REF!</v>
      </c>
      <c r="BV133" s="28" t="e">
        <f>#REF!</f>
        <v>#REF!</v>
      </c>
      <c r="BW133" s="28" t="e">
        <f>#REF!*2</f>
        <v>#REF!</v>
      </c>
      <c r="BX133" s="28" t="e">
        <f>#REF!</f>
        <v>#REF!</v>
      </c>
      <c r="BY133" s="28" t="e">
        <f>#REF!*2</f>
        <v>#REF!</v>
      </c>
      <c r="BZ133" s="28" t="e">
        <f>#REF!</f>
        <v>#REF!</v>
      </c>
      <c r="CA133" s="28" t="e">
        <f>#REF!*2</f>
        <v>#REF!</v>
      </c>
      <c r="CB133" s="9">
        <f t="shared" si="103"/>
        <v>5</v>
      </c>
      <c r="CC133" s="9">
        <f t="shared" si="104"/>
        <v>4</v>
      </c>
      <c r="CD133" s="9">
        <f t="shared" si="105"/>
        <v>8</v>
      </c>
      <c r="CE133" s="9">
        <f t="shared" si="106"/>
        <v>3</v>
      </c>
      <c r="CF133" s="9">
        <f t="shared" si="107"/>
        <v>3</v>
      </c>
      <c r="CG133" s="33"/>
      <c r="CH133" s="9">
        <f t="shared" si="108"/>
        <v>5</v>
      </c>
      <c r="CI133" s="9">
        <f t="shared" si="109"/>
        <v>4</v>
      </c>
      <c r="CJ133" s="9">
        <f t="shared" si="110"/>
        <v>8</v>
      </c>
      <c r="CK133" s="9">
        <f t="shared" si="111"/>
        <v>3</v>
      </c>
      <c r="CL133" s="9">
        <f t="shared" si="112"/>
        <v>3</v>
      </c>
      <c r="CM133" s="32"/>
      <c r="CN133" s="3">
        <f t="shared" si="113"/>
        <v>1</v>
      </c>
      <c r="CO133" s="3">
        <f t="shared" si="114"/>
        <v>2</v>
      </c>
      <c r="CP133" s="3">
        <f t="shared" si="115"/>
        <v>2</v>
      </c>
      <c r="CQ133" s="3">
        <f t="shared" si="116"/>
        <v>1</v>
      </c>
      <c r="CR133" s="3">
        <f t="shared" si="117"/>
        <v>1</v>
      </c>
      <c r="CS133" s="31"/>
      <c r="CT133" s="3" cm="1">
        <f t="array" ref="CT133">SUMPRODUCT(--(MOD(CH133:CL133,2)=1))</f>
        <v>3</v>
      </c>
      <c r="CU133" s="3">
        <f t="shared" si="118"/>
        <v>2</v>
      </c>
      <c r="CV133" s="30"/>
      <c r="CW133" s="3" cm="1">
        <f t="array" ref="CW133">SUMPRODUCT(--(MOD(CH133:CL133,10)&gt;=1), --(MOD(CH133:CL133,10)&lt;=5))</f>
        <v>4</v>
      </c>
      <c r="CX133" s="3">
        <f t="shared" si="119"/>
        <v>1</v>
      </c>
      <c r="CY133" s="30"/>
      <c r="CZ133" s="3" cm="1">
        <f t="array" ref="CZ133">IFERROR(COUNT(_xlfn._xlws.FILTER(CH133:CL133, ISNUMBER(MATCH(CH133:CL133, {2,3,5,7,11,13,17,19,23,29,31,37,41,43}, 0)))), 0)</f>
        <v>3</v>
      </c>
      <c r="DA133" s="3" cm="1">
        <f t="array" ref="DA133">IFERROR(COUNT(_xlfn._xlws.FILTER(CH133:CL133, ISNUMBER(MATCH(CH133:CL133, {1,4,8,10,14,16,20,22,25,26,28,32,34,35,38,40,44}, 0)))), 0)</f>
        <v>2</v>
      </c>
      <c r="DB133" s="3" cm="1">
        <f t="array" ref="DB133">IFERROR(COUNT(_xlfn._xlws.FILTER(CH133:CL133, ISNUMBER(MATCH(CH133:CL133, {6,9,12,15,18,21,24,27,30,33,36,39,42,45}, 0)))), 0)</f>
        <v>0</v>
      </c>
      <c r="DC133" s="29"/>
      <c r="DD133" s="28" t="e">
        <f>#REF!</f>
        <v>#REF!</v>
      </c>
      <c r="DE133" s="28" t="e">
        <f>#REF!*2</f>
        <v>#REF!</v>
      </c>
      <c r="DF133" s="28" t="e">
        <f>#REF!</f>
        <v>#REF!</v>
      </c>
      <c r="DG133" s="28" t="e">
        <f>#REF!*2</f>
        <v>#REF!</v>
      </c>
      <c r="DH133" s="28" t="e">
        <f>#REF!</f>
        <v>#REF!</v>
      </c>
      <c r="DI133" s="28" t="e">
        <f>#REF!*2</f>
        <v>#REF!</v>
      </c>
      <c r="DJ133" s="28" t="e">
        <f>#REF!</f>
        <v>#REF!</v>
      </c>
      <c r="DK133" s="28" t="e">
        <f>#REF!*2</f>
        <v>#REF!</v>
      </c>
      <c r="DL133" s="28" t="e">
        <f>#REF!</f>
        <v>#REF!</v>
      </c>
      <c r="DM133" s="28" t="e">
        <f>#REF!*2</f>
        <v>#REF!</v>
      </c>
      <c r="DN133" s="27"/>
      <c r="DO133" s="26" t="str" cm="1">
        <f t="array" ref="DO133">_xlfn.IFS(
   OR(CH133="",ISBLANK(CH133),CH133=0),0,
   ISNUMBER(MATCH(CH133,{2,3,5,7,11,13,17,19,23,29,31,37,41,43},0)),"소",
   AND(ISNUMBER(CH133),MOD(CH133,3)=0),"배",
   AND(ISNUMBER(CH133),CH133&gt;0),"자"
)</f>
        <v>소</v>
      </c>
      <c r="DP133" s="26" t="str" cm="1">
        <f t="array" ref="DP133">_xlfn.IFS(
   OR(CI133="",ISBLANK(CI133),CI133=0),0,
   ISNUMBER(MATCH(CI133,{2,3,5,7,11,13,17,19,23,29,31,37,41,43},0)),"소",
   AND(ISNUMBER(CI133),MOD(CI133,3)=0),"배",
   AND(ISNUMBER(CI133),CI133&gt;0),"자"
)</f>
        <v>자</v>
      </c>
      <c r="DQ133" s="26" t="str" cm="1">
        <f t="array" ref="DQ133">_xlfn.IFS(
   OR(CJ133="",ISBLANK(CJ133),CJ133=0),0,
   ISNUMBER(MATCH(CJ133,{2,3,5,7,11,13,17,19,23,29,31,37,41,43},0)),"소",
   AND(ISNUMBER(CJ133),MOD(CJ133,3)=0),"배",
   AND(ISNUMBER(CJ133),CJ133&gt;0),"자"
)</f>
        <v>자</v>
      </c>
      <c r="DR133" s="26" t="str" cm="1">
        <f t="array" ref="DR133">_xlfn.IFS(
   OR(CK133="",ISBLANK(CK133),CK133=0),0,
   ISNUMBER(MATCH(CK133,{2,3,5,7,11,13,17,19,23,29,31,37,41,43},0)),"소",
   AND(ISNUMBER(CK133),MOD(CK133,3)=0),"배",
   AND(ISNUMBER(CK133),CK133&gt;0),"자"
)</f>
        <v>소</v>
      </c>
      <c r="DS133" s="26" t="str" cm="1">
        <f t="array" ref="DS133">_xlfn.IFS(
   OR(CL133="",ISBLANK(CL133),CL133=0),0,
   ISNUMBER(MATCH(CL133,{2,3,5,7,11,13,17,19,23,29,31,37,41,43},0)),"소",
   AND(ISNUMBER(CL133),MOD(CL133,3)=0),"배",
   AND(ISNUMBER(CL133),CL133&gt;0),"자"
)</f>
        <v>소</v>
      </c>
      <c r="DT133" s="25"/>
    </row>
    <row r="134" spans="2:124" x14ac:dyDescent="0.3">
      <c r="B134" s="3">
        <v>13</v>
      </c>
      <c r="C134" s="3">
        <v>15</v>
      </c>
      <c r="D134" s="3">
        <v>19</v>
      </c>
      <c r="E134" s="3">
        <v>21</v>
      </c>
      <c r="F134" s="3">
        <v>44</v>
      </c>
      <c r="G134" s="3">
        <v>45</v>
      </c>
      <c r="H134" s="32"/>
      <c r="I134" s="3">
        <f t="shared" si="80"/>
        <v>1</v>
      </c>
      <c r="J134" s="3">
        <f t="shared" si="81"/>
        <v>1</v>
      </c>
      <c r="K134" s="3">
        <f t="shared" si="82"/>
        <v>1</v>
      </c>
      <c r="L134" s="3">
        <f t="shared" si="83"/>
        <v>1</v>
      </c>
      <c r="M134" s="3">
        <f t="shared" si="84"/>
        <v>2</v>
      </c>
      <c r="N134" s="3">
        <f t="shared" si="85"/>
        <v>1</v>
      </c>
      <c r="O134" s="32"/>
      <c r="P134" s="3" cm="1">
        <f t="array" ref="P134">SUMPRODUCT(--(MOD(B134:G134,2)=1))</f>
        <v>5</v>
      </c>
      <c r="Q134" s="3">
        <f t="shared" si="86"/>
        <v>1</v>
      </c>
      <c r="R134" s="34"/>
      <c r="S134" s="3">
        <f t="shared" si="87"/>
        <v>4</v>
      </c>
      <c r="T134" s="3">
        <f t="shared" si="88"/>
        <v>2</v>
      </c>
      <c r="U134" s="34"/>
      <c r="V134" s="3" cm="1">
        <f t="array" ref="V134">SUMPRODUCT(--(MOD(B134:G134,10)&gt;=1), --(MOD(B134:G134,10)&lt;=5))</f>
        <v>5</v>
      </c>
      <c r="W134" s="3">
        <f t="shared" si="89"/>
        <v>1</v>
      </c>
      <c r="X134" s="34"/>
      <c r="Y134" s="3" cm="1">
        <f t="array" ref="Y134">IFERROR(COUNT(_xlfn._xlws.FILTER(B134:G134, ISNUMBER(MATCH(B134:G134, {2,3,5,7,11,13,17,19,23,29,31,37,41,43}, 0)))), 0)</f>
        <v>2</v>
      </c>
      <c r="Z134" s="3" cm="1">
        <f t="array" ref="Z134">IFERROR(COUNT(_xlfn._xlws.FILTER(B134:G134, ISNUMBER(MATCH(B134:G134, {1,4,8,10,14,16,20,22,25,26,28,32,34,35,38,40,44}, 0)))), 0)</f>
        <v>1</v>
      </c>
      <c r="AA134" s="3" cm="1">
        <f t="array" ref="AA134">IFERROR(COUNT(_xlfn._xlws.FILTER(B134:G134, ISNUMBER(MATCH(B134:G134, {6,9,12,15,18,21,24,27,30,33,36,39,42,45}, 0)))), 0)</f>
        <v>3</v>
      </c>
      <c r="AB134" s="30"/>
      <c r="AC134" s="26" t="str" cm="1">
        <f t="array" ref="AC134">_xlfn.IFS(
   OR(B134="",ISBLANK(B134),B134=0),0,
   ISNUMBER(MATCH(B134,{2,3,5,7,11,13,17,19,23,29,31,37,41,43},0)),"소",
   AND(ISNUMBER(B134),MOD(B134,3)=0),"배",
   AND(ISNUMBER(B134),B134&gt;0),"자"
)</f>
        <v>소</v>
      </c>
      <c r="AD134" s="26" t="str" cm="1">
        <f t="array" ref="AD134">_xlfn.IFS(
   OR(C134="",ISBLANK(C134),C134=0),0,
   ISNUMBER(MATCH(C134,{2,3,5,7,11,13,17,19,23,29,31,37,41,43},0)),"소",
   AND(ISNUMBER(C134),MOD(C134,3)=0),"배",
   AND(ISNUMBER(C134),C134&gt;0),"자"
)</f>
        <v>배</v>
      </c>
      <c r="AE134" s="26" t="str" cm="1">
        <f t="array" ref="AE134">_xlfn.IFS(
   OR(D134="",ISBLANK(D134),D134=0),0,
   ISNUMBER(MATCH(D134,{2,3,5,7,11,13,17,19,23,29,31,37,41,43},0)),"소",
   AND(ISNUMBER(D134),MOD(D134,3)=0),"배",
   AND(ISNUMBER(D134),D134&gt;0),"자"
)</f>
        <v>소</v>
      </c>
      <c r="AF134" s="26" t="str" cm="1">
        <f t="array" ref="AF134">_xlfn.IFS(
   OR(E134="",ISBLANK(E134),E134=0),0,
   ISNUMBER(MATCH(E134,{2,3,5,7,11,13,17,19,23,29,31,37,41,43},0)),"소",
   AND(ISNUMBER(E134),MOD(E134,3)=0),"배",
   AND(ISNUMBER(E134),E134&gt;0),"자"
)</f>
        <v>배</v>
      </c>
      <c r="AG134" s="26" t="str" cm="1">
        <f t="array" ref="AG134">_xlfn.IFS(
   OR(F134="",ISBLANK(F134),F134=0),0,
   ISNUMBER(MATCH(F134,{2,3,5,7,11,13,17,19,23,29,31,37,41,43},0)),"소",
   AND(ISNUMBER(F134),MOD(F134,3)=0),"배",
   AND(ISNUMBER(F134),F134&gt;0),"자"
)</f>
        <v>자</v>
      </c>
      <c r="AH134" s="26" t="str" cm="1">
        <f t="array" ref="AH134">_xlfn.IFS(
   OR(G134="",ISBLANK(G134),G134=0),0,
   ISNUMBER(MATCH(G134,{2,3,5,7,11,13,17,19,23,29,31,37,41,43},0)),"소",
   AND(ISNUMBER(G134),MOD(G134,3)=0),"배",
   AND(ISNUMBER(G134),G134&gt;0),"자"
)</f>
        <v>배</v>
      </c>
      <c r="AI134" s="30"/>
      <c r="AJ134" s="3">
        <f t="shared" si="90"/>
        <v>1</v>
      </c>
      <c r="AK134" s="3">
        <f t="shared" si="91"/>
        <v>3</v>
      </c>
      <c r="AL134" s="3">
        <f t="shared" si="92"/>
        <v>2</v>
      </c>
      <c r="AM134" s="33"/>
      <c r="AN134" s="3">
        <f t="shared" si="93"/>
        <v>0</v>
      </c>
      <c r="AO134" s="3">
        <f t="shared" si="94"/>
        <v>2</v>
      </c>
      <c r="AP134" s="3">
        <f t="shared" si="95"/>
        <v>2</v>
      </c>
      <c r="AQ134" s="3">
        <f t="shared" si="96"/>
        <v>0</v>
      </c>
      <c r="AR134" s="3">
        <f t="shared" si="97"/>
        <v>2</v>
      </c>
      <c r="AS134" s="28" t="e">
        <f>#REF!</f>
        <v>#REF!</v>
      </c>
      <c r="AT134" s="28" t="e">
        <f>#REF!*2</f>
        <v>#REF!</v>
      </c>
      <c r="AU134" s="28" t="e">
        <f>#REF!</f>
        <v>#REF!</v>
      </c>
      <c r="AV134" s="28" t="e">
        <f>#REF!*2</f>
        <v>#REF!</v>
      </c>
      <c r="AW134" s="28" t="e">
        <f>#REF!</f>
        <v>#REF!</v>
      </c>
      <c r="AX134" s="28" t="e">
        <f>#REF!*2</f>
        <v>#REF!</v>
      </c>
      <c r="AY134" s="28" t="e">
        <f>#REF!</f>
        <v>#REF!</v>
      </c>
      <c r="AZ134" s="28" t="e">
        <f>#REF!*2</f>
        <v>#REF!</v>
      </c>
      <c r="BA134" s="28" t="e">
        <f>#REF!</f>
        <v>#REF!</v>
      </c>
      <c r="BB134" s="28" t="e">
        <f>#REF!*2</f>
        <v>#REF!</v>
      </c>
      <c r="BC134" s="28" t="e">
        <f>#REF!</f>
        <v>#REF!</v>
      </c>
      <c r="BD134" s="28" t="e">
        <f>#REF!*2</f>
        <v>#REF!</v>
      </c>
      <c r="BE134" s="9" t="e">
        <f>#REF!-#REF!</f>
        <v>#REF!</v>
      </c>
      <c r="BF134" s="9" t="e">
        <f>#REF!-#REF!</f>
        <v>#REF!</v>
      </c>
      <c r="BG134" s="9" t="e">
        <f>#REF!-#REF!</f>
        <v>#REF!</v>
      </c>
      <c r="BH134" s="9" t="e">
        <f>#REF!-#REF!</f>
        <v>#REF!</v>
      </c>
      <c r="BI134" s="9" t="e">
        <f>#REF!-#REF!</f>
        <v>#REF!</v>
      </c>
      <c r="BJ134" s="33"/>
      <c r="BK134" s="3">
        <f t="shared" si="98"/>
        <v>0</v>
      </c>
      <c r="BL134" s="3">
        <f t="shared" si="99"/>
        <v>3</v>
      </c>
      <c r="BM134" s="3">
        <f t="shared" si="100"/>
        <v>1</v>
      </c>
      <c r="BN134" s="3">
        <f t="shared" si="101"/>
        <v>0</v>
      </c>
      <c r="BO134" s="3">
        <f t="shared" si="102"/>
        <v>2</v>
      </c>
      <c r="BP134" s="28" t="e">
        <f>#REF!</f>
        <v>#REF!</v>
      </c>
      <c r="BQ134" s="28" t="e">
        <f>#REF!*2</f>
        <v>#REF!</v>
      </c>
      <c r="BR134" s="28" t="e">
        <f>#REF!</f>
        <v>#REF!</v>
      </c>
      <c r="BS134" s="28" t="e">
        <f>#REF!*2</f>
        <v>#REF!</v>
      </c>
      <c r="BT134" s="28" t="e">
        <f>#REF!</f>
        <v>#REF!</v>
      </c>
      <c r="BU134" s="28" t="e">
        <f>#REF!*2</f>
        <v>#REF!</v>
      </c>
      <c r="BV134" s="28" t="e">
        <f>#REF!</f>
        <v>#REF!</v>
      </c>
      <c r="BW134" s="28" t="e">
        <f>#REF!*2</f>
        <v>#REF!</v>
      </c>
      <c r="BX134" s="28" t="e">
        <f>#REF!</f>
        <v>#REF!</v>
      </c>
      <c r="BY134" s="28" t="e">
        <f>#REF!*2</f>
        <v>#REF!</v>
      </c>
      <c r="BZ134" s="28" t="e">
        <f>#REF!</f>
        <v>#REF!</v>
      </c>
      <c r="CA134" s="28" t="e">
        <f>#REF!*2</f>
        <v>#REF!</v>
      </c>
      <c r="CB134" s="9">
        <f t="shared" si="103"/>
        <v>2</v>
      </c>
      <c r="CC134" s="9">
        <f t="shared" si="104"/>
        <v>4</v>
      </c>
      <c r="CD134" s="9">
        <f t="shared" si="105"/>
        <v>2</v>
      </c>
      <c r="CE134" s="9">
        <f t="shared" si="106"/>
        <v>23</v>
      </c>
      <c r="CF134" s="9">
        <f t="shared" si="107"/>
        <v>1</v>
      </c>
      <c r="CG134" s="33"/>
      <c r="CH134" s="9">
        <f t="shared" si="108"/>
        <v>2</v>
      </c>
      <c r="CI134" s="9">
        <f t="shared" si="109"/>
        <v>4</v>
      </c>
      <c r="CJ134" s="9">
        <f t="shared" si="110"/>
        <v>2</v>
      </c>
      <c r="CK134" s="9">
        <f t="shared" si="111"/>
        <v>23</v>
      </c>
      <c r="CL134" s="9">
        <f t="shared" si="112"/>
        <v>1</v>
      </c>
      <c r="CM134" s="32"/>
      <c r="CN134" s="3">
        <f t="shared" si="113"/>
        <v>2</v>
      </c>
      <c r="CO134" s="3">
        <f t="shared" si="114"/>
        <v>2</v>
      </c>
      <c r="CP134" s="3">
        <f t="shared" si="115"/>
        <v>2</v>
      </c>
      <c r="CQ134" s="3">
        <f t="shared" si="116"/>
        <v>1</v>
      </c>
      <c r="CR134" s="3">
        <f t="shared" si="117"/>
        <v>1</v>
      </c>
      <c r="CS134" s="31"/>
      <c r="CT134" s="3" cm="1">
        <f t="array" ref="CT134">SUMPRODUCT(--(MOD(CH134:CL134,2)=1))</f>
        <v>2</v>
      </c>
      <c r="CU134" s="3">
        <f t="shared" si="118"/>
        <v>3</v>
      </c>
      <c r="CV134" s="30"/>
      <c r="CW134" s="3" cm="1">
        <f t="array" ref="CW134">SUMPRODUCT(--(MOD(CH134:CL134,10)&gt;=1), --(MOD(CH134:CL134,10)&lt;=5))</f>
        <v>5</v>
      </c>
      <c r="CX134" s="3">
        <f t="shared" si="119"/>
        <v>0</v>
      </c>
      <c r="CY134" s="30"/>
      <c r="CZ134" s="3" cm="1">
        <f t="array" ref="CZ134">IFERROR(COUNT(_xlfn._xlws.FILTER(CH134:CL134, ISNUMBER(MATCH(CH134:CL134, {2,3,5,7,11,13,17,19,23,29,31,37,41,43}, 0)))), 0)</f>
        <v>3</v>
      </c>
      <c r="DA134" s="3" cm="1">
        <f t="array" ref="DA134">IFERROR(COUNT(_xlfn._xlws.FILTER(CH134:CL134, ISNUMBER(MATCH(CH134:CL134, {1,4,8,10,14,16,20,22,25,26,28,32,34,35,38,40,44}, 0)))), 0)</f>
        <v>2</v>
      </c>
      <c r="DB134" s="3" cm="1">
        <f t="array" ref="DB134">IFERROR(COUNT(_xlfn._xlws.FILTER(CH134:CL134, ISNUMBER(MATCH(CH134:CL134, {6,9,12,15,18,21,24,27,30,33,36,39,42,45}, 0)))), 0)</f>
        <v>0</v>
      </c>
      <c r="DC134" s="29"/>
      <c r="DD134" s="28" t="e">
        <f>#REF!</f>
        <v>#REF!</v>
      </c>
      <c r="DE134" s="28" t="e">
        <f>#REF!*2</f>
        <v>#REF!</v>
      </c>
      <c r="DF134" s="28" t="e">
        <f>#REF!</f>
        <v>#REF!</v>
      </c>
      <c r="DG134" s="28" t="e">
        <f>#REF!*2</f>
        <v>#REF!</v>
      </c>
      <c r="DH134" s="28" t="e">
        <f>#REF!</f>
        <v>#REF!</v>
      </c>
      <c r="DI134" s="28" t="e">
        <f>#REF!*2</f>
        <v>#REF!</v>
      </c>
      <c r="DJ134" s="28" t="e">
        <f>#REF!</f>
        <v>#REF!</v>
      </c>
      <c r="DK134" s="28" t="e">
        <f>#REF!*2</f>
        <v>#REF!</v>
      </c>
      <c r="DL134" s="28" t="e">
        <f>#REF!</f>
        <v>#REF!</v>
      </c>
      <c r="DM134" s="28" t="e">
        <f>#REF!*2</f>
        <v>#REF!</v>
      </c>
      <c r="DN134" s="27"/>
      <c r="DO134" s="26" t="str" cm="1">
        <f t="array" ref="DO134">_xlfn.IFS(
   OR(CH134="",ISBLANK(CH134),CH134=0),0,
   ISNUMBER(MATCH(CH134,{2,3,5,7,11,13,17,19,23,29,31,37,41,43},0)),"소",
   AND(ISNUMBER(CH134),MOD(CH134,3)=0),"배",
   AND(ISNUMBER(CH134),CH134&gt;0),"자"
)</f>
        <v>소</v>
      </c>
      <c r="DP134" s="26" t="str" cm="1">
        <f t="array" ref="DP134">_xlfn.IFS(
   OR(CI134="",ISBLANK(CI134),CI134=0),0,
   ISNUMBER(MATCH(CI134,{2,3,5,7,11,13,17,19,23,29,31,37,41,43},0)),"소",
   AND(ISNUMBER(CI134),MOD(CI134,3)=0),"배",
   AND(ISNUMBER(CI134),CI134&gt;0),"자"
)</f>
        <v>자</v>
      </c>
      <c r="DQ134" s="26" t="str" cm="1">
        <f t="array" ref="DQ134">_xlfn.IFS(
   OR(CJ134="",ISBLANK(CJ134),CJ134=0),0,
   ISNUMBER(MATCH(CJ134,{2,3,5,7,11,13,17,19,23,29,31,37,41,43},0)),"소",
   AND(ISNUMBER(CJ134),MOD(CJ134,3)=0),"배",
   AND(ISNUMBER(CJ134),CJ134&gt;0),"자"
)</f>
        <v>소</v>
      </c>
      <c r="DR134" s="26" t="str" cm="1">
        <f t="array" ref="DR134">_xlfn.IFS(
   OR(CK134="",ISBLANK(CK134),CK134=0),0,
   ISNUMBER(MATCH(CK134,{2,3,5,7,11,13,17,19,23,29,31,37,41,43},0)),"소",
   AND(ISNUMBER(CK134),MOD(CK134,3)=0),"배",
   AND(ISNUMBER(CK134),CK134&gt;0),"자"
)</f>
        <v>소</v>
      </c>
      <c r="DS134" s="26" t="str" cm="1">
        <f t="array" ref="DS134">_xlfn.IFS(
   OR(CL134="",ISBLANK(CL134),CL134=0),0,
   ISNUMBER(MATCH(CL134,{2,3,5,7,11,13,17,19,23,29,31,37,41,43},0)),"소",
   AND(ISNUMBER(CL134),MOD(CL134,3)=0),"배",
   AND(ISNUMBER(CL134),CL134&gt;0),"자"
)</f>
        <v>자</v>
      </c>
      <c r="DT134" s="25"/>
    </row>
    <row r="135" spans="2:124" x14ac:dyDescent="0.3">
      <c r="B135" s="3">
        <v>3</v>
      </c>
      <c r="C135" s="3">
        <v>10</v>
      </c>
      <c r="D135" s="3">
        <v>14</v>
      </c>
      <c r="E135" s="3">
        <v>15</v>
      </c>
      <c r="F135" s="3">
        <v>23</v>
      </c>
      <c r="G135" s="3">
        <v>24</v>
      </c>
      <c r="H135" s="32"/>
      <c r="I135" s="3">
        <f t="shared" si="80"/>
        <v>1</v>
      </c>
      <c r="J135" s="3">
        <f t="shared" si="81"/>
        <v>2</v>
      </c>
      <c r="K135" s="3">
        <f t="shared" si="82"/>
        <v>2</v>
      </c>
      <c r="L135" s="3">
        <f t="shared" si="83"/>
        <v>1</v>
      </c>
      <c r="M135" s="3">
        <f t="shared" si="84"/>
        <v>1</v>
      </c>
      <c r="N135" s="3">
        <f t="shared" si="85"/>
        <v>2</v>
      </c>
      <c r="O135" s="32"/>
      <c r="P135" s="3" cm="1">
        <f t="array" ref="P135">SUMPRODUCT(--(MOD(B135:G135,2)=1))</f>
        <v>3</v>
      </c>
      <c r="Q135" s="3">
        <f t="shared" si="86"/>
        <v>3</v>
      </c>
      <c r="R135" s="34"/>
      <c r="S135" s="3">
        <f t="shared" si="87"/>
        <v>5</v>
      </c>
      <c r="T135" s="3">
        <f t="shared" si="88"/>
        <v>1</v>
      </c>
      <c r="U135" s="34"/>
      <c r="V135" s="3" cm="1">
        <f t="array" ref="V135">SUMPRODUCT(--(MOD(B135:G135,10)&gt;=1), --(MOD(B135:G135,10)&lt;=5))</f>
        <v>5</v>
      </c>
      <c r="W135" s="3">
        <f t="shared" si="89"/>
        <v>1</v>
      </c>
      <c r="X135" s="34"/>
      <c r="Y135" s="3" cm="1">
        <f t="array" ref="Y135">IFERROR(COUNT(_xlfn._xlws.FILTER(B135:G135, ISNUMBER(MATCH(B135:G135, {2,3,5,7,11,13,17,19,23,29,31,37,41,43}, 0)))), 0)</f>
        <v>2</v>
      </c>
      <c r="Z135" s="3" cm="1">
        <f t="array" ref="Z135">IFERROR(COUNT(_xlfn._xlws.FILTER(B135:G135, ISNUMBER(MATCH(B135:G135, {1,4,8,10,14,16,20,22,25,26,28,32,34,35,38,40,44}, 0)))), 0)</f>
        <v>2</v>
      </c>
      <c r="AA135" s="3" cm="1">
        <f t="array" ref="AA135">IFERROR(COUNT(_xlfn._xlws.FILTER(B135:G135, ISNUMBER(MATCH(B135:G135, {6,9,12,15,18,21,24,27,30,33,36,39,42,45}, 0)))), 0)</f>
        <v>2</v>
      </c>
      <c r="AB135" s="30"/>
      <c r="AC135" s="26" t="str" cm="1">
        <f t="array" ref="AC135">_xlfn.IFS(
   OR(B135="",ISBLANK(B135),B135=0),0,
   ISNUMBER(MATCH(B135,{2,3,5,7,11,13,17,19,23,29,31,37,41,43},0)),"소",
   AND(ISNUMBER(B135),MOD(B135,3)=0),"배",
   AND(ISNUMBER(B135),B135&gt;0),"자"
)</f>
        <v>소</v>
      </c>
      <c r="AD135" s="26" t="str" cm="1">
        <f t="array" ref="AD135">_xlfn.IFS(
   OR(C135="",ISBLANK(C135),C135=0),0,
   ISNUMBER(MATCH(C135,{2,3,5,7,11,13,17,19,23,29,31,37,41,43},0)),"소",
   AND(ISNUMBER(C135),MOD(C135,3)=0),"배",
   AND(ISNUMBER(C135),C135&gt;0),"자"
)</f>
        <v>자</v>
      </c>
      <c r="AE135" s="26" t="str" cm="1">
        <f t="array" ref="AE135">_xlfn.IFS(
   OR(D135="",ISBLANK(D135),D135=0),0,
   ISNUMBER(MATCH(D135,{2,3,5,7,11,13,17,19,23,29,31,37,41,43},0)),"소",
   AND(ISNUMBER(D135),MOD(D135,3)=0),"배",
   AND(ISNUMBER(D135),D135&gt;0),"자"
)</f>
        <v>자</v>
      </c>
      <c r="AF135" s="26" t="str" cm="1">
        <f t="array" ref="AF135">_xlfn.IFS(
   OR(E135="",ISBLANK(E135),E135=0),0,
   ISNUMBER(MATCH(E135,{2,3,5,7,11,13,17,19,23,29,31,37,41,43},0)),"소",
   AND(ISNUMBER(E135),MOD(E135,3)=0),"배",
   AND(ISNUMBER(E135),E135&gt;0),"자"
)</f>
        <v>배</v>
      </c>
      <c r="AG135" s="26" t="str" cm="1">
        <f t="array" ref="AG135">_xlfn.IFS(
   OR(F135="",ISBLANK(F135),F135=0),0,
   ISNUMBER(MATCH(F135,{2,3,5,7,11,13,17,19,23,29,31,37,41,43},0)),"소",
   AND(ISNUMBER(F135),MOD(F135,3)=0),"배",
   AND(ISNUMBER(F135),F135&gt;0),"자"
)</f>
        <v>소</v>
      </c>
      <c r="AH135" s="26" t="str" cm="1">
        <f t="array" ref="AH135">_xlfn.IFS(
   OR(G135="",ISBLANK(G135),G135=0),0,
   ISNUMBER(MATCH(G135,{2,3,5,7,11,13,17,19,23,29,31,37,41,43},0)),"소",
   AND(ISNUMBER(G135),MOD(G135,3)=0),"배",
   AND(ISNUMBER(G135),G135&gt;0),"자"
)</f>
        <v>배</v>
      </c>
      <c r="AI135" s="30"/>
      <c r="AJ135" s="3">
        <f t="shared" si="90"/>
        <v>3</v>
      </c>
      <c r="AK135" s="3">
        <f t="shared" si="91"/>
        <v>3</v>
      </c>
      <c r="AL135" s="3">
        <f t="shared" si="92"/>
        <v>0</v>
      </c>
      <c r="AM135" s="33"/>
      <c r="AN135" s="3">
        <f t="shared" si="93"/>
        <v>1</v>
      </c>
      <c r="AO135" s="3">
        <f t="shared" si="94"/>
        <v>3</v>
      </c>
      <c r="AP135" s="3">
        <f t="shared" si="95"/>
        <v>2</v>
      </c>
      <c r="AQ135" s="3">
        <f t="shared" si="96"/>
        <v>0</v>
      </c>
      <c r="AR135" s="3">
        <f t="shared" si="97"/>
        <v>0</v>
      </c>
      <c r="AS135" s="28" t="e">
        <f>#REF!</f>
        <v>#REF!</v>
      </c>
      <c r="AT135" s="28" t="e">
        <f>#REF!*2</f>
        <v>#REF!</v>
      </c>
      <c r="AU135" s="28" t="e">
        <f>#REF!</f>
        <v>#REF!</v>
      </c>
      <c r="AV135" s="28" t="e">
        <f>#REF!*2</f>
        <v>#REF!</v>
      </c>
      <c r="AW135" s="28" t="e">
        <f>#REF!</f>
        <v>#REF!</v>
      </c>
      <c r="AX135" s="28" t="e">
        <f>#REF!*2</f>
        <v>#REF!</v>
      </c>
      <c r="AY135" s="28" t="e">
        <f>#REF!</f>
        <v>#REF!</v>
      </c>
      <c r="AZ135" s="28" t="e">
        <f>#REF!*2</f>
        <v>#REF!</v>
      </c>
      <c r="BA135" s="28" t="e">
        <f>#REF!</f>
        <v>#REF!</v>
      </c>
      <c r="BB135" s="28" t="e">
        <f>#REF!*2</f>
        <v>#REF!</v>
      </c>
      <c r="BC135" s="28" t="e">
        <f>#REF!</f>
        <v>#REF!</v>
      </c>
      <c r="BD135" s="28" t="e">
        <f>#REF!*2</f>
        <v>#REF!</v>
      </c>
      <c r="BE135" s="9" t="e">
        <f>#REF!-#REF!</f>
        <v>#REF!</v>
      </c>
      <c r="BF135" s="9" t="e">
        <f>#REF!-#REF!</f>
        <v>#REF!</v>
      </c>
      <c r="BG135" s="9" t="e">
        <f>#REF!-#REF!</f>
        <v>#REF!</v>
      </c>
      <c r="BH135" s="9" t="e">
        <f>#REF!-#REF!</f>
        <v>#REF!</v>
      </c>
      <c r="BI135" s="9" t="e">
        <f>#REF!-#REF!</f>
        <v>#REF!</v>
      </c>
      <c r="BJ135" s="33"/>
      <c r="BK135" s="3">
        <f t="shared" si="98"/>
        <v>1</v>
      </c>
      <c r="BL135" s="3">
        <f t="shared" si="99"/>
        <v>3</v>
      </c>
      <c r="BM135" s="3">
        <f t="shared" si="100"/>
        <v>2</v>
      </c>
      <c r="BN135" s="3">
        <f t="shared" si="101"/>
        <v>0</v>
      </c>
      <c r="BO135" s="3">
        <f t="shared" si="102"/>
        <v>0</v>
      </c>
      <c r="BP135" s="28" t="e">
        <f>#REF!</f>
        <v>#REF!</v>
      </c>
      <c r="BQ135" s="28" t="e">
        <f>#REF!*2</f>
        <v>#REF!</v>
      </c>
      <c r="BR135" s="28" t="e">
        <f>#REF!</f>
        <v>#REF!</v>
      </c>
      <c r="BS135" s="28" t="e">
        <f>#REF!*2</f>
        <v>#REF!</v>
      </c>
      <c r="BT135" s="28" t="e">
        <f>#REF!</f>
        <v>#REF!</v>
      </c>
      <c r="BU135" s="28" t="e">
        <f>#REF!*2</f>
        <v>#REF!</v>
      </c>
      <c r="BV135" s="28" t="e">
        <f>#REF!</f>
        <v>#REF!</v>
      </c>
      <c r="BW135" s="28" t="e">
        <f>#REF!*2</f>
        <v>#REF!</v>
      </c>
      <c r="BX135" s="28" t="e">
        <f>#REF!</f>
        <v>#REF!</v>
      </c>
      <c r="BY135" s="28" t="e">
        <f>#REF!*2</f>
        <v>#REF!</v>
      </c>
      <c r="BZ135" s="28" t="e">
        <f>#REF!</f>
        <v>#REF!</v>
      </c>
      <c r="CA135" s="28" t="e">
        <f>#REF!*2</f>
        <v>#REF!</v>
      </c>
      <c r="CB135" s="9">
        <f t="shared" si="103"/>
        <v>7</v>
      </c>
      <c r="CC135" s="9">
        <f t="shared" si="104"/>
        <v>4</v>
      </c>
      <c r="CD135" s="9">
        <f t="shared" si="105"/>
        <v>1</v>
      </c>
      <c r="CE135" s="9">
        <f t="shared" si="106"/>
        <v>8</v>
      </c>
      <c r="CF135" s="9">
        <f t="shared" si="107"/>
        <v>1</v>
      </c>
      <c r="CG135" s="33"/>
      <c r="CH135" s="9">
        <f t="shared" si="108"/>
        <v>7</v>
      </c>
      <c r="CI135" s="9">
        <f t="shared" si="109"/>
        <v>4</v>
      </c>
      <c r="CJ135" s="9">
        <f t="shared" si="110"/>
        <v>1</v>
      </c>
      <c r="CK135" s="9">
        <f t="shared" si="111"/>
        <v>8</v>
      </c>
      <c r="CL135" s="9">
        <f t="shared" si="112"/>
        <v>1</v>
      </c>
      <c r="CM135" s="32"/>
      <c r="CN135" s="3">
        <f t="shared" si="113"/>
        <v>1</v>
      </c>
      <c r="CO135" s="3">
        <f t="shared" si="114"/>
        <v>2</v>
      </c>
      <c r="CP135" s="3">
        <f t="shared" si="115"/>
        <v>1</v>
      </c>
      <c r="CQ135" s="3">
        <f t="shared" si="116"/>
        <v>2</v>
      </c>
      <c r="CR135" s="3">
        <f t="shared" si="117"/>
        <v>1</v>
      </c>
      <c r="CS135" s="31"/>
      <c r="CT135" s="3" cm="1">
        <f t="array" ref="CT135">SUMPRODUCT(--(MOD(CH135:CL135,2)=1))</f>
        <v>3</v>
      </c>
      <c r="CU135" s="3">
        <f t="shared" si="118"/>
        <v>2</v>
      </c>
      <c r="CV135" s="30"/>
      <c r="CW135" s="3" cm="1">
        <f t="array" ref="CW135">SUMPRODUCT(--(MOD(CH135:CL135,10)&gt;=1), --(MOD(CH135:CL135,10)&lt;=5))</f>
        <v>3</v>
      </c>
      <c r="CX135" s="3">
        <f t="shared" si="119"/>
        <v>2</v>
      </c>
      <c r="CY135" s="30"/>
      <c r="CZ135" s="3" cm="1">
        <f t="array" ref="CZ135">IFERROR(COUNT(_xlfn._xlws.FILTER(CH135:CL135, ISNUMBER(MATCH(CH135:CL135, {2,3,5,7,11,13,17,19,23,29,31,37,41,43}, 0)))), 0)</f>
        <v>1</v>
      </c>
      <c r="DA135" s="3" cm="1">
        <f t="array" ref="DA135">IFERROR(COUNT(_xlfn._xlws.FILTER(CH135:CL135, ISNUMBER(MATCH(CH135:CL135, {1,4,8,10,14,16,20,22,25,26,28,32,34,35,38,40,44}, 0)))), 0)</f>
        <v>4</v>
      </c>
      <c r="DB135" s="3" cm="1">
        <f t="array" ref="DB135">IFERROR(COUNT(_xlfn._xlws.FILTER(CH135:CL135, ISNUMBER(MATCH(CH135:CL135, {6,9,12,15,18,21,24,27,30,33,36,39,42,45}, 0)))), 0)</f>
        <v>0</v>
      </c>
      <c r="DC135" s="29"/>
      <c r="DD135" s="28" t="e">
        <f>#REF!</f>
        <v>#REF!</v>
      </c>
      <c r="DE135" s="28" t="e">
        <f>#REF!*2</f>
        <v>#REF!</v>
      </c>
      <c r="DF135" s="28" t="e">
        <f>#REF!</f>
        <v>#REF!</v>
      </c>
      <c r="DG135" s="28" t="e">
        <f>#REF!*2</f>
        <v>#REF!</v>
      </c>
      <c r="DH135" s="28" t="e">
        <f>#REF!</f>
        <v>#REF!</v>
      </c>
      <c r="DI135" s="28" t="e">
        <f>#REF!*2</f>
        <v>#REF!</v>
      </c>
      <c r="DJ135" s="28" t="e">
        <f>#REF!</f>
        <v>#REF!</v>
      </c>
      <c r="DK135" s="28" t="e">
        <f>#REF!*2</f>
        <v>#REF!</v>
      </c>
      <c r="DL135" s="28" t="e">
        <f>#REF!</f>
        <v>#REF!</v>
      </c>
      <c r="DM135" s="28" t="e">
        <f>#REF!*2</f>
        <v>#REF!</v>
      </c>
      <c r="DN135" s="27"/>
      <c r="DO135" s="26" t="str" cm="1">
        <f t="array" ref="DO135">_xlfn.IFS(
   OR(CH135="",ISBLANK(CH135),CH135=0),0,
   ISNUMBER(MATCH(CH135,{2,3,5,7,11,13,17,19,23,29,31,37,41,43},0)),"소",
   AND(ISNUMBER(CH135),MOD(CH135,3)=0),"배",
   AND(ISNUMBER(CH135),CH135&gt;0),"자"
)</f>
        <v>소</v>
      </c>
      <c r="DP135" s="26" t="str" cm="1">
        <f t="array" ref="DP135">_xlfn.IFS(
   OR(CI135="",ISBLANK(CI135),CI135=0),0,
   ISNUMBER(MATCH(CI135,{2,3,5,7,11,13,17,19,23,29,31,37,41,43},0)),"소",
   AND(ISNUMBER(CI135),MOD(CI135,3)=0),"배",
   AND(ISNUMBER(CI135),CI135&gt;0),"자"
)</f>
        <v>자</v>
      </c>
      <c r="DQ135" s="26" t="str" cm="1">
        <f t="array" ref="DQ135">_xlfn.IFS(
   OR(CJ135="",ISBLANK(CJ135),CJ135=0),0,
   ISNUMBER(MATCH(CJ135,{2,3,5,7,11,13,17,19,23,29,31,37,41,43},0)),"소",
   AND(ISNUMBER(CJ135),MOD(CJ135,3)=0),"배",
   AND(ISNUMBER(CJ135),CJ135&gt;0),"자"
)</f>
        <v>자</v>
      </c>
      <c r="DR135" s="26" t="str" cm="1">
        <f t="array" ref="DR135">_xlfn.IFS(
   OR(CK135="",ISBLANK(CK135),CK135=0),0,
   ISNUMBER(MATCH(CK135,{2,3,5,7,11,13,17,19,23,29,31,37,41,43},0)),"소",
   AND(ISNUMBER(CK135),MOD(CK135,3)=0),"배",
   AND(ISNUMBER(CK135),CK135&gt;0),"자"
)</f>
        <v>자</v>
      </c>
      <c r="DS135" s="26" t="str" cm="1">
        <f t="array" ref="DS135">_xlfn.IFS(
   OR(CL135="",ISBLANK(CL135),CL135=0),0,
   ISNUMBER(MATCH(CL135,{2,3,5,7,11,13,17,19,23,29,31,37,41,43},0)),"소",
   AND(ISNUMBER(CL135),MOD(CL135,3)=0),"배",
   AND(ISNUMBER(CL135),CL135&gt;0),"자"
)</f>
        <v>자</v>
      </c>
      <c r="DT135" s="25"/>
    </row>
    <row r="136" spans="2:124" x14ac:dyDescent="0.3">
      <c r="B136" s="3">
        <v>8</v>
      </c>
      <c r="C136" s="3">
        <v>10</v>
      </c>
      <c r="D136" s="3">
        <v>15</v>
      </c>
      <c r="E136" s="3">
        <v>20</v>
      </c>
      <c r="F136" s="3">
        <v>29</v>
      </c>
      <c r="G136" s="3">
        <v>31</v>
      </c>
      <c r="H136" s="32"/>
      <c r="I136" s="3">
        <f t="shared" si="80"/>
        <v>2</v>
      </c>
      <c r="J136" s="3">
        <f t="shared" si="81"/>
        <v>2</v>
      </c>
      <c r="K136" s="3">
        <f t="shared" si="82"/>
        <v>1</v>
      </c>
      <c r="L136" s="3">
        <f t="shared" si="83"/>
        <v>2</v>
      </c>
      <c r="M136" s="3">
        <f t="shared" si="84"/>
        <v>1</v>
      </c>
      <c r="N136" s="3">
        <f t="shared" si="85"/>
        <v>1</v>
      </c>
      <c r="O136" s="32"/>
      <c r="P136" s="3" cm="1">
        <f t="array" ref="P136">SUMPRODUCT(--(MOD(B136:G136,2)=1))</f>
        <v>3</v>
      </c>
      <c r="Q136" s="3">
        <f t="shared" si="86"/>
        <v>3</v>
      </c>
      <c r="R136" s="34"/>
      <c r="S136" s="3">
        <f t="shared" si="87"/>
        <v>4</v>
      </c>
      <c r="T136" s="3">
        <f t="shared" si="88"/>
        <v>2</v>
      </c>
      <c r="U136" s="34"/>
      <c r="V136" s="3" cm="1">
        <f t="array" ref="V136">SUMPRODUCT(--(MOD(B136:G136,10)&gt;=1), --(MOD(B136:G136,10)&lt;=5))</f>
        <v>2</v>
      </c>
      <c r="W136" s="3">
        <f t="shared" si="89"/>
        <v>4</v>
      </c>
      <c r="X136" s="34"/>
      <c r="Y136" s="3" cm="1">
        <f t="array" ref="Y136">IFERROR(COUNT(_xlfn._xlws.FILTER(B136:G136, ISNUMBER(MATCH(B136:G136, {2,3,5,7,11,13,17,19,23,29,31,37,41,43}, 0)))), 0)</f>
        <v>2</v>
      </c>
      <c r="Z136" s="3" cm="1">
        <f t="array" ref="Z136">IFERROR(COUNT(_xlfn._xlws.FILTER(B136:G136, ISNUMBER(MATCH(B136:G136, {1,4,8,10,14,16,20,22,25,26,28,32,34,35,38,40,44}, 0)))), 0)</f>
        <v>3</v>
      </c>
      <c r="AA136" s="3" cm="1">
        <f t="array" ref="AA136">IFERROR(COUNT(_xlfn._xlws.FILTER(B136:G136, ISNUMBER(MATCH(B136:G136, {6,9,12,15,18,21,24,27,30,33,36,39,42,45}, 0)))), 0)</f>
        <v>1</v>
      </c>
      <c r="AB136" s="30"/>
      <c r="AC136" s="26" t="str" cm="1">
        <f t="array" ref="AC136">_xlfn.IFS(
   OR(B136="",ISBLANK(B136),B136=0),0,
   ISNUMBER(MATCH(B136,{2,3,5,7,11,13,17,19,23,29,31,37,41,43},0)),"소",
   AND(ISNUMBER(B136),MOD(B136,3)=0),"배",
   AND(ISNUMBER(B136),B136&gt;0),"자"
)</f>
        <v>자</v>
      </c>
      <c r="AD136" s="26" t="str" cm="1">
        <f t="array" ref="AD136">_xlfn.IFS(
   OR(C136="",ISBLANK(C136),C136=0),0,
   ISNUMBER(MATCH(C136,{2,3,5,7,11,13,17,19,23,29,31,37,41,43},0)),"소",
   AND(ISNUMBER(C136),MOD(C136,3)=0),"배",
   AND(ISNUMBER(C136),C136&gt;0),"자"
)</f>
        <v>자</v>
      </c>
      <c r="AE136" s="26" t="str" cm="1">
        <f t="array" ref="AE136">_xlfn.IFS(
   OR(D136="",ISBLANK(D136),D136=0),0,
   ISNUMBER(MATCH(D136,{2,3,5,7,11,13,17,19,23,29,31,37,41,43},0)),"소",
   AND(ISNUMBER(D136),MOD(D136,3)=0),"배",
   AND(ISNUMBER(D136),D136&gt;0),"자"
)</f>
        <v>배</v>
      </c>
      <c r="AF136" s="26" t="str" cm="1">
        <f t="array" ref="AF136">_xlfn.IFS(
   OR(E136="",ISBLANK(E136),E136=0),0,
   ISNUMBER(MATCH(E136,{2,3,5,7,11,13,17,19,23,29,31,37,41,43},0)),"소",
   AND(ISNUMBER(E136),MOD(E136,3)=0),"배",
   AND(ISNUMBER(E136),E136&gt;0),"자"
)</f>
        <v>자</v>
      </c>
      <c r="AG136" s="26" t="str" cm="1">
        <f t="array" ref="AG136">_xlfn.IFS(
   OR(F136="",ISBLANK(F136),F136=0),0,
   ISNUMBER(MATCH(F136,{2,3,5,7,11,13,17,19,23,29,31,37,41,43},0)),"소",
   AND(ISNUMBER(F136),MOD(F136,3)=0),"배",
   AND(ISNUMBER(F136),F136&gt;0),"자"
)</f>
        <v>소</v>
      </c>
      <c r="AH136" s="26" t="str" cm="1">
        <f t="array" ref="AH136">_xlfn.IFS(
   OR(G136="",ISBLANK(G136),G136=0),0,
   ISNUMBER(MATCH(G136,{2,3,5,7,11,13,17,19,23,29,31,37,41,43},0)),"소",
   AND(ISNUMBER(G136),MOD(G136,3)=0),"배",
   AND(ISNUMBER(G136),G136&gt;0),"자"
)</f>
        <v>소</v>
      </c>
      <c r="AI136" s="30"/>
      <c r="AJ136" s="3">
        <f t="shared" si="90"/>
        <v>2</v>
      </c>
      <c r="AK136" s="3">
        <f t="shared" si="91"/>
        <v>4</v>
      </c>
      <c r="AL136" s="3">
        <f t="shared" si="92"/>
        <v>0</v>
      </c>
      <c r="AM136" s="33"/>
      <c r="AN136" s="3">
        <f t="shared" si="93"/>
        <v>1</v>
      </c>
      <c r="AO136" s="3">
        <f t="shared" si="94"/>
        <v>2</v>
      </c>
      <c r="AP136" s="3">
        <f t="shared" si="95"/>
        <v>1</v>
      </c>
      <c r="AQ136" s="3">
        <f t="shared" si="96"/>
        <v>2</v>
      </c>
      <c r="AR136" s="3">
        <f t="shared" si="97"/>
        <v>0</v>
      </c>
      <c r="AS136" s="28" t="e">
        <f>#REF!</f>
        <v>#REF!</v>
      </c>
      <c r="AT136" s="28" t="e">
        <f>#REF!*2</f>
        <v>#REF!</v>
      </c>
      <c r="AU136" s="28" t="e">
        <f>#REF!</f>
        <v>#REF!</v>
      </c>
      <c r="AV136" s="28" t="e">
        <f>#REF!*2</f>
        <v>#REF!</v>
      </c>
      <c r="AW136" s="28" t="e">
        <f>#REF!</f>
        <v>#REF!</v>
      </c>
      <c r="AX136" s="28" t="e">
        <f>#REF!*2</f>
        <v>#REF!</v>
      </c>
      <c r="AY136" s="28" t="e">
        <f>#REF!</f>
        <v>#REF!</v>
      </c>
      <c r="AZ136" s="28" t="e">
        <f>#REF!*2</f>
        <v>#REF!</v>
      </c>
      <c r="BA136" s="28" t="e">
        <f>#REF!</f>
        <v>#REF!</v>
      </c>
      <c r="BB136" s="28" t="e">
        <f>#REF!*2</f>
        <v>#REF!</v>
      </c>
      <c r="BC136" s="28" t="e">
        <f>#REF!</f>
        <v>#REF!</v>
      </c>
      <c r="BD136" s="28" t="e">
        <f>#REF!*2</f>
        <v>#REF!</v>
      </c>
      <c r="BE136" s="9" t="e">
        <f>#REF!-#REF!</f>
        <v>#REF!</v>
      </c>
      <c r="BF136" s="9" t="e">
        <f>#REF!-#REF!</f>
        <v>#REF!</v>
      </c>
      <c r="BG136" s="9" t="e">
        <f>#REF!-#REF!</f>
        <v>#REF!</v>
      </c>
      <c r="BH136" s="9" t="e">
        <f>#REF!-#REF!</f>
        <v>#REF!</v>
      </c>
      <c r="BI136" s="9" t="e">
        <f>#REF!-#REF!</f>
        <v>#REF!</v>
      </c>
      <c r="BJ136" s="33"/>
      <c r="BK136" s="3">
        <f t="shared" si="98"/>
        <v>1</v>
      </c>
      <c r="BL136" s="3">
        <f t="shared" si="99"/>
        <v>2</v>
      </c>
      <c r="BM136" s="3">
        <f t="shared" si="100"/>
        <v>2</v>
      </c>
      <c r="BN136" s="3">
        <f t="shared" si="101"/>
        <v>1</v>
      </c>
      <c r="BO136" s="3">
        <f t="shared" si="102"/>
        <v>0</v>
      </c>
      <c r="BP136" s="28" t="e">
        <f>#REF!</f>
        <v>#REF!</v>
      </c>
      <c r="BQ136" s="28" t="e">
        <f>#REF!*2</f>
        <v>#REF!</v>
      </c>
      <c r="BR136" s="28" t="e">
        <f>#REF!</f>
        <v>#REF!</v>
      </c>
      <c r="BS136" s="28" t="e">
        <f>#REF!*2</f>
        <v>#REF!</v>
      </c>
      <c r="BT136" s="28" t="e">
        <f>#REF!</f>
        <v>#REF!</v>
      </c>
      <c r="BU136" s="28" t="e">
        <f>#REF!*2</f>
        <v>#REF!</v>
      </c>
      <c r="BV136" s="28" t="e">
        <f>#REF!</f>
        <v>#REF!</v>
      </c>
      <c r="BW136" s="28" t="e">
        <f>#REF!*2</f>
        <v>#REF!</v>
      </c>
      <c r="BX136" s="28" t="e">
        <f>#REF!</f>
        <v>#REF!</v>
      </c>
      <c r="BY136" s="28" t="e">
        <f>#REF!*2</f>
        <v>#REF!</v>
      </c>
      <c r="BZ136" s="28" t="e">
        <f>#REF!</f>
        <v>#REF!</v>
      </c>
      <c r="CA136" s="28" t="e">
        <f>#REF!*2</f>
        <v>#REF!</v>
      </c>
      <c r="CB136" s="9">
        <f t="shared" si="103"/>
        <v>2</v>
      </c>
      <c r="CC136" s="9">
        <f t="shared" si="104"/>
        <v>5</v>
      </c>
      <c r="CD136" s="9">
        <f t="shared" si="105"/>
        <v>5</v>
      </c>
      <c r="CE136" s="9">
        <f t="shared" si="106"/>
        <v>9</v>
      </c>
      <c r="CF136" s="9">
        <f t="shared" si="107"/>
        <v>2</v>
      </c>
      <c r="CG136" s="33"/>
      <c r="CH136" s="9">
        <f t="shared" si="108"/>
        <v>2</v>
      </c>
      <c r="CI136" s="9">
        <f t="shared" si="109"/>
        <v>5</v>
      </c>
      <c r="CJ136" s="9">
        <f t="shared" si="110"/>
        <v>5</v>
      </c>
      <c r="CK136" s="9">
        <f t="shared" si="111"/>
        <v>9</v>
      </c>
      <c r="CL136" s="9">
        <f t="shared" si="112"/>
        <v>2</v>
      </c>
      <c r="CM136" s="32"/>
      <c r="CN136" s="3">
        <f t="shared" si="113"/>
        <v>2</v>
      </c>
      <c r="CO136" s="3">
        <f t="shared" si="114"/>
        <v>1</v>
      </c>
      <c r="CP136" s="3">
        <f t="shared" si="115"/>
        <v>1</v>
      </c>
      <c r="CQ136" s="3">
        <f t="shared" si="116"/>
        <v>1</v>
      </c>
      <c r="CR136" s="3">
        <f t="shared" si="117"/>
        <v>2</v>
      </c>
      <c r="CS136" s="31"/>
      <c r="CT136" s="3" cm="1">
        <f t="array" ref="CT136">SUMPRODUCT(--(MOD(CH136:CL136,2)=1))</f>
        <v>3</v>
      </c>
      <c r="CU136" s="3">
        <f t="shared" si="118"/>
        <v>2</v>
      </c>
      <c r="CV136" s="30"/>
      <c r="CW136" s="3" cm="1">
        <f t="array" ref="CW136">SUMPRODUCT(--(MOD(CH136:CL136,10)&gt;=1), --(MOD(CH136:CL136,10)&lt;=5))</f>
        <v>4</v>
      </c>
      <c r="CX136" s="3">
        <f t="shared" si="119"/>
        <v>1</v>
      </c>
      <c r="CY136" s="30"/>
      <c r="CZ136" s="3" cm="1">
        <f t="array" ref="CZ136">IFERROR(COUNT(_xlfn._xlws.FILTER(CH136:CL136, ISNUMBER(MATCH(CH136:CL136, {2,3,5,7,11,13,17,19,23,29,31,37,41,43}, 0)))), 0)</f>
        <v>4</v>
      </c>
      <c r="DA136" s="3" cm="1">
        <f t="array" ref="DA136">IFERROR(COUNT(_xlfn._xlws.FILTER(CH136:CL136, ISNUMBER(MATCH(CH136:CL136, {1,4,8,10,14,16,20,22,25,26,28,32,34,35,38,40,44}, 0)))), 0)</f>
        <v>0</v>
      </c>
      <c r="DB136" s="3" cm="1">
        <f t="array" ref="DB136">IFERROR(COUNT(_xlfn._xlws.FILTER(CH136:CL136, ISNUMBER(MATCH(CH136:CL136, {6,9,12,15,18,21,24,27,30,33,36,39,42,45}, 0)))), 0)</f>
        <v>1</v>
      </c>
      <c r="DC136" s="29"/>
      <c r="DD136" s="28" t="e">
        <f>#REF!</f>
        <v>#REF!</v>
      </c>
      <c r="DE136" s="28" t="e">
        <f>#REF!*2</f>
        <v>#REF!</v>
      </c>
      <c r="DF136" s="28" t="e">
        <f>#REF!</f>
        <v>#REF!</v>
      </c>
      <c r="DG136" s="28" t="e">
        <f>#REF!*2</f>
        <v>#REF!</v>
      </c>
      <c r="DH136" s="28" t="e">
        <f>#REF!</f>
        <v>#REF!</v>
      </c>
      <c r="DI136" s="28" t="e">
        <f>#REF!*2</f>
        <v>#REF!</v>
      </c>
      <c r="DJ136" s="28" t="e">
        <f>#REF!</f>
        <v>#REF!</v>
      </c>
      <c r="DK136" s="28" t="e">
        <f>#REF!*2</f>
        <v>#REF!</v>
      </c>
      <c r="DL136" s="28" t="e">
        <f>#REF!</f>
        <v>#REF!</v>
      </c>
      <c r="DM136" s="28" t="e">
        <f>#REF!*2</f>
        <v>#REF!</v>
      </c>
      <c r="DN136" s="27"/>
      <c r="DO136" s="26" t="str" cm="1">
        <f t="array" ref="DO136">_xlfn.IFS(
   OR(CH136="",ISBLANK(CH136),CH136=0),0,
   ISNUMBER(MATCH(CH136,{2,3,5,7,11,13,17,19,23,29,31,37,41,43},0)),"소",
   AND(ISNUMBER(CH136),MOD(CH136,3)=0),"배",
   AND(ISNUMBER(CH136),CH136&gt;0),"자"
)</f>
        <v>소</v>
      </c>
      <c r="DP136" s="26" t="str" cm="1">
        <f t="array" ref="DP136">_xlfn.IFS(
   OR(CI136="",ISBLANK(CI136),CI136=0),0,
   ISNUMBER(MATCH(CI136,{2,3,5,7,11,13,17,19,23,29,31,37,41,43},0)),"소",
   AND(ISNUMBER(CI136),MOD(CI136,3)=0),"배",
   AND(ISNUMBER(CI136),CI136&gt;0),"자"
)</f>
        <v>소</v>
      </c>
      <c r="DQ136" s="26" t="str" cm="1">
        <f t="array" ref="DQ136">_xlfn.IFS(
   OR(CJ136="",ISBLANK(CJ136),CJ136=0),0,
   ISNUMBER(MATCH(CJ136,{2,3,5,7,11,13,17,19,23,29,31,37,41,43},0)),"소",
   AND(ISNUMBER(CJ136),MOD(CJ136,3)=0),"배",
   AND(ISNUMBER(CJ136),CJ136&gt;0),"자"
)</f>
        <v>소</v>
      </c>
      <c r="DR136" s="26" t="str" cm="1">
        <f t="array" ref="DR136">_xlfn.IFS(
   OR(CK136="",ISBLANK(CK136),CK136=0),0,
   ISNUMBER(MATCH(CK136,{2,3,5,7,11,13,17,19,23,29,31,37,41,43},0)),"소",
   AND(ISNUMBER(CK136),MOD(CK136,3)=0),"배",
   AND(ISNUMBER(CK136),CK136&gt;0),"자"
)</f>
        <v>배</v>
      </c>
      <c r="DS136" s="26" t="str" cm="1">
        <f t="array" ref="DS136">_xlfn.IFS(
   OR(CL136="",ISBLANK(CL136),CL136=0),0,
   ISNUMBER(MATCH(CL136,{2,3,5,7,11,13,17,19,23,29,31,37,41,43},0)),"소",
   AND(ISNUMBER(CL136),MOD(CL136,3)=0),"배",
   AND(ISNUMBER(CL136),CL136&gt;0),"자"
)</f>
        <v>소</v>
      </c>
      <c r="DT136" s="25"/>
    </row>
    <row r="137" spans="2:124" x14ac:dyDescent="0.3">
      <c r="B137" s="3">
        <v>3</v>
      </c>
      <c r="C137" s="3">
        <v>28</v>
      </c>
      <c r="D137" s="3">
        <v>31</v>
      </c>
      <c r="E137" s="3">
        <v>32</v>
      </c>
      <c r="F137" s="3">
        <v>42</v>
      </c>
      <c r="G137" s="3">
        <v>45</v>
      </c>
      <c r="H137" s="32"/>
      <c r="I137" s="3">
        <f t="shared" si="80"/>
        <v>1</v>
      </c>
      <c r="J137" s="3">
        <f t="shared" si="81"/>
        <v>2</v>
      </c>
      <c r="K137" s="3">
        <f t="shared" si="82"/>
        <v>1</v>
      </c>
      <c r="L137" s="3">
        <f t="shared" si="83"/>
        <v>2</v>
      </c>
      <c r="M137" s="3">
        <f t="shared" si="84"/>
        <v>2</v>
      </c>
      <c r="N137" s="3">
        <f t="shared" si="85"/>
        <v>1</v>
      </c>
      <c r="O137" s="32"/>
      <c r="P137" s="3" cm="1">
        <f t="array" ref="P137">SUMPRODUCT(--(MOD(B137:G137,2)=1))</f>
        <v>3</v>
      </c>
      <c r="Q137" s="3">
        <f t="shared" si="86"/>
        <v>3</v>
      </c>
      <c r="R137" s="34"/>
      <c r="S137" s="3">
        <f t="shared" si="87"/>
        <v>1</v>
      </c>
      <c r="T137" s="3">
        <f t="shared" si="88"/>
        <v>5</v>
      </c>
      <c r="U137" s="34"/>
      <c r="V137" s="3" cm="1">
        <f t="array" ref="V137">SUMPRODUCT(--(MOD(B137:G137,10)&gt;=1), --(MOD(B137:G137,10)&lt;=5))</f>
        <v>5</v>
      </c>
      <c r="W137" s="3">
        <f t="shared" si="89"/>
        <v>1</v>
      </c>
      <c r="X137" s="34"/>
      <c r="Y137" s="3" cm="1">
        <f t="array" ref="Y137">IFERROR(COUNT(_xlfn._xlws.FILTER(B137:G137, ISNUMBER(MATCH(B137:G137, {2,3,5,7,11,13,17,19,23,29,31,37,41,43}, 0)))), 0)</f>
        <v>2</v>
      </c>
      <c r="Z137" s="3" cm="1">
        <f t="array" ref="Z137">IFERROR(COUNT(_xlfn._xlws.FILTER(B137:G137, ISNUMBER(MATCH(B137:G137, {1,4,8,10,14,16,20,22,25,26,28,32,34,35,38,40,44}, 0)))), 0)</f>
        <v>2</v>
      </c>
      <c r="AA137" s="3" cm="1">
        <f t="array" ref="AA137">IFERROR(COUNT(_xlfn._xlws.FILTER(B137:G137, ISNUMBER(MATCH(B137:G137, {6,9,12,15,18,21,24,27,30,33,36,39,42,45}, 0)))), 0)</f>
        <v>2</v>
      </c>
      <c r="AB137" s="30"/>
      <c r="AC137" s="26" t="str" cm="1">
        <f t="array" ref="AC137">_xlfn.IFS(
   OR(B137="",ISBLANK(B137),B137=0),0,
   ISNUMBER(MATCH(B137,{2,3,5,7,11,13,17,19,23,29,31,37,41,43},0)),"소",
   AND(ISNUMBER(B137),MOD(B137,3)=0),"배",
   AND(ISNUMBER(B137),B137&gt;0),"자"
)</f>
        <v>소</v>
      </c>
      <c r="AD137" s="26" t="str" cm="1">
        <f t="array" ref="AD137">_xlfn.IFS(
   OR(C137="",ISBLANK(C137),C137=0),0,
   ISNUMBER(MATCH(C137,{2,3,5,7,11,13,17,19,23,29,31,37,41,43},0)),"소",
   AND(ISNUMBER(C137),MOD(C137,3)=0),"배",
   AND(ISNUMBER(C137),C137&gt;0),"자"
)</f>
        <v>자</v>
      </c>
      <c r="AE137" s="26" t="str" cm="1">
        <f t="array" ref="AE137">_xlfn.IFS(
   OR(D137="",ISBLANK(D137),D137=0),0,
   ISNUMBER(MATCH(D137,{2,3,5,7,11,13,17,19,23,29,31,37,41,43},0)),"소",
   AND(ISNUMBER(D137),MOD(D137,3)=0),"배",
   AND(ISNUMBER(D137),D137&gt;0),"자"
)</f>
        <v>소</v>
      </c>
      <c r="AF137" s="26" t="str" cm="1">
        <f t="array" ref="AF137">_xlfn.IFS(
   OR(E137="",ISBLANK(E137),E137=0),0,
   ISNUMBER(MATCH(E137,{2,3,5,7,11,13,17,19,23,29,31,37,41,43},0)),"소",
   AND(ISNUMBER(E137),MOD(E137,3)=0),"배",
   AND(ISNUMBER(E137),E137&gt;0),"자"
)</f>
        <v>자</v>
      </c>
      <c r="AG137" s="26" t="str" cm="1">
        <f t="array" ref="AG137">_xlfn.IFS(
   OR(F137="",ISBLANK(F137),F137=0),0,
   ISNUMBER(MATCH(F137,{2,3,5,7,11,13,17,19,23,29,31,37,41,43},0)),"소",
   AND(ISNUMBER(F137),MOD(F137,3)=0),"배",
   AND(ISNUMBER(F137),F137&gt;0),"자"
)</f>
        <v>배</v>
      </c>
      <c r="AH137" s="26" t="str" cm="1">
        <f t="array" ref="AH137">_xlfn.IFS(
   OR(G137="",ISBLANK(G137),G137=0),0,
   ISNUMBER(MATCH(G137,{2,3,5,7,11,13,17,19,23,29,31,37,41,43},0)),"소",
   AND(ISNUMBER(G137),MOD(G137,3)=0),"배",
   AND(ISNUMBER(G137),G137&gt;0),"자"
)</f>
        <v>배</v>
      </c>
      <c r="AI137" s="30"/>
      <c r="AJ137" s="3">
        <f t="shared" si="90"/>
        <v>1</v>
      </c>
      <c r="AK137" s="3">
        <f t="shared" si="91"/>
        <v>2</v>
      </c>
      <c r="AL137" s="3">
        <f t="shared" si="92"/>
        <v>3</v>
      </c>
      <c r="AM137" s="33"/>
      <c r="AN137" s="3">
        <f t="shared" si="93"/>
        <v>1</v>
      </c>
      <c r="AO137" s="3">
        <f t="shared" si="94"/>
        <v>0</v>
      </c>
      <c r="AP137" s="3">
        <f t="shared" si="95"/>
        <v>0</v>
      </c>
      <c r="AQ137" s="3">
        <f t="shared" si="96"/>
        <v>3</v>
      </c>
      <c r="AR137" s="3">
        <f t="shared" si="97"/>
        <v>2</v>
      </c>
      <c r="AS137" s="28" t="e">
        <f>#REF!</f>
        <v>#REF!</v>
      </c>
      <c r="AT137" s="28" t="e">
        <f>#REF!*2</f>
        <v>#REF!</v>
      </c>
      <c r="AU137" s="28" t="e">
        <f>#REF!</f>
        <v>#REF!</v>
      </c>
      <c r="AV137" s="28" t="e">
        <f>#REF!*2</f>
        <v>#REF!</v>
      </c>
      <c r="AW137" s="28" t="e">
        <f>#REF!</f>
        <v>#REF!</v>
      </c>
      <c r="AX137" s="28" t="e">
        <f>#REF!*2</f>
        <v>#REF!</v>
      </c>
      <c r="AY137" s="28" t="e">
        <f>#REF!</f>
        <v>#REF!</v>
      </c>
      <c r="AZ137" s="28" t="e">
        <f>#REF!*2</f>
        <v>#REF!</v>
      </c>
      <c r="BA137" s="28" t="e">
        <f>#REF!</f>
        <v>#REF!</v>
      </c>
      <c r="BB137" s="28" t="e">
        <f>#REF!*2</f>
        <v>#REF!</v>
      </c>
      <c r="BC137" s="28" t="e">
        <f>#REF!</f>
        <v>#REF!</v>
      </c>
      <c r="BD137" s="28" t="e">
        <f>#REF!*2</f>
        <v>#REF!</v>
      </c>
      <c r="BE137" s="9" t="e">
        <f>#REF!-#REF!</f>
        <v>#REF!</v>
      </c>
      <c r="BF137" s="9" t="e">
        <f>#REF!-#REF!</f>
        <v>#REF!</v>
      </c>
      <c r="BG137" s="9" t="e">
        <f>#REF!-#REF!</f>
        <v>#REF!</v>
      </c>
      <c r="BH137" s="9" t="e">
        <f>#REF!-#REF!</f>
        <v>#REF!</v>
      </c>
      <c r="BI137" s="9" t="e">
        <f>#REF!-#REF!</f>
        <v>#REF!</v>
      </c>
      <c r="BJ137" s="33"/>
      <c r="BK137" s="3">
        <f t="shared" si="98"/>
        <v>1</v>
      </c>
      <c r="BL137" s="3">
        <f t="shared" si="99"/>
        <v>0</v>
      </c>
      <c r="BM137" s="3">
        <f t="shared" si="100"/>
        <v>1</v>
      </c>
      <c r="BN137" s="3">
        <f t="shared" si="101"/>
        <v>2</v>
      </c>
      <c r="BO137" s="3">
        <f t="shared" si="102"/>
        <v>2</v>
      </c>
      <c r="BP137" s="28" t="e">
        <f>#REF!</f>
        <v>#REF!</v>
      </c>
      <c r="BQ137" s="28" t="e">
        <f>#REF!*2</f>
        <v>#REF!</v>
      </c>
      <c r="BR137" s="28" t="e">
        <f>#REF!</f>
        <v>#REF!</v>
      </c>
      <c r="BS137" s="28" t="e">
        <f>#REF!*2</f>
        <v>#REF!</v>
      </c>
      <c r="BT137" s="28" t="e">
        <f>#REF!</f>
        <v>#REF!</v>
      </c>
      <c r="BU137" s="28" t="e">
        <f>#REF!*2</f>
        <v>#REF!</v>
      </c>
      <c r="BV137" s="28" t="e">
        <f>#REF!</f>
        <v>#REF!</v>
      </c>
      <c r="BW137" s="28" t="e">
        <f>#REF!*2</f>
        <v>#REF!</v>
      </c>
      <c r="BX137" s="28" t="e">
        <f>#REF!</f>
        <v>#REF!</v>
      </c>
      <c r="BY137" s="28" t="e">
        <f>#REF!*2</f>
        <v>#REF!</v>
      </c>
      <c r="BZ137" s="28" t="e">
        <f>#REF!</f>
        <v>#REF!</v>
      </c>
      <c r="CA137" s="28" t="e">
        <f>#REF!*2</f>
        <v>#REF!</v>
      </c>
      <c r="CB137" s="9">
        <f t="shared" si="103"/>
        <v>25</v>
      </c>
      <c r="CC137" s="9">
        <f t="shared" si="104"/>
        <v>3</v>
      </c>
      <c r="CD137" s="9">
        <f t="shared" si="105"/>
        <v>1</v>
      </c>
      <c r="CE137" s="9">
        <f t="shared" si="106"/>
        <v>10</v>
      </c>
      <c r="CF137" s="9">
        <f t="shared" si="107"/>
        <v>3</v>
      </c>
      <c r="CG137" s="33"/>
      <c r="CH137" s="9">
        <f t="shared" si="108"/>
        <v>25</v>
      </c>
      <c r="CI137" s="9">
        <f t="shared" si="109"/>
        <v>3</v>
      </c>
      <c r="CJ137" s="9">
        <f t="shared" si="110"/>
        <v>1</v>
      </c>
      <c r="CK137" s="9">
        <f t="shared" si="111"/>
        <v>10</v>
      </c>
      <c r="CL137" s="9">
        <f t="shared" si="112"/>
        <v>3</v>
      </c>
      <c r="CM137" s="32"/>
      <c r="CN137" s="3">
        <f t="shared" si="113"/>
        <v>1</v>
      </c>
      <c r="CO137" s="3">
        <f t="shared" si="114"/>
        <v>1</v>
      </c>
      <c r="CP137" s="3">
        <f t="shared" si="115"/>
        <v>1</v>
      </c>
      <c r="CQ137" s="3">
        <f t="shared" si="116"/>
        <v>2</v>
      </c>
      <c r="CR137" s="3">
        <f t="shared" si="117"/>
        <v>1</v>
      </c>
      <c r="CS137" s="31"/>
      <c r="CT137" s="3" cm="1">
        <f t="array" ref="CT137">SUMPRODUCT(--(MOD(CH137:CL137,2)=1))</f>
        <v>4</v>
      </c>
      <c r="CU137" s="3">
        <f t="shared" si="118"/>
        <v>1</v>
      </c>
      <c r="CV137" s="30"/>
      <c r="CW137" s="3" cm="1">
        <f t="array" ref="CW137">SUMPRODUCT(--(MOD(CH137:CL137,10)&gt;=1), --(MOD(CH137:CL137,10)&lt;=5))</f>
        <v>4</v>
      </c>
      <c r="CX137" s="3">
        <f t="shared" si="119"/>
        <v>1</v>
      </c>
      <c r="CY137" s="30"/>
      <c r="CZ137" s="3" cm="1">
        <f t="array" ref="CZ137">IFERROR(COUNT(_xlfn._xlws.FILTER(CH137:CL137, ISNUMBER(MATCH(CH137:CL137, {2,3,5,7,11,13,17,19,23,29,31,37,41,43}, 0)))), 0)</f>
        <v>2</v>
      </c>
      <c r="DA137" s="3" cm="1">
        <f t="array" ref="DA137">IFERROR(COUNT(_xlfn._xlws.FILTER(CH137:CL137, ISNUMBER(MATCH(CH137:CL137, {1,4,8,10,14,16,20,22,25,26,28,32,34,35,38,40,44}, 0)))), 0)</f>
        <v>3</v>
      </c>
      <c r="DB137" s="3" cm="1">
        <f t="array" ref="DB137">IFERROR(COUNT(_xlfn._xlws.FILTER(CH137:CL137, ISNUMBER(MATCH(CH137:CL137, {6,9,12,15,18,21,24,27,30,33,36,39,42,45}, 0)))), 0)</f>
        <v>0</v>
      </c>
      <c r="DC137" s="29"/>
      <c r="DD137" s="28" t="e">
        <f>#REF!</f>
        <v>#REF!</v>
      </c>
      <c r="DE137" s="28" t="e">
        <f>#REF!*2</f>
        <v>#REF!</v>
      </c>
      <c r="DF137" s="28" t="e">
        <f>#REF!</f>
        <v>#REF!</v>
      </c>
      <c r="DG137" s="28" t="e">
        <f>#REF!*2</f>
        <v>#REF!</v>
      </c>
      <c r="DH137" s="28" t="e">
        <f>#REF!</f>
        <v>#REF!</v>
      </c>
      <c r="DI137" s="28" t="e">
        <f>#REF!*2</f>
        <v>#REF!</v>
      </c>
      <c r="DJ137" s="28" t="e">
        <f>#REF!</f>
        <v>#REF!</v>
      </c>
      <c r="DK137" s="28" t="e">
        <f>#REF!*2</f>
        <v>#REF!</v>
      </c>
      <c r="DL137" s="28" t="e">
        <f>#REF!</f>
        <v>#REF!</v>
      </c>
      <c r="DM137" s="28" t="e">
        <f>#REF!*2</f>
        <v>#REF!</v>
      </c>
      <c r="DN137" s="27"/>
      <c r="DO137" s="26" t="str" cm="1">
        <f t="array" ref="DO137">_xlfn.IFS(
   OR(CH137="",ISBLANK(CH137),CH137=0),0,
   ISNUMBER(MATCH(CH137,{2,3,5,7,11,13,17,19,23,29,31,37,41,43},0)),"소",
   AND(ISNUMBER(CH137),MOD(CH137,3)=0),"배",
   AND(ISNUMBER(CH137),CH137&gt;0),"자"
)</f>
        <v>자</v>
      </c>
      <c r="DP137" s="26" t="str" cm="1">
        <f t="array" ref="DP137">_xlfn.IFS(
   OR(CI137="",ISBLANK(CI137),CI137=0),0,
   ISNUMBER(MATCH(CI137,{2,3,5,7,11,13,17,19,23,29,31,37,41,43},0)),"소",
   AND(ISNUMBER(CI137),MOD(CI137,3)=0),"배",
   AND(ISNUMBER(CI137),CI137&gt;0),"자"
)</f>
        <v>소</v>
      </c>
      <c r="DQ137" s="26" t="str" cm="1">
        <f t="array" ref="DQ137">_xlfn.IFS(
   OR(CJ137="",ISBLANK(CJ137),CJ137=0),0,
   ISNUMBER(MATCH(CJ137,{2,3,5,7,11,13,17,19,23,29,31,37,41,43},0)),"소",
   AND(ISNUMBER(CJ137),MOD(CJ137,3)=0),"배",
   AND(ISNUMBER(CJ137),CJ137&gt;0),"자"
)</f>
        <v>자</v>
      </c>
      <c r="DR137" s="26" t="str" cm="1">
        <f t="array" ref="DR137">_xlfn.IFS(
   OR(CK137="",ISBLANK(CK137),CK137=0),0,
   ISNUMBER(MATCH(CK137,{2,3,5,7,11,13,17,19,23,29,31,37,41,43},0)),"소",
   AND(ISNUMBER(CK137),MOD(CK137,3)=0),"배",
   AND(ISNUMBER(CK137),CK137&gt;0),"자"
)</f>
        <v>자</v>
      </c>
      <c r="DS137" s="26" t="str" cm="1">
        <f t="array" ref="DS137">_xlfn.IFS(
   OR(CL137="",ISBLANK(CL137),CL137=0),0,
   ISNUMBER(MATCH(CL137,{2,3,5,7,11,13,17,19,23,29,31,37,41,43},0)),"소",
   AND(ISNUMBER(CL137),MOD(CL137,3)=0),"배",
   AND(ISNUMBER(CL137),CL137&gt;0),"자"
)</f>
        <v>소</v>
      </c>
      <c r="DT137" s="25"/>
    </row>
    <row r="138" spans="2:124" x14ac:dyDescent="0.3">
      <c r="B138" s="3">
        <v>1</v>
      </c>
      <c r="C138" s="3">
        <v>2</v>
      </c>
      <c r="D138" s="3">
        <v>15</v>
      </c>
      <c r="E138" s="3">
        <v>28</v>
      </c>
      <c r="F138" s="3">
        <v>39</v>
      </c>
      <c r="G138" s="3">
        <v>45</v>
      </c>
      <c r="H138" s="32"/>
      <c r="I138" s="3">
        <f t="shared" si="80"/>
        <v>1</v>
      </c>
      <c r="J138" s="3">
        <f t="shared" si="81"/>
        <v>2</v>
      </c>
      <c r="K138" s="3">
        <f t="shared" si="82"/>
        <v>1</v>
      </c>
      <c r="L138" s="3">
        <f t="shared" si="83"/>
        <v>2</v>
      </c>
      <c r="M138" s="3">
        <f t="shared" si="84"/>
        <v>1</v>
      </c>
      <c r="N138" s="3">
        <f t="shared" si="85"/>
        <v>1</v>
      </c>
      <c r="O138" s="32"/>
      <c r="P138" s="3" cm="1">
        <f t="array" ref="P138">SUMPRODUCT(--(MOD(B138:G138,2)=1))</f>
        <v>4</v>
      </c>
      <c r="Q138" s="3">
        <f t="shared" si="86"/>
        <v>2</v>
      </c>
      <c r="R138" s="34"/>
      <c r="S138" s="3">
        <f t="shared" si="87"/>
        <v>3</v>
      </c>
      <c r="T138" s="3">
        <f t="shared" si="88"/>
        <v>3</v>
      </c>
      <c r="U138" s="34"/>
      <c r="V138" s="3" cm="1">
        <f t="array" ref="V138">SUMPRODUCT(--(MOD(B138:G138,10)&gt;=1), --(MOD(B138:G138,10)&lt;=5))</f>
        <v>4</v>
      </c>
      <c r="W138" s="3">
        <f t="shared" si="89"/>
        <v>2</v>
      </c>
      <c r="X138" s="34"/>
      <c r="Y138" s="3" cm="1">
        <f t="array" ref="Y138">IFERROR(COUNT(_xlfn._xlws.FILTER(B138:G138, ISNUMBER(MATCH(B138:G138, {2,3,5,7,11,13,17,19,23,29,31,37,41,43}, 0)))), 0)</f>
        <v>1</v>
      </c>
      <c r="Z138" s="3" cm="1">
        <f t="array" ref="Z138">IFERROR(COUNT(_xlfn._xlws.FILTER(B138:G138, ISNUMBER(MATCH(B138:G138, {1,4,8,10,14,16,20,22,25,26,28,32,34,35,38,40,44}, 0)))), 0)</f>
        <v>2</v>
      </c>
      <c r="AA138" s="3" cm="1">
        <f t="array" ref="AA138">IFERROR(COUNT(_xlfn._xlws.FILTER(B138:G138, ISNUMBER(MATCH(B138:G138, {6,9,12,15,18,21,24,27,30,33,36,39,42,45}, 0)))), 0)</f>
        <v>3</v>
      </c>
      <c r="AB138" s="30"/>
      <c r="AC138" s="26" t="str" cm="1">
        <f t="array" ref="AC138">_xlfn.IFS(
   OR(B138="",ISBLANK(B138),B138=0),0,
   ISNUMBER(MATCH(B138,{2,3,5,7,11,13,17,19,23,29,31,37,41,43},0)),"소",
   AND(ISNUMBER(B138),MOD(B138,3)=0),"배",
   AND(ISNUMBER(B138),B138&gt;0),"자"
)</f>
        <v>자</v>
      </c>
      <c r="AD138" s="26" t="str" cm="1">
        <f t="array" ref="AD138">_xlfn.IFS(
   OR(C138="",ISBLANK(C138),C138=0),0,
   ISNUMBER(MATCH(C138,{2,3,5,7,11,13,17,19,23,29,31,37,41,43},0)),"소",
   AND(ISNUMBER(C138),MOD(C138,3)=0),"배",
   AND(ISNUMBER(C138),C138&gt;0),"자"
)</f>
        <v>소</v>
      </c>
      <c r="AE138" s="26" t="str" cm="1">
        <f t="array" ref="AE138">_xlfn.IFS(
   OR(D138="",ISBLANK(D138),D138=0),0,
   ISNUMBER(MATCH(D138,{2,3,5,7,11,13,17,19,23,29,31,37,41,43},0)),"소",
   AND(ISNUMBER(D138),MOD(D138,3)=0),"배",
   AND(ISNUMBER(D138),D138&gt;0),"자"
)</f>
        <v>배</v>
      </c>
      <c r="AF138" s="26" t="str" cm="1">
        <f t="array" ref="AF138">_xlfn.IFS(
   OR(E138="",ISBLANK(E138),E138=0),0,
   ISNUMBER(MATCH(E138,{2,3,5,7,11,13,17,19,23,29,31,37,41,43},0)),"소",
   AND(ISNUMBER(E138),MOD(E138,3)=0),"배",
   AND(ISNUMBER(E138),E138&gt;0),"자"
)</f>
        <v>자</v>
      </c>
      <c r="AG138" s="26" t="str" cm="1">
        <f t="array" ref="AG138">_xlfn.IFS(
   OR(F138="",ISBLANK(F138),F138=0),0,
   ISNUMBER(MATCH(F138,{2,3,5,7,11,13,17,19,23,29,31,37,41,43},0)),"소",
   AND(ISNUMBER(F138),MOD(F138,3)=0),"배",
   AND(ISNUMBER(F138),F138&gt;0),"자"
)</f>
        <v>배</v>
      </c>
      <c r="AH138" s="26" t="str" cm="1">
        <f t="array" ref="AH138">_xlfn.IFS(
   OR(G138="",ISBLANK(G138),G138=0),0,
   ISNUMBER(MATCH(G138,{2,3,5,7,11,13,17,19,23,29,31,37,41,43},0)),"소",
   AND(ISNUMBER(G138),MOD(G138,3)=0),"배",
   AND(ISNUMBER(G138),G138&gt;0),"자"
)</f>
        <v>배</v>
      </c>
      <c r="AI138" s="30"/>
      <c r="AJ138" s="3">
        <f t="shared" si="90"/>
        <v>2</v>
      </c>
      <c r="AK138" s="3">
        <f t="shared" si="91"/>
        <v>2</v>
      </c>
      <c r="AL138" s="3">
        <f t="shared" si="92"/>
        <v>2</v>
      </c>
      <c r="AM138" s="33"/>
      <c r="AN138" s="3">
        <f t="shared" si="93"/>
        <v>2</v>
      </c>
      <c r="AO138" s="3">
        <f t="shared" si="94"/>
        <v>1</v>
      </c>
      <c r="AP138" s="3">
        <f t="shared" si="95"/>
        <v>0</v>
      </c>
      <c r="AQ138" s="3">
        <f t="shared" si="96"/>
        <v>1</v>
      </c>
      <c r="AR138" s="3">
        <f t="shared" si="97"/>
        <v>2</v>
      </c>
      <c r="AS138" s="28" t="e">
        <f>#REF!</f>
        <v>#REF!</v>
      </c>
      <c r="AT138" s="28" t="e">
        <f>#REF!*2</f>
        <v>#REF!</v>
      </c>
      <c r="AU138" s="28" t="e">
        <f>#REF!</f>
        <v>#REF!</v>
      </c>
      <c r="AV138" s="28" t="e">
        <f>#REF!*2</f>
        <v>#REF!</v>
      </c>
      <c r="AW138" s="28" t="e">
        <f>#REF!</f>
        <v>#REF!</v>
      </c>
      <c r="AX138" s="28" t="e">
        <f>#REF!*2</f>
        <v>#REF!</v>
      </c>
      <c r="AY138" s="28" t="e">
        <f>#REF!</f>
        <v>#REF!</v>
      </c>
      <c r="AZ138" s="28" t="e">
        <f>#REF!*2</f>
        <v>#REF!</v>
      </c>
      <c r="BA138" s="28" t="e">
        <f>#REF!</f>
        <v>#REF!</v>
      </c>
      <c r="BB138" s="28" t="e">
        <f>#REF!*2</f>
        <v>#REF!</v>
      </c>
      <c r="BC138" s="28" t="e">
        <f>#REF!</f>
        <v>#REF!</v>
      </c>
      <c r="BD138" s="28" t="e">
        <f>#REF!*2</f>
        <v>#REF!</v>
      </c>
      <c r="BE138" s="9" t="e">
        <f>#REF!-#REF!</f>
        <v>#REF!</v>
      </c>
      <c r="BF138" s="9" t="e">
        <f>#REF!-#REF!</f>
        <v>#REF!</v>
      </c>
      <c r="BG138" s="9" t="e">
        <f>#REF!-#REF!</f>
        <v>#REF!</v>
      </c>
      <c r="BH138" s="9" t="e">
        <f>#REF!-#REF!</f>
        <v>#REF!</v>
      </c>
      <c r="BI138" s="9" t="e">
        <f>#REF!-#REF!</f>
        <v>#REF!</v>
      </c>
      <c r="BJ138" s="33"/>
      <c r="BK138" s="3">
        <f t="shared" si="98"/>
        <v>2</v>
      </c>
      <c r="BL138" s="3">
        <f t="shared" si="99"/>
        <v>1</v>
      </c>
      <c r="BM138" s="3">
        <f t="shared" si="100"/>
        <v>1</v>
      </c>
      <c r="BN138" s="3">
        <f t="shared" si="101"/>
        <v>1</v>
      </c>
      <c r="BO138" s="3">
        <f t="shared" si="102"/>
        <v>1</v>
      </c>
      <c r="BP138" s="28" t="e">
        <f>#REF!</f>
        <v>#REF!</v>
      </c>
      <c r="BQ138" s="28" t="e">
        <f>#REF!*2</f>
        <v>#REF!</v>
      </c>
      <c r="BR138" s="28" t="e">
        <f>#REF!</f>
        <v>#REF!</v>
      </c>
      <c r="BS138" s="28" t="e">
        <f>#REF!*2</f>
        <v>#REF!</v>
      </c>
      <c r="BT138" s="28" t="e">
        <f>#REF!</f>
        <v>#REF!</v>
      </c>
      <c r="BU138" s="28" t="e">
        <f>#REF!*2</f>
        <v>#REF!</v>
      </c>
      <c r="BV138" s="28" t="e">
        <f>#REF!</f>
        <v>#REF!</v>
      </c>
      <c r="BW138" s="28" t="e">
        <f>#REF!*2</f>
        <v>#REF!</v>
      </c>
      <c r="BX138" s="28" t="e">
        <f>#REF!</f>
        <v>#REF!</v>
      </c>
      <c r="BY138" s="28" t="e">
        <f>#REF!*2</f>
        <v>#REF!</v>
      </c>
      <c r="BZ138" s="28" t="e">
        <f>#REF!</f>
        <v>#REF!</v>
      </c>
      <c r="CA138" s="28" t="e">
        <f>#REF!*2</f>
        <v>#REF!</v>
      </c>
      <c r="CB138" s="9">
        <f t="shared" si="103"/>
        <v>1</v>
      </c>
      <c r="CC138" s="9">
        <f t="shared" si="104"/>
        <v>13</v>
      </c>
      <c r="CD138" s="9">
        <f t="shared" si="105"/>
        <v>13</v>
      </c>
      <c r="CE138" s="9">
        <f t="shared" si="106"/>
        <v>11</v>
      </c>
      <c r="CF138" s="9">
        <f t="shared" si="107"/>
        <v>6</v>
      </c>
      <c r="CG138" s="33"/>
      <c r="CH138" s="9">
        <f t="shared" si="108"/>
        <v>1</v>
      </c>
      <c r="CI138" s="9">
        <f t="shared" si="109"/>
        <v>13</v>
      </c>
      <c r="CJ138" s="9">
        <f t="shared" si="110"/>
        <v>13</v>
      </c>
      <c r="CK138" s="9">
        <f t="shared" si="111"/>
        <v>11</v>
      </c>
      <c r="CL138" s="9">
        <f t="shared" si="112"/>
        <v>6</v>
      </c>
      <c r="CM138" s="32"/>
      <c r="CN138" s="3">
        <f t="shared" si="113"/>
        <v>1</v>
      </c>
      <c r="CO138" s="3">
        <f t="shared" si="114"/>
        <v>1</v>
      </c>
      <c r="CP138" s="3">
        <f t="shared" si="115"/>
        <v>1</v>
      </c>
      <c r="CQ138" s="3">
        <f t="shared" si="116"/>
        <v>1</v>
      </c>
      <c r="CR138" s="3">
        <f t="shared" si="117"/>
        <v>2</v>
      </c>
      <c r="CS138" s="31"/>
      <c r="CT138" s="3" cm="1">
        <f t="array" ref="CT138">SUMPRODUCT(--(MOD(CH138:CL138,2)=1))</f>
        <v>4</v>
      </c>
      <c r="CU138" s="3">
        <f t="shared" si="118"/>
        <v>1</v>
      </c>
      <c r="CV138" s="30"/>
      <c r="CW138" s="3" cm="1">
        <f t="array" ref="CW138">SUMPRODUCT(--(MOD(CH138:CL138,10)&gt;=1), --(MOD(CH138:CL138,10)&lt;=5))</f>
        <v>4</v>
      </c>
      <c r="CX138" s="3">
        <f t="shared" si="119"/>
        <v>1</v>
      </c>
      <c r="CY138" s="30"/>
      <c r="CZ138" s="3" cm="1">
        <f t="array" ref="CZ138">IFERROR(COUNT(_xlfn._xlws.FILTER(CH138:CL138, ISNUMBER(MATCH(CH138:CL138, {2,3,5,7,11,13,17,19,23,29,31,37,41,43}, 0)))), 0)</f>
        <v>3</v>
      </c>
      <c r="DA138" s="3" cm="1">
        <f t="array" ref="DA138">IFERROR(COUNT(_xlfn._xlws.FILTER(CH138:CL138, ISNUMBER(MATCH(CH138:CL138, {1,4,8,10,14,16,20,22,25,26,28,32,34,35,38,40,44}, 0)))), 0)</f>
        <v>1</v>
      </c>
      <c r="DB138" s="3" cm="1">
        <f t="array" ref="DB138">IFERROR(COUNT(_xlfn._xlws.FILTER(CH138:CL138, ISNUMBER(MATCH(CH138:CL138, {6,9,12,15,18,21,24,27,30,33,36,39,42,45}, 0)))), 0)</f>
        <v>1</v>
      </c>
      <c r="DC138" s="29"/>
      <c r="DD138" s="28" t="e">
        <f>#REF!</f>
        <v>#REF!</v>
      </c>
      <c r="DE138" s="28" t="e">
        <f>#REF!*2</f>
        <v>#REF!</v>
      </c>
      <c r="DF138" s="28" t="e">
        <f>#REF!</f>
        <v>#REF!</v>
      </c>
      <c r="DG138" s="28" t="e">
        <f>#REF!*2</f>
        <v>#REF!</v>
      </c>
      <c r="DH138" s="28" t="e">
        <f>#REF!</f>
        <v>#REF!</v>
      </c>
      <c r="DI138" s="28" t="e">
        <f>#REF!*2</f>
        <v>#REF!</v>
      </c>
      <c r="DJ138" s="28" t="e">
        <f>#REF!</f>
        <v>#REF!</v>
      </c>
      <c r="DK138" s="28" t="e">
        <f>#REF!*2</f>
        <v>#REF!</v>
      </c>
      <c r="DL138" s="28" t="e">
        <f>#REF!</f>
        <v>#REF!</v>
      </c>
      <c r="DM138" s="28" t="e">
        <f>#REF!*2</f>
        <v>#REF!</v>
      </c>
      <c r="DN138" s="27"/>
      <c r="DO138" s="26" t="str" cm="1">
        <f t="array" ref="DO138">_xlfn.IFS(
   OR(CH138="",ISBLANK(CH138),CH138=0),0,
   ISNUMBER(MATCH(CH138,{2,3,5,7,11,13,17,19,23,29,31,37,41,43},0)),"소",
   AND(ISNUMBER(CH138),MOD(CH138,3)=0),"배",
   AND(ISNUMBER(CH138),CH138&gt;0),"자"
)</f>
        <v>자</v>
      </c>
      <c r="DP138" s="26" t="str" cm="1">
        <f t="array" ref="DP138">_xlfn.IFS(
   OR(CI138="",ISBLANK(CI138),CI138=0),0,
   ISNUMBER(MATCH(CI138,{2,3,5,7,11,13,17,19,23,29,31,37,41,43},0)),"소",
   AND(ISNUMBER(CI138),MOD(CI138,3)=0),"배",
   AND(ISNUMBER(CI138),CI138&gt;0),"자"
)</f>
        <v>소</v>
      </c>
      <c r="DQ138" s="26" t="str" cm="1">
        <f t="array" ref="DQ138">_xlfn.IFS(
   OR(CJ138="",ISBLANK(CJ138),CJ138=0),0,
   ISNUMBER(MATCH(CJ138,{2,3,5,7,11,13,17,19,23,29,31,37,41,43},0)),"소",
   AND(ISNUMBER(CJ138),MOD(CJ138,3)=0),"배",
   AND(ISNUMBER(CJ138),CJ138&gt;0),"자"
)</f>
        <v>소</v>
      </c>
      <c r="DR138" s="26" t="str" cm="1">
        <f t="array" ref="DR138">_xlfn.IFS(
   OR(CK138="",ISBLANK(CK138),CK138=0),0,
   ISNUMBER(MATCH(CK138,{2,3,5,7,11,13,17,19,23,29,31,37,41,43},0)),"소",
   AND(ISNUMBER(CK138),MOD(CK138,3)=0),"배",
   AND(ISNUMBER(CK138),CK138&gt;0),"자"
)</f>
        <v>소</v>
      </c>
      <c r="DS138" s="26" t="str" cm="1">
        <f t="array" ref="DS138">_xlfn.IFS(
   OR(CL138="",ISBLANK(CL138),CL138=0),0,
   ISNUMBER(MATCH(CL138,{2,3,5,7,11,13,17,19,23,29,31,37,41,43},0)),"소",
   AND(ISNUMBER(CL138),MOD(CL138,3)=0),"배",
   AND(ISNUMBER(CL138),CL138&gt;0),"자"
)</f>
        <v>배</v>
      </c>
      <c r="DT138" s="25"/>
    </row>
    <row r="139" spans="2:124" x14ac:dyDescent="0.3">
      <c r="B139" s="3">
        <v>2</v>
      </c>
      <c r="C139" s="3">
        <v>22</v>
      </c>
      <c r="D139" s="3">
        <v>25</v>
      </c>
      <c r="E139" s="3">
        <v>28</v>
      </c>
      <c r="F139" s="3">
        <v>34</v>
      </c>
      <c r="G139" s="3">
        <v>43</v>
      </c>
      <c r="H139" s="32"/>
      <c r="I139" s="3">
        <f t="shared" si="80"/>
        <v>2</v>
      </c>
      <c r="J139" s="3">
        <f t="shared" si="81"/>
        <v>2</v>
      </c>
      <c r="K139" s="3">
        <f t="shared" si="82"/>
        <v>1</v>
      </c>
      <c r="L139" s="3">
        <f t="shared" si="83"/>
        <v>2</v>
      </c>
      <c r="M139" s="3">
        <f t="shared" si="84"/>
        <v>2</v>
      </c>
      <c r="N139" s="3">
        <f t="shared" si="85"/>
        <v>1</v>
      </c>
      <c r="O139" s="32"/>
      <c r="P139" s="3" cm="1">
        <f t="array" ref="P139">SUMPRODUCT(--(MOD(B139:G139,2)=1))</f>
        <v>2</v>
      </c>
      <c r="Q139" s="3">
        <f t="shared" si="86"/>
        <v>4</v>
      </c>
      <c r="R139" s="34"/>
      <c r="S139" s="3">
        <f t="shared" si="87"/>
        <v>2</v>
      </c>
      <c r="T139" s="3">
        <f t="shared" si="88"/>
        <v>4</v>
      </c>
      <c r="U139" s="34"/>
      <c r="V139" s="3" cm="1">
        <f t="array" ref="V139">SUMPRODUCT(--(MOD(B139:G139,10)&gt;=1), --(MOD(B139:G139,10)&lt;=5))</f>
        <v>5</v>
      </c>
      <c r="W139" s="3">
        <f t="shared" si="89"/>
        <v>1</v>
      </c>
      <c r="X139" s="34"/>
      <c r="Y139" s="3" cm="1">
        <f t="array" ref="Y139">IFERROR(COUNT(_xlfn._xlws.FILTER(B139:G139, ISNUMBER(MATCH(B139:G139, {2,3,5,7,11,13,17,19,23,29,31,37,41,43}, 0)))), 0)</f>
        <v>2</v>
      </c>
      <c r="Z139" s="3" cm="1">
        <f t="array" ref="Z139">IFERROR(COUNT(_xlfn._xlws.FILTER(B139:G139, ISNUMBER(MATCH(B139:G139, {1,4,8,10,14,16,20,22,25,26,28,32,34,35,38,40,44}, 0)))), 0)</f>
        <v>4</v>
      </c>
      <c r="AA139" s="3" cm="1">
        <f t="array" ref="AA139">IFERROR(COUNT(_xlfn._xlws.FILTER(B139:G139, ISNUMBER(MATCH(B139:G139, {6,9,12,15,18,21,24,27,30,33,36,39,42,45}, 0)))), 0)</f>
        <v>0</v>
      </c>
      <c r="AB139" s="30"/>
      <c r="AC139" s="26" t="str" cm="1">
        <f t="array" ref="AC139">_xlfn.IFS(
   OR(B139="",ISBLANK(B139),B139=0),0,
   ISNUMBER(MATCH(B139,{2,3,5,7,11,13,17,19,23,29,31,37,41,43},0)),"소",
   AND(ISNUMBER(B139),MOD(B139,3)=0),"배",
   AND(ISNUMBER(B139),B139&gt;0),"자"
)</f>
        <v>소</v>
      </c>
      <c r="AD139" s="26" t="str" cm="1">
        <f t="array" ref="AD139">_xlfn.IFS(
   OR(C139="",ISBLANK(C139),C139=0),0,
   ISNUMBER(MATCH(C139,{2,3,5,7,11,13,17,19,23,29,31,37,41,43},0)),"소",
   AND(ISNUMBER(C139),MOD(C139,3)=0),"배",
   AND(ISNUMBER(C139),C139&gt;0),"자"
)</f>
        <v>자</v>
      </c>
      <c r="AE139" s="26" t="str" cm="1">
        <f t="array" ref="AE139">_xlfn.IFS(
   OR(D139="",ISBLANK(D139),D139=0),0,
   ISNUMBER(MATCH(D139,{2,3,5,7,11,13,17,19,23,29,31,37,41,43},0)),"소",
   AND(ISNUMBER(D139),MOD(D139,3)=0),"배",
   AND(ISNUMBER(D139),D139&gt;0),"자"
)</f>
        <v>자</v>
      </c>
      <c r="AF139" s="26" t="str" cm="1">
        <f t="array" ref="AF139">_xlfn.IFS(
   OR(E139="",ISBLANK(E139),E139=0),0,
   ISNUMBER(MATCH(E139,{2,3,5,7,11,13,17,19,23,29,31,37,41,43},0)),"소",
   AND(ISNUMBER(E139),MOD(E139,3)=0),"배",
   AND(ISNUMBER(E139),E139&gt;0),"자"
)</f>
        <v>자</v>
      </c>
      <c r="AG139" s="26" t="str" cm="1">
        <f t="array" ref="AG139">_xlfn.IFS(
   OR(F139="",ISBLANK(F139),F139=0),0,
   ISNUMBER(MATCH(F139,{2,3,5,7,11,13,17,19,23,29,31,37,41,43},0)),"소",
   AND(ISNUMBER(F139),MOD(F139,3)=0),"배",
   AND(ISNUMBER(F139),F139&gt;0),"자"
)</f>
        <v>자</v>
      </c>
      <c r="AH139" s="26" t="str" cm="1">
        <f t="array" ref="AH139">_xlfn.IFS(
   OR(G139="",ISBLANK(G139),G139=0),0,
   ISNUMBER(MATCH(G139,{2,3,5,7,11,13,17,19,23,29,31,37,41,43},0)),"소",
   AND(ISNUMBER(G139),MOD(G139,3)=0),"배",
   AND(ISNUMBER(G139),G139&gt;0),"자"
)</f>
        <v>소</v>
      </c>
      <c r="AI139" s="30"/>
      <c r="AJ139" s="3">
        <f t="shared" si="90"/>
        <v>1</v>
      </c>
      <c r="AK139" s="3">
        <f t="shared" si="91"/>
        <v>3</v>
      </c>
      <c r="AL139" s="3">
        <f t="shared" si="92"/>
        <v>2</v>
      </c>
      <c r="AM139" s="33"/>
      <c r="AN139" s="3">
        <f t="shared" si="93"/>
        <v>1</v>
      </c>
      <c r="AO139" s="3">
        <f t="shared" si="94"/>
        <v>0</v>
      </c>
      <c r="AP139" s="3">
        <f t="shared" si="95"/>
        <v>2</v>
      </c>
      <c r="AQ139" s="3">
        <f t="shared" si="96"/>
        <v>2</v>
      </c>
      <c r="AR139" s="3">
        <f t="shared" si="97"/>
        <v>1</v>
      </c>
      <c r="AS139" s="28" t="e">
        <f>#REF!</f>
        <v>#REF!</v>
      </c>
      <c r="AT139" s="28" t="e">
        <f>#REF!*2</f>
        <v>#REF!</v>
      </c>
      <c r="AU139" s="28" t="e">
        <f>#REF!</f>
        <v>#REF!</v>
      </c>
      <c r="AV139" s="28" t="e">
        <f>#REF!*2</f>
        <v>#REF!</v>
      </c>
      <c r="AW139" s="28" t="e">
        <f>#REF!</f>
        <v>#REF!</v>
      </c>
      <c r="AX139" s="28" t="e">
        <f>#REF!*2</f>
        <v>#REF!</v>
      </c>
      <c r="AY139" s="28" t="e">
        <f>#REF!</f>
        <v>#REF!</v>
      </c>
      <c r="AZ139" s="28" t="e">
        <f>#REF!*2</f>
        <v>#REF!</v>
      </c>
      <c r="BA139" s="28" t="e">
        <f>#REF!</f>
        <v>#REF!</v>
      </c>
      <c r="BB139" s="28" t="e">
        <f>#REF!*2</f>
        <v>#REF!</v>
      </c>
      <c r="BC139" s="28" t="e">
        <f>#REF!</f>
        <v>#REF!</v>
      </c>
      <c r="BD139" s="28" t="e">
        <f>#REF!*2</f>
        <v>#REF!</v>
      </c>
      <c r="BE139" s="9" t="e">
        <f>#REF!-#REF!</f>
        <v>#REF!</v>
      </c>
      <c r="BF139" s="9" t="e">
        <f>#REF!-#REF!</f>
        <v>#REF!</v>
      </c>
      <c r="BG139" s="9" t="e">
        <f>#REF!-#REF!</f>
        <v>#REF!</v>
      </c>
      <c r="BH139" s="9" t="e">
        <f>#REF!-#REF!</f>
        <v>#REF!</v>
      </c>
      <c r="BI139" s="9" t="e">
        <f>#REF!-#REF!</f>
        <v>#REF!</v>
      </c>
      <c r="BJ139" s="33"/>
      <c r="BK139" s="3">
        <f t="shared" si="98"/>
        <v>1</v>
      </c>
      <c r="BL139" s="3">
        <f t="shared" si="99"/>
        <v>0</v>
      </c>
      <c r="BM139" s="3">
        <f t="shared" si="100"/>
        <v>3</v>
      </c>
      <c r="BN139" s="3">
        <f t="shared" si="101"/>
        <v>1</v>
      </c>
      <c r="BO139" s="3">
        <f t="shared" si="102"/>
        <v>1</v>
      </c>
      <c r="BP139" s="28" t="e">
        <f>#REF!</f>
        <v>#REF!</v>
      </c>
      <c r="BQ139" s="28" t="e">
        <f>#REF!*2</f>
        <v>#REF!</v>
      </c>
      <c r="BR139" s="28" t="e">
        <f>#REF!</f>
        <v>#REF!</v>
      </c>
      <c r="BS139" s="28" t="e">
        <f>#REF!*2</f>
        <v>#REF!</v>
      </c>
      <c r="BT139" s="28" t="e">
        <f>#REF!</f>
        <v>#REF!</v>
      </c>
      <c r="BU139" s="28" t="e">
        <f>#REF!*2</f>
        <v>#REF!</v>
      </c>
      <c r="BV139" s="28" t="e">
        <f>#REF!</f>
        <v>#REF!</v>
      </c>
      <c r="BW139" s="28" t="e">
        <f>#REF!*2</f>
        <v>#REF!</v>
      </c>
      <c r="BX139" s="28" t="e">
        <f>#REF!</f>
        <v>#REF!</v>
      </c>
      <c r="BY139" s="28" t="e">
        <f>#REF!*2</f>
        <v>#REF!</v>
      </c>
      <c r="BZ139" s="28" t="e">
        <f>#REF!</f>
        <v>#REF!</v>
      </c>
      <c r="CA139" s="28" t="e">
        <f>#REF!*2</f>
        <v>#REF!</v>
      </c>
      <c r="CB139" s="9">
        <f t="shared" si="103"/>
        <v>20</v>
      </c>
      <c r="CC139" s="9">
        <f t="shared" si="104"/>
        <v>3</v>
      </c>
      <c r="CD139" s="9">
        <f t="shared" si="105"/>
        <v>3</v>
      </c>
      <c r="CE139" s="9">
        <f t="shared" si="106"/>
        <v>6</v>
      </c>
      <c r="CF139" s="9">
        <f t="shared" si="107"/>
        <v>9</v>
      </c>
      <c r="CG139" s="33"/>
      <c r="CH139" s="9">
        <f t="shared" si="108"/>
        <v>20</v>
      </c>
      <c r="CI139" s="9">
        <f t="shared" si="109"/>
        <v>3</v>
      </c>
      <c r="CJ139" s="9">
        <f t="shared" si="110"/>
        <v>3</v>
      </c>
      <c r="CK139" s="9">
        <f t="shared" si="111"/>
        <v>6</v>
      </c>
      <c r="CL139" s="9">
        <f t="shared" si="112"/>
        <v>9</v>
      </c>
      <c r="CM139" s="32"/>
      <c r="CN139" s="3">
        <f t="shared" si="113"/>
        <v>2</v>
      </c>
      <c r="CO139" s="3">
        <f t="shared" si="114"/>
        <v>1</v>
      </c>
      <c r="CP139" s="3">
        <f t="shared" si="115"/>
        <v>1</v>
      </c>
      <c r="CQ139" s="3">
        <f t="shared" si="116"/>
        <v>2</v>
      </c>
      <c r="CR139" s="3">
        <f t="shared" si="117"/>
        <v>1</v>
      </c>
      <c r="CS139" s="31"/>
      <c r="CT139" s="3" cm="1">
        <f t="array" ref="CT139">SUMPRODUCT(--(MOD(CH139:CL139,2)=1))</f>
        <v>3</v>
      </c>
      <c r="CU139" s="3">
        <f t="shared" si="118"/>
        <v>2</v>
      </c>
      <c r="CV139" s="30"/>
      <c r="CW139" s="3" cm="1">
        <f t="array" ref="CW139">SUMPRODUCT(--(MOD(CH139:CL139,10)&gt;=1), --(MOD(CH139:CL139,10)&lt;=5))</f>
        <v>2</v>
      </c>
      <c r="CX139" s="3">
        <f t="shared" si="119"/>
        <v>3</v>
      </c>
      <c r="CY139" s="30"/>
      <c r="CZ139" s="3" cm="1">
        <f t="array" ref="CZ139">IFERROR(COUNT(_xlfn._xlws.FILTER(CH139:CL139, ISNUMBER(MATCH(CH139:CL139, {2,3,5,7,11,13,17,19,23,29,31,37,41,43}, 0)))), 0)</f>
        <v>2</v>
      </c>
      <c r="DA139" s="3" cm="1">
        <f t="array" ref="DA139">IFERROR(COUNT(_xlfn._xlws.FILTER(CH139:CL139, ISNUMBER(MATCH(CH139:CL139, {1,4,8,10,14,16,20,22,25,26,28,32,34,35,38,40,44}, 0)))), 0)</f>
        <v>1</v>
      </c>
      <c r="DB139" s="3" cm="1">
        <f t="array" ref="DB139">IFERROR(COUNT(_xlfn._xlws.FILTER(CH139:CL139, ISNUMBER(MATCH(CH139:CL139, {6,9,12,15,18,21,24,27,30,33,36,39,42,45}, 0)))), 0)</f>
        <v>2</v>
      </c>
      <c r="DC139" s="29"/>
      <c r="DD139" s="28" t="e">
        <f>#REF!</f>
        <v>#REF!</v>
      </c>
      <c r="DE139" s="28" t="e">
        <f>#REF!*2</f>
        <v>#REF!</v>
      </c>
      <c r="DF139" s="28" t="e">
        <f>#REF!</f>
        <v>#REF!</v>
      </c>
      <c r="DG139" s="28" t="e">
        <f>#REF!*2</f>
        <v>#REF!</v>
      </c>
      <c r="DH139" s="28" t="e">
        <f>#REF!</f>
        <v>#REF!</v>
      </c>
      <c r="DI139" s="28" t="e">
        <f>#REF!*2</f>
        <v>#REF!</v>
      </c>
      <c r="DJ139" s="28" t="e">
        <f>#REF!</f>
        <v>#REF!</v>
      </c>
      <c r="DK139" s="28" t="e">
        <f>#REF!*2</f>
        <v>#REF!</v>
      </c>
      <c r="DL139" s="28" t="e">
        <f>#REF!</f>
        <v>#REF!</v>
      </c>
      <c r="DM139" s="28" t="e">
        <f>#REF!*2</f>
        <v>#REF!</v>
      </c>
      <c r="DN139" s="27"/>
      <c r="DO139" s="26" t="str" cm="1">
        <f t="array" ref="DO139">_xlfn.IFS(
   OR(CH139="",ISBLANK(CH139),CH139=0),0,
   ISNUMBER(MATCH(CH139,{2,3,5,7,11,13,17,19,23,29,31,37,41,43},0)),"소",
   AND(ISNUMBER(CH139),MOD(CH139,3)=0),"배",
   AND(ISNUMBER(CH139),CH139&gt;0),"자"
)</f>
        <v>자</v>
      </c>
      <c r="DP139" s="26" t="str" cm="1">
        <f t="array" ref="DP139">_xlfn.IFS(
   OR(CI139="",ISBLANK(CI139),CI139=0),0,
   ISNUMBER(MATCH(CI139,{2,3,5,7,11,13,17,19,23,29,31,37,41,43},0)),"소",
   AND(ISNUMBER(CI139),MOD(CI139,3)=0),"배",
   AND(ISNUMBER(CI139),CI139&gt;0),"자"
)</f>
        <v>소</v>
      </c>
      <c r="DQ139" s="26" t="str" cm="1">
        <f t="array" ref="DQ139">_xlfn.IFS(
   OR(CJ139="",ISBLANK(CJ139),CJ139=0),0,
   ISNUMBER(MATCH(CJ139,{2,3,5,7,11,13,17,19,23,29,31,37,41,43},0)),"소",
   AND(ISNUMBER(CJ139),MOD(CJ139,3)=0),"배",
   AND(ISNUMBER(CJ139),CJ139&gt;0),"자"
)</f>
        <v>소</v>
      </c>
      <c r="DR139" s="26" t="str" cm="1">
        <f t="array" ref="DR139">_xlfn.IFS(
   OR(CK139="",ISBLANK(CK139),CK139=0),0,
   ISNUMBER(MATCH(CK139,{2,3,5,7,11,13,17,19,23,29,31,37,41,43},0)),"소",
   AND(ISNUMBER(CK139),MOD(CK139,3)=0),"배",
   AND(ISNUMBER(CK139),CK139&gt;0),"자"
)</f>
        <v>배</v>
      </c>
      <c r="DS139" s="26" t="str" cm="1">
        <f t="array" ref="DS139">_xlfn.IFS(
   OR(CL139="",ISBLANK(CL139),CL139=0),0,
   ISNUMBER(MATCH(CL139,{2,3,5,7,11,13,17,19,23,29,31,37,41,43},0)),"소",
   AND(ISNUMBER(CL139),MOD(CL139,3)=0),"배",
   AND(ISNUMBER(CL139),CL139&gt;0),"자"
)</f>
        <v>배</v>
      </c>
      <c r="DT139" s="25"/>
    </row>
    <row r="140" spans="2:124" x14ac:dyDescent="0.3">
      <c r="B140" s="3">
        <v>6</v>
      </c>
      <c r="C140" s="3">
        <v>13</v>
      </c>
      <c r="D140" s="3">
        <v>18</v>
      </c>
      <c r="E140" s="3">
        <v>28</v>
      </c>
      <c r="F140" s="3">
        <v>30</v>
      </c>
      <c r="G140" s="3">
        <v>36</v>
      </c>
      <c r="H140" s="32"/>
      <c r="I140" s="3">
        <f t="shared" si="80"/>
        <v>2</v>
      </c>
      <c r="J140" s="3">
        <f t="shared" si="81"/>
        <v>1</v>
      </c>
      <c r="K140" s="3">
        <f t="shared" si="82"/>
        <v>2</v>
      </c>
      <c r="L140" s="3">
        <f t="shared" si="83"/>
        <v>2</v>
      </c>
      <c r="M140" s="3">
        <f t="shared" si="84"/>
        <v>2</v>
      </c>
      <c r="N140" s="3">
        <f t="shared" si="85"/>
        <v>2</v>
      </c>
      <c r="O140" s="32"/>
      <c r="P140" s="3" cm="1">
        <f t="array" ref="P140">SUMPRODUCT(--(MOD(B140:G140,2)=1))</f>
        <v>1</v>
      </c>
      <c r="Q140" s="3">
        <f t="shared" si="86"/>
        <v>5</v>
      </c>
      <c r="R140" s="34"/>
      <c r="S140" s="3">
        <f t="shared" si="87"/>
        <v>3</v>
      </c>
      <c r="T140" s="3">
        <f t="shared" si="88"/>
        <v>3</v>
      </c>
      <c r="U140" s="34"/>
      <c r="V140" s="3" cm="1">
        <f t="array" ref="V140">SUMPRODUCT(--(MOD(B140:G140,10)&gt;=1), --(MOD(B140:G140,10)&lt;=5))</f>
        <v>1</v>
      </c>
      <c r="W140" s="3">
        <f t="shared" si="89"/>
        <v>5</v>
      </c>
      <c r="X140" s="34"/>
      <c r="Y140" s="3" cm="1">
        <f t="array" ref="Y140">IFERROR(COUNT(_xlfn._xlws.FILTER(B140:G140, ISNUMBER(MATCH(B140:G140, {2,3,5,7,11,13,17,19,23,29,31,37,41,43}, 0)))), 0)</f>
        <v>1</v>
      </c>
      <c r="Z140" s="3" cm="1">
        <f t="array" ref="Z140">IFERROR(COUNT(_xlfn._xlws.FILTER(B140:G140, ISNUMBER(MATCH(B140:G140, {1,4,8,10,14,16,20,22,25,26,28,32,34,35,38,40,44}, 0)))), 0)</f>
        <v>1</v>
      </c>
      <c r="AA140" s="3" cm="1">
        <f t="array" ref="AA140">IFERROR(COUNT(_xlfn._xlws.FILTER(B140:G140, ISNUMBER(MATCH(B140:G140, {6,9,12,15,18,21,24,27,30,33,36,39,42,45}, 0)))), 0)</f>
        <v>4</v>
      </c>
      <c r="AB140" s="30"/>
      <c r="AC140" s="26" t="str" cm="1">
        <f t="array" ref="AC140">_xlfn.IFS(
   OR(B140="",ISBLANK(B140),B140=0),0,
   ISNUMBER(MATCH(B140,{2,3,5,7,11,13,17,19,23,29,31,37,41,43},0)),"소",
   AND(ISNUMBER(B140),MOD(B140,3)=0),"배",
   AND(ISNUMBER(B140),B140&gt;0),"자"
)</f>
        <v>배</v>
      </c>
      <c r="AD140" s="26" t="str" cm="1">
        <f t="array" ref="AD140">_xlfn.IFS(
   OR(C140="",ISBLANK(C140),C140=0),0,
   ISNUMBER(MATCH(C140,{2,3,5,7,11,13,17,19,23,29,31,37,41,43},0)),"소",
   AND(ISNUMBER(C140),MOD(C140,3)=0),"배",
   AND(ISNUMBER(C140),C140&gt;0),"자"
)</f>
        <v>소</v>
      </c>
      <c r="AE140" s="26" t="str" cm="1">
        <f t="array" ref="AE140">_xlfn.IFS(
   OR(D140="",ISBLANK(D140),D140=0),0,
   ISNUMBER(MATCH(D140,{2,3,5,7,11,13,17,19,23,29,31,37,41,43},0)),"소",
   AND(ISNUMBER(D140),MOD(D140,3)=0),"배",
   AND(ISNUMBER(D140),D140&gt;0),"자"
)</f>
        <v>배</v>
      </c>
      <c r="AF140" s="26" t="str" cm="1">
        <f t="array" ref="AF140">_xlfn.IFS(
   OR(E140="",ISBLANK(E140),E140=0),0,
   ISNUMBER(MATCH(E140,{2,3,5,7,11,13,17,19,23,29,31,37,41,43},0)),"소",
   AND(ISNUMBER(E140),MOD(E140,3)=0),"배",
   AND(ISNUMBER(E140),E140&gt;0),"자"
)</f>
        <v>자</v>
      </c>
      <c r="AG140" s="26" t="str" cm="1">
        <f t="array" ref="AG140">_xlfn.IFS(
   OR(F140="",ISBLANK(F140),F140=0),0,
   ISNUMBER(MATCH(F140,{2,3,5,7,11,13,17,19,23,29,31,37,41,43},0)),"소",
   AND(ISNUMBER(F140),MOD(F140,3)=0),"배",
   AND(ISNUMBER(F140),F140&gt;0),"자"
)</f>
        <v>배</v>
      </c>
      <c r="AH140" s="26" t="str" cm="1">
        <f t="array" ref="AH140">_xlfn.IFS(
   OR(G140="",ISBLANK(G140),G140=0),0,
   ISNUMBER(MATCH(G140,{2,3,5,7,11,13,17,19,23,29,31,37,41,43},0)),"소",
   AND(ISNUMBER(G140),MOD(G140,3)=0),"배",
   AND(ISNUMBER(G140),G140&gt;0),"자"
)</f>
        <v>배</v>
      </c>
      <c r="AI140" s="30"/>
      <c r="AJ140" s="3">
        <f t="shared" si="90"/>
        <v>2</v>
      </c>
      <c r="AK140" s="3">
        <f t="shared" si="91"/>
        <v>3</v>
      </c>
      <c r="AL140" s="3">
        <f t="shared" si="92"/>
        <v>1</v>
      </c>
      <c r="AM140" s="33"/>
      <c r="AN140" s="3">
        <f t="shared" si="93"/>
        <v>1</v>
      </c>
      <c r="AO140" s="3">
        <f t="shared" si="94"/>
        <v>2</v>
      </c>
      <c r="AP140" s="3">
        <f t="shared" si="95"/>
        <v>0</v>
      </c>
      <c r="AQ140" s="3">
        <f t="shared" si="96"/>
        <v>3</v>
      </c>
      <c r="AR140" s="3">
        <f t="shared" si="97"/>
        <v>0</v>
      </c>
      <c r="AS140" s="28" t="e">
        <f>#REF!</f>
        <v>#REF!</v>
      </c>
      <c r="AT140" s="28" t="e">
        <f>#REF!*2</f>
        <v>#REF!</v>
      </c>
      <c r="AU140" s="28" t="e">
        <f>#REF!</f>
        <v>#REF!</v>
      </c>
      <c r="AV140" s="28" t="e">
        <f>#REF!*2</f>
        <v>#REF!</v>
      </c>
      <c r="AW140" s="28" t="e">
        <f>#REF!</f>
        <v>#REF!</v>
      </c>
      <c r="AX140" s="28" t="e">
        <f>#REF!*2</f>
        <v>#REF!</v>
      </c>
      <c r="AY140" s="28" t="e">
        <f>#REF!</f>
        <v>#REF!</v>
      </c>
      <c r="AZ140" s="28" t="e">
        <f>#REF!*2</f>
        <v>#REF!</v>
      </c>
      <c r="BA140" s="28" t="e">
        <f>#REF!</f>
        <v>#REF!</v>
      </c>
      <c r="BB140" s="28" t="e">
        <f>#REF!*2</f>
        <v>#REF!</v>
      </c>
      <c r="BC140" s="28" t="e">
        <f>#REF!</f>
        <v>#REF!</v>
      </c>
      <c r="BD140" s="28" t="e">
        <f>#REF!*2</f>
        <v>#REF!</v>
      </c>
      <c r="BE140" s="9" t="e">
        <f>#REF!-#REF!</f>
        <v>#REF!</v>
      </c>
      <c r="BF140" s="9" t="e">
        <f>#REF!-#REF!</f>
        <v>#REF!</v>
      </c>
      <c r="BG140" s="9" t="e">
        <f>#REF!-#REF!</f>
        <v>#REF!</v>
      </c>
      <c r="BH140" s="9" t="e">
        <f>#REF!-#REF!</f>
        <v>#REF!</v>
      </c>
      <c r="BI140" s="9" t="e">
        <f>#REF!-#REF!</f>
        <v>#REF!</v>
      </c>
      <c r="BJ140" s="33"/>
      <c r="BK140" s="3">
        <f t="shared" si="98"/>
        <v>1</v>
      </c>
      <c r="BL140" s="3">
        <f t="shared" si="99"/>
        <v>2</v>
      </c>
      <c r="BM140" s="3">
        <f t="shared" si="100"/>
        <v>1</v>
      </c>
      <c r="BN140" s="3">
        <f t="shared" si="101"/>
        <v>2</v>
      </c>
      <c r="BO140" s="3">
        <f t="shared" si="102"/>
        <v>0</v>
      </c>
      <c r="BP140" s="28" t="e">
        <f>#REF!</f>
        <v>#REF!</v>
      </c>
      <c r="BQ140" s="28" t="e">
        <f>#REF!*2</f>
        <v>#REF!</v>
      </c>
      <c r="BR140" s="28" t="e">
        <f>#REF!</f>
        <v>#REF!</v>
      </c>
      <c r="BS140" s="28" t="e">
        <f>#REF!*2</f>
        <v>#REF!</v>
      </c>
      <c r="BT140" s="28" t="e">
        <f>#REF!</f>
        <v>#REF!</v>
      </c>
      <c r="BU140" s="28" t="e">
        <f>#REF!*2</f>
        <v>#REF!</v>
      </c>
      <c r="BV140" s="28" t="e">
        <f>#REF!</f>
        <v>#REF!</v>
      </c>
      <c r="BW140" s="28" t="e">
        <f>#REF!*2</f>
        <v>#REF!</v>
      </c>
      <c r="BX140" s="28" t="e">
        <f>#REF!</f>
        <v>#REF!</v>
      </c>
      <c r="BY140" s="28" t="e">
        <f>#REF!*2</f>
        <v>#REF!</v>
      </c>
      <c r="BZ140" s="28" t="e">
        <f>#REF!</f>
        <v>#REF!</v>
      </c>
      <c r="CA140" s="28" t="e">
        <f>#REF!*2</f>
        <v>#REF!</v>
      </c>
      <c r="CB140" s="9">
        <f t="shared" si="103"/>
        <v>7</v>
      </c>
      <c r="CC140" s="9">
        <f t="shared" si="104"/>
        <v>5</v>
      </c>
      <c r="CD140" s="9">
        <f t="shared" si="105"/>
        <v>10</v>
      </c>
      <c r="CE140" s="9">
        <f t="shared" si="106"/>
        <v>2</v>
      </c>
      <c r="CF140" s="9">
        <f t="shared" si="107"/>
        <v>6</v>
      </c>
      <c r="CG140" s="33"/>
      <c r="CH140" s="9">
        <f t="shared" si="108"/>
        <v>7</v>
      </c>
      <c r="CI140" s="9">
        <f t="shared" si="109"/>
        <v>5</v>
      </c>
      <c r="CJ140" s="9">
        <f t="shared" si="110"/>
        <v>10</v>
      </c>
      <c r="CK140" s="9">
        <f t="shared" si="111"/>
        <v>2</v>
      </c>
      <c r="CL140" s="9">
        <f t="shared" si="112"/>
        <v>6</v>
      </c>
      <c r="CM140" s="32"/>
      <c r="CN140" s="3">
        <f t="shared" si="113"/>
        <v>1</v>
      </c>
      <c r="CO140" s="3">
        <f t="shared" si="114"/>
        <v>1</v>
      </c>
      <c r="CP140" s="3">
        <f t="shared" si="115"/>
        <v>2</v>
      </c>
      <c r="CQ140" s="3">
        <f t="shared" si="116"/>
        <v>2</v>
      </c>
      <c r="CR140" s="3">
        <f t="shared" si="117"/>
        <v>2</v>
      </c>
      <c r="CS140" s="31"/>
      <c r="CT140" s="3" cm="1">
        <f t="array" ref="CT140">SUMPRODUCT(--(MOD(CH140:CL140,2)=1))</f>
        <v>2</v>
      </c>
      <c r="CU140" s="3">
        <f t="shared" si="118"/>
        <v>3</v>
      </c>
      <c r="CV140" s="30"/>
      <c r="CW140" s="3" cm="1">
        <f t="array" ref="CW140">SUMPRODUCT(--(MOD(CH140:CL140,10)&gt;=1), --(MOD(CH140:CL140,10)&lt;=5))</f>
        <v>2</v>
      </c>
      <c r="CX140" s="3">
        <f t="shared" si="119"/>
        <v>3</v>
      </c>
      <c r="CY140" s="30"/>
      <c r="CZ140" s="3" cm="1">
        <f t="array" ref="CZ140">IFERROR(COUNT(_xlfn._xlws.FILTER(CH140:CL140, ISNUMBER(MATCH(CH140:CL140, {2,3,5,7,11,13,17,19,23,29,31,37,41,43}, 0)))), 0)</f>
        <v>3</v>
      </c>
      <c r="DA140" s="3" cm="1">
        <f t="array" ref="DA140">IFERROR(COUNT(_xlfn._xlws.FILTER(CH140:CL140, ISNUMBER(MATCH(CH140:CL140, {1,4,8,10,14,16,20,22,25,26,28,32,34,35,38,40,44}, 0)))), 0)</f>
        <v>1</v>
      </c>
      <c r="DB140" s="3" cm="1">
        <f t="array" ref="DB140">IFERROR(COUNT(_xlfn._xlws.FILTER(CH140:CL140, ISNUMBER(MATCH(CH140:CL140, {6,9,12,15,18,21,24,27,30,33,36,39,42,45}, 0)))), 0)</f>
        <v>1</v>
      </c>
      <c r="DC140" s="29"/>
      <c r="DD140" s="28" t="e">
        <f>#REF!</f>
        <v>#REF!</v>
      </c>
      <c r="DE140" s="28" t="e">
        <f>#REF!*2</f>
        <v>#REF!</v>
      </c>
      <c r="DF140" s="28" t="e">
        <f>#REF!</f>
        <v>#REF!</v>
      </c>
      <c r="DG140" s="28" t="e">
        <f>#REF!*2</f>
        <v>#REF!</v>
      </c>
      <c r="DH140" s="28" t="e">
        <f>#REF!</f>
        <v>#REF!</v>
      </c>
      <c r="DI140" s="28" t="e">
        <f>#REF!*2</f>
        <v>#REF!</v>
      </c>
      <c r="DJ140" s="28" t="e">
        <f>#REF!</f>
        <v>#REF!</v>
      </c>
      <c r="DK140" s="28" t="e">
        <f>#REF!*2</f>
        <v>#REF!</v>
      </c>
      <c r="DL140" s="28" t="e">
        <f>#REF!</f>
        <v>#REF!</v>
      </c>
      <c r="DM140" s="28" t="e">
        <f>#REF!*2</f>
        <v>#REF!</v>
      </c>
      <c r="DN140" s="27"/>
      <c r="DO140" s="26" t="str" cm="1">
        <f t="array" ref="DO140">_xlfn.IFS(
   OR(CH140="",ISBLANK(CH140),CH140=0),0,
   ISNUMBER(MATCH(CH140,{2,3,5,7,11,13,17,19,23,29,31,37,41,43},0)),"소",
   AND(ISNUMBER(CH140),MOD(CH140,3)=0),"배",
   AND(ISNUMBER(CH140),CH140&gt;0),"자"
)</f>
        <v>소</v>
      </c>
      <c r="DP140" s="26" t="str" cm="1">
        <f t="array" ref="DP140">_xlfn.IFS(
   OR(CI140="",ISBLANK(CI140),CI140=0),0,
   ISNUMBER(MATCH(CI140,{2,3,5,7,11,13,17,19,23,29,31,37,41,43},0)),"소",
   AND(ISNUMBER(CI140),MOD(CI140,3)=0),"배",
   AND(ISNUMBER(CI140),CI140&gt;0),"자"
)</f>
        <v>소</v>
      </c>
      <c r="DQ140" s="26" t="str" cm="1">
        <f t="array" ref="DQ140">_xlfn.IFS(
   OR(CJ140="",ISBLANK(CJ140),CJ140=0),0,
   ISNUMBER(MATCH(CJ140,{2,3,5,7,11,13,17,19,23,29,31,37,41,43},0)),"소",
   AND(ISNUMBER(CJ140),MOD(CJ140,3)=0),"배",
   AND(ISNUMBER(CJ140),CJ140&gt;0),"자"
)</f>
        <v>자</v>
      </c>
      <c r="DR140" s="26" t="str" cm="1">
        <f t="array" ref="DR140">_xlfn.IFS(
   OR(CK140="",ISBLANK(CK140),CK140=0),0,
   ISNUMBER(MATCH(CK140,{2,3,5,7,11,13,17,19,23,29,31,37,41,43},0)),"소",
   AND(ISNUMBER(CK140),MOD(CK140,3)=0),"배",
   AND(ISNUMBER(CK140),CK140&gt;0),"자"
)</f>
        <v>소</v>
      </c>
      <c r="DS140" s="26" t="str" cm="1">
        <f t="array" ref="DS140">_xlfn.IFS(
   OR(CL140="",ISBLANK(CL140),CL140=0),0,
   ISNUMBER(MATCH(CL140,{2,3,5,7,11,13,17,19,23,29,31,37,41,43},0)),"소",
   AND(ISNUMBER(CL140),MOD(CL140,3)=0),"배",
   AND(ISNUMBER(CL140),CL140&gt;0),"자"
)</f>
        <v>배</v>
      </c>
      <c r="DT140" s="25"/>
    </row>
    <row r="141" spans="2:124" x14ac:dyDescent="0.3">
      <c r="B141" s="3">
        <v>4</v>
      </c>
      <c r="C141" s="3">
        <v>11</v>
      </c>
      <c r="D141" s="3">
        <v>17</v>
      </c>
      <c r="E141" s="3">
        <v>22</v>
      </c>
      <c r="F141" s="3">
        <v>32</v>
      </c>
      <c r="G141" s="3">
        <v>41</v>
      </c>
      <c r="H141" s="32"/>
      <c r="I141" s="3">
        <f t="shared" si="80"/>
        <v>2</v>
      </c>
      <c r="J141" s="3">
        <f t="shared" si="81"/>
        <v>1</v>
      </c>
      <c r="K141" s="3">
        <f t="shared" si="82"/>
        <v>1</v>
      </c>
      <c r="L141" s="3">
        <f t="shared" si="83"/>
        <v>2</v>
      </c>
      <c r="M141" s="3">
        <f t="shared" si="84"/>
        <v>2</v>
      </c>
      <c r="N141" s="3">
        <f t="shared" si="85"/>
        <v>1</v>
      </c>
      <c r="O141" s="32"/>
      <c r="P141" s="3" cm="1">
        <f t="array" ref="P141">SUMPRODUCT(--(MOD(B141:G141,2)=1))</f>
        <v>3</v>
      </c>
      <c r="Q141" s="3">
        <f t="shared" si="86"/>
        <v>3</v>
      </c>
      <c r="R141" s="34"/>
      <c r="S141" s="3">
        <f t="shared" si="87"/>
        <v>4</v>
      </c>
      <c r="T141" s="3">
        <f t="shared" si="88"/>
        <v>2</v>
      </c>
      <c r="U141" s="34"/>
      <c r="V141" s="3" cm="1">
        <f t="array" ref="V141">SUMPRODUCT(--(MOD(B141:G141,10)&gt;=1), --(MOD(B141:G141,10)&lt;=5))</f>
        <v>5</v>
      </c>
      <c r="W141" s="3">
        <f t="shared" si="89"/>
        <v>1</v>
      </c>
      <c r="X141" s="34"/>
      <c r="Y141" s="3" cm="1">
        <f t="array" ref="Y141">IFERROR(COUNT(_xlfn._xlws.FILTER(B141:G141, ISNUMBER(MATCH(B141:G141, {2,3,5,7,11,13,17,19,23,29,31,37,41,43}, 0)))), 0)</f>
        <v>3</v>
      </c>
      <c r="Z141" s="3" cm="1">
        <f t="array" ref="Z141">IFERROR(COUNT(_xlfn._xlws.FILTER(B141:G141, ISNUMBER(MATCH(B141:G141, {1,4,8,10,14,16,20,22,25,26,28,32,34,35,38,40,44}, 0)))), 0)</f>
        <v>3</v>
      </c>
      <c r="AA141" s="3" cm="1">
        <f t="array" ref="AA141">IFERROR(COUNT(_xlfn._xlws.FILTER(B141:G141, ISNUMBER(MATCH(B141:G141, {6,9,12,15,18,21,24,27,30,33,36,39,42,45}, 0)))), 0)</f>
        <v>0</v>
      </c>
      <c r="AB141" s="30"/>
      <c r="AC141" s="26" t="str" cm="1">
        <f t="array" ref="AC141">_xlfn.IFS(
   OR(B141="",ISBLANK(B141),B141=0),0,
   ISNUMBER(MATCH(B141,{2,3,5,7,11,13,17,19,23,29,31,37,41,43},0)),"소",
   AND(ISNUMBER(B141),MOD(B141,3)=0),"배",
   AND(ISNUMBER(B141),B141&gt;0),"자"
)</f>
        <v>자</v>
      </c>
      <c r="AD141" s="26" t="str" cm="1">
        <f t="array" ref="AD141">_xlfn.IFS(
   OR(C141="",ISBLANK(C141),C141=0),0,
   ISNUMBER(MATCH(C141,{2,3,5,7,11,13,17,19,23,29,31,37,41,43},0)),"소",
   AND(ISNUMBER(C141),MOD(C141,3)=0),"배",
   AND(ISNUMBER(C141),C141&gt;0),"자"
)</f>
        <v>소</v>
      </c>
      <c r="AE141" s="26" t="str" cm="1">
        <f t="array" ref="AE141">_xlfn.IFS(
   OR(D141="",ISBLANK(D141),D141=0),0,
   ISNUMBER(MATCH(D141,{2,3,5,7,11,13,17,19,23,29,31,37,41,43},0)),"소",
   AND(ISNUMBER(D141),MOD(D141,3)=0),"배",
   AND(ISNUMBER(D141),D141&gt;0),"자"
)</f>
        <v>소</v>
      </c>
      <c r="AF141" s="26" t="str" cm="1">
        <f t="array" ref="AF141">_xlfn.IFS(
   OR(E141="",ISBLANK(E141),E141=0),0,
   ISNUMBER(MATCH(E141,{2,3,5,7,11,13,17,19,23,29,31,37,41,43},0)),"소",
   AND(ISNUMBER(E141),MOD(E141,3)=0),"배",
   AND(ISNUMBER(E141),E141&gt;0),"자"
)</f>
        <v>자</v>
      </c>
      <c r="AG141" s="26" t="str" cm="1">
        <f t="array" ref="AG141">_xlfn.IFS(
   OR(F141="",ISBLANK(F141),F141=0),0,
   ISNUMBER(MATCH(F141,{2,3,5,7,11,13,17,19,23,29,31,37,41,43},0)),"소",
   AND(ISNUMBER(F141),MOD(F141,3)=0),"배",
   AND(ISNUMBER(F141),F141&gt;0),"자"
)</f>
        <v>자</v>
      </c>
      <c r="AH141" s="26" t="str" cm="1">
        <f t="array" ref="AH141">_xlfn.IFS(
   OR(G141="",ISBLANK(G141),G141=0),0,
   ISNUMBER(MATCH(G141,{2,3,5,7,11,13,17,19,23,29,31,37,41,43},0)),"소",
   AND(ISNUMBER(G141),MOD(G141,3)=0),"배",
   AND(ISNUMBER(G141),G141&gt;0),"자"
)</f>
        <v>소</v>
      </c>
      <c r="AI141" s="30"/>
      <c r="AJ141" s="3">
        <f t="shared" si="90"/>
        <v>2</v>
      </c>
      <c r="AK141" s="3">
        <f t="shared" si="91"/>
        <v>2</v>
      </c>
      <c r="AL141" s="3">
        <f t="shared" si="92"/>
        <v>2</v>
      </c>
      <c r="AM141" s="33"/>
      <c r="AN141" s="3">
        <f t="shared" si="93"/>
        <v>1</v>
      </c>
      <c r="AO141" s="3">
        <f t="shared" si="94"/>
        <v>2</v>
      </c>
      <c r="AP141" s="3">
        <f t="shared" si="95"/>
        <v>1</v>
      </c>
      <c r="AQ141" s="3">
        <f t="shared" si="96"/>
        <v>1</v>
      </c>
      <c r="AR141" s="3">
        <f t="shared" si="97"/>
        <v>1</v>
      </c>
      <c r="AS141" s="28" t="e">
        <f>#REF!</f>
        <v>#REF!</v>
      </c>
      <c r="AT141" s="28" t="e">
        <f>#REF!*2</f>
        <v>#REF!</v>
      </c>
      <c r="AU141" s="28" t="e">
        <f>#REF!</f>
        <v>#REF!</v>
      </c>
      <c r="AV141" s="28" t="e">
        <f>#REF!*2</f>
        <v>#REF!</v>
      </c>
      <c r="AW141" s="28" t="e">
        <f>#REF!</f>
        <v>#REF!</v>
      </c>
      <c r="AX141" s="28" t="e">
        <f>#REF!*2</f>
        <v>#REF!</v>
      </c>
      <c r="AY141" s="28" t="e">
        <f>#REF!</f>
        <v>#REF!</v>
      </c>
      <c r="AZ141" s="28" t="e">
        <f>#REF!*2</f>
        <v>#REF!</v>
      </c>
      <c r="BA141" s="28" t="e">
        <f>#REF!</f>
        <v>#REF!</v>
      </c>
      <c r="BB141" s="28" t="e">
        <f>#REF!*2</f>
        <v>#REF!</v>
      </c>
      <c r="BC141" s="28" t="e">
        <f>#REF!</f>
        <v>#REF!</v>
      </c>
      <c r="BD141" s="28" t="e">
        <f>#REF!*2</f>
        <v>#REF!</v>
      </c>
      <c r="BE141" s="9" t="e">
        <f>#REF!-#REF!</f>
        <v>#REF!</v>
      </c>
      <c r="BF141" s="9" t="e">
        <f>#REF!-#REF!</f>
        <v>#REF!</v>
      </c>
      <c r="BG141" s="9" t="e">
        <f>#REF!-#REF!</f>
        <v>#REF!</v>
      </c>
      <c r="BH141" s="9" t="e">
        <f>#REF!-#REF!</f>
        <v>#REF!</v>
      </c>
      <c r="BI141" s="9" t="e">
        <f>#REF!-#REF!</f>
        <v>#REF!</v>
      </c>
      <c r="BJ141" s="33"/>
      <c r="BK141" s="3">
        <f t="shared" si="98"/>
        <v>1</v>
      </c>
      <c r="BL141" s="3">
        <f t="shared" si="99"/>
        <v>2</v>
      </c>
      <c r="BM141" s="3">
        <f t="shared" si="100"/>
        <v>1</v>
      </c>
      <c r="BN141" s="3">
        <f t="shared" si="101"/>
        <v>1</v>
      </c>
      <c r="BO141" s="3">
        <f t="shared" si="102"/>
        <v>1</v>
      </c>
      <c r="BP141" s="28" t="e">
        <f>#REF!</f>
        <v>#REF!</v>
      </c>
      <c r="BQ141" s="28" t="e">
        <f>#REF!*2</f>
        <v>#REF!</v>
      </c>
      <c r="BR141" s="28" t="e">
        <f>#REF!</f>
        <v>#REF!</v>
      </c>
      <c r="BS141" s="28" t="e">
        <f>#REF!*2</f>
        <v>#REF!</v>
      </c>
      <c r="BT141" s="28" t="e">
        <f>#REF!</f>
        <v>#REF!</v>
      </c>
      <c r="BU141" s="28" t="e">
        <f>#REF!*2</f>
        <v>#REF!</v>
      </c>
      <c r="BV141" s="28" t="e">
        <f>#REF!</f>
        <v>#REF!</v>
      </c>
      <c r="BW141" s="28" t="e">
        <f>#REF!*2</f>
        <v>#REF!</v>
      </c>
      <c r="BX141" s="28" t="e">
        <f>#REF!</f>
        <v>#REF!</v>
      </c>
      <c r="BY141" s="28" t="e">
        <f>#REF!*2</f>
        <v>#REF!</v>
      </c>
      <c r="BZ141" s="28" t="e">
        <f>#REF!</f>
        <v>#REF!</v>
      </c>
      <c r="CA141" s="28" t="e">
        <f>#REF!*2</f>
        <v>#REF!</v>
      </c>
      <c r="CB141" s="9">
        <f t="shared" si="103"/>
        <v>7</v>
      </c>
      <c r="CC141" s="9">
        <f t="shared" si="104"/>
        <v>6</v>
      </c>
      <c r="CD141" s="9">
        <f t="shared" si="105"/>
        <v>5</v>
      </c>
      <c r="CE141" s="9">
        <f t="shared" si="106"/>
        <v>10</v>
      </c>
      <c r="CF141" s="9">
        <f t="shared" si="107"/>
        <v>9</v>
      </c>
      <c r="CG141" s="33"/>
      <c r="CH141" s="9">
        <f t="shared" si="108"/>
        <v>7</v>
      </c>
      <c r="CI141" s="9">
        <f t="shared" si="109"/>
        <v>6</v>
      </c>
      <c r="CJ141" s="9">
        <f t="shared" si="110"/>
        <v>5</v>
      </c>
      <c r="CK141" s="9">
        <f t="shared" si="111"/>
        <v>10</v>
      </c>
      <c r="CL141" s="9">
        <f t="shared" si="112"/>
        <v>9</v>
      </c>
      <c r="CM141" s="32"/>
      <c r="CN141" s="3">
        <f t="shared" si="113"/>
        <v>1</v>
      </c>
      <c r="CO141" s="3">
        <f t="shared" si="114"/>
        <v>2</v>
      </c>
      <c r="CP141" s="3">
        <f t="shared" si="115"/>
        <v>1</v>
      </c>
      <c r="CQ141" s="3">
        <f t="shared" si="116"/>
        <v>2</v>
      </c>
      <c r="CR141" s="3">
        <f t="shared" si="117"/>
        <v>1</v>
      </c>
      <c r="CS141" s="31"/>
      <c r="CT141" s="3" cm="1">
        <f t="array" ref="CT141">SUMPRODUCT(--(MOD(CH141:CL141,2)=1))</f>
        <v>3</v>
      </c>
      <c r="CU141" s="3">
        <f t="shared" si="118"/>
        <v>2</v>
      </c>
      <c r="CV141" s="30"/>
      <c r="CW141" s="3" cm="1">
        <f t="array" ref="CW141">SUMPRODUCT(--(MOD(CH141:CL141,10)&gt;=1), --(MOD(CH141:CL141,10)&lt;=5))</f>
        <v>1</v>
      </c>
      <c r="CX141" s="3">
        <f t="shared" si="119"/>
        <v>4</v>
      </c>
      <c r="CY141" s="30"/>
      <c r="CZ141" s="3" cm="1">
        <f t="array" ref="CZ141">IFERROR(COUNT(_xlfn._xlws.FILTER(CH141:CL141, ISNUMBER(MATCH(CH141:CL141, {2,3,5,7,11,13,17,19,23,29,31,37,41,43}, 0)))), 0)</f>
        <v>2</v>
      </c>
      <c r="DA141" s="3" cm="1">
        <f t="array" ref="DA141">IFERROR(COUNT(_xlfn._xlws.FILTER(CH141:CL141, ISNUMBER(MATCH(CH141:CL141, {1,4,8,10,14,16,20,22,25,26,28,32,34,35,38,40,44}, 0)))), 0)</f>
        <v>1</v>
      </c>
      <c r="DB141" s="3" cm="1">
        <f t="array" ref="DB141">IFERROR(COUNT(_xlfn._xlws.FILTER(CH141:CL141, ISNUMBER(MATCH(CH141:CL141, {6,9,12,15,18,21,24,27,30,33,36,39,42,45}, 0)))), 0)</f>
        <v>2</v>
      </c>
      <c r="DC141" s="29"/>
      <c r="DD141" s="28" t="e">
        <f>#REF!</f>
        <v>#REF!</v>
      </c>
      <c r="DE141" s="28" t="e">
        <f>#REF!*2</f>
        <v>#REF!</v>
      </c>
      <c r="DF141" s="28" t="e">
        <f>#REF!</f>
        <v>#REF!</v>
      </c>
      <c r="DG141" s="28" t="e">
        <f>#REF!*2</f>
        <v>#REF!</v>
      </c>
      <c r="DH141" s="28" t="e">
        <f>#REF!</f>
        <v>#REF!</v>
      </c>
      <c r="DI141" s="28" t="e">
        <f>#REF!*2</f>
        <v>#REF!</v>
      </c>
      <c r="DJ141" s="28" t="e">
        <f>#REF!</f>
        <v>#REF!</v>
      </c>
      <c r="DK141" s="28" t="e">
        <f>#REF!*2</f>
        <v>#REF!</v>
      </c>
      <c r="DL141" s="28" t="e">
        <f>#REF!</f>
        <v>#REF!</v>
      </c>
      <c r="DM141" s="28" t="e">
        <f>#REF!*2</f>
        <v>#REF!</v>
      </c>
      <c r="DN141" s="27"/>
      <c r="DO141" s="26" t="str" cm="1">
        <f t="array" ref="DO141">_xlfn.IFS(
   OR(CH141="",ISBLANK(CH141),CH141=0),0,
   ISNUMBER(MATCH(CH141,{2,3,5,7,11,13,17,19,23,29,31,37,41,43},0)),"소",
   AND(ISNUMBER(CH141),MOD(CH141,3)=0),"배",
   AND(ISNUMBER(CH141),CH141&gt;0),"자"
)</f>
        <v>소</v>
      </c>
      <c r="DP141" s="26" t="str" cm="1">
        <f t="array" ref="DP141">_xlfn.IFS(
   OR(CI141="",ISBLANK(CI141),CI141=0),0,
   ISNUMBER(MATCH(CI141,{2,3,5,7,11,13,17,19,23,29,31,37,41,43},0)),"소",
   AND(ISNUMBER(CI141),MOD(CI141,3)=0),"배",
   AND(ISNUMBER(CI141),CI141&gt;0),"자"
)</f>
        <v>배</v>
      </c>
      <c r="DQ141" s="26" t="str" cm="1">
        <f t="array" ref="DQ141">_xlfn.IFS(
   OR(CJ141="",ISBLANK(CJ141),CJ141=0),0,
   ISNUMBER(MATCH(CJ141,{2,3,5,7,11,13,17,19,23,29,31,37,41,43},0)),"소",
   AND(ISNUMBER(CJ141),MOD(CJ141,3)=0),"배",
   AND(ISNUMBER(CJ141),CJ141&gt;0),"자"
)</f>
        <v>소</v>
      </c>
      <c r="DR141" s="26" t="str" cm="1">
        <f t="array" ref="DR141">_xlfn.IFS(
   OR(CK141="",ISBLANK(CK141),CK141=0),0,
   ISNUMBER(MATCH(CK141,{2,3,5,7,11,13,17,19,23,29,31,37,41,43},0)),"소",
   AND(ISNUMBER(CK141),MOD(CK141,3)=0),"배",
   AND(ISNUMBER(CK141),CK141&gt;0),"자"
)</f>
        <v>자</v>
      </c>
      <c r="DS141" s="26" t="str" cm="1">
        <f t="array" ref="DS141">_xlfn.IFS(
   OR(CL141="",ISBLANK(CL141),CL141=0),0,
   ISNUMBER(MATCH(CL141,{2,3,5,7,11,13,17,19,23,29,31,37,41,43},0)),"소",
   AND(ISNUMBER(CL141),MOD(CL141,3)=0),"배",
   AND(ISNUMBER(CL141),CL141&gt;0),"자"
)</f>
        <v>배</v>
      </c>
      <c r="DT141" s="25"/>
    </row>
    <row r="142" spans="2:124" x14ac:dyDescent="0.3">
      <c r="B142" s="3">
        <v>16</v>
      </c>
      <c r="C142" s="3">
        <v>18</v>
      </c>
      <c r="D142" s="3">
        <v>20</v>
      </c>
      <c r="E142" s="3">
        <v>32</v>
      </c>
      <c r="F142" s="3">
        <v>33</v>
      </c>
      <c r="G142" s="3">
        <v>39</v>
      </c>
      <c r="H142" s="32"/>
      <c r="I142" s="3">
        <f t="shared" si="80"/>
        <v>2</v>
      </c>
      <c r="J142" s="3">
        <f t="shared" si="81"/>
        <v>2</v>
      </c>
      <c r="K142" s="3">
        <f t="shared" si="82"/>
        <v>2</v>
      </c>
      <c r="L142" s="3">
        <f t="shared" si="83"/>
        <v>2</v>
      </c>
      <c r="M142" s="3">
        <f t="shared" si="84"/>
        <v>1</v>
      </c>
      <c r="N142" s="3">
        <f t="shared" si="85"/>
        <v>1</v>
      </c>
      <c r="O142" s="32"/>
      <c r="P142" s="3" cm="1">
        <f t="array" ref="P142">SUMPRODUCT(--(MOD(B142:G142,2)=1))</f>
        <v>2</v>
      </c>
      <c r="Q142" s="3">
        <f t="shared" si="86"/>
        <v>4</v>
      </c>
      <c r="R142" s="34"/>
      <c r="S142" s="3">
        <f t="shared" si="87"/>
        <v>3</v>
      </c>
      <c r="T142" s="3">
        <f t="shared" si="88"/>
        <v>3</v>
      </c>
      <c r="U142" s="34"/>
      <c r="V142" s="3" cm="1">
        <f t="array" ref="V142">SUMPRODUCT(--(MOD(B142:G142,10)&gt;=1), --(MOD(B142:G142,10)&lt;=5))</f>
        <v>2</v>
      </c>
      <c r="W142" s="3">
        <f t="shared" si="89"/>
        <v>4</v>
      </c>
      <c r="X142" s="34"/>
      <c r="Y142" s="3" cm="1">
        <f t="array" ref="Y142">IFERROR(COUNT(_xlfn._xlws.FILTER(B142:G142, ISNUMBER(MATCH(B142:G142, {2,3,5,7,11,13,17,19,23,29,31,37,41,43}, 0)))), 0)</f>
        <v>0</v>
      </c>
      <c r="Z142" s="3" cm="1">
        <f t="array" ref="Z142">IFERROR(COUNT(_xlfn._xlws.FILTER(B142:G142, ISNUMBER(MATCH(B142:G142, {1,4,8,10,14,16,20,22,25,26,28,32,34,35,38,40,44}, 0)))), 0)</f>
        <v>3</v>
      </c>
      <c r="AA142" s="3" cm="1">
        <f t="array" ref="AA142">IFERROR(COUNT(_xlfn._xlws.FILTER(B142:G142, ISNUMBER(MATCH(B142:G142, {6,9,12,15,18,21,24,27,30,33,36,39,42,45}, 0)))), 0)</f>
        <v>3</v>
      </c>
      <c r="AB142" s="30"/>
      <c r="AC142" s="26" t="str" cm="1">
        <f t="array" ref="AC142">_xlfn.IFS(
   OR(B142="",ISBLANK(B142),B142=0),0,
   ISNUMBER(MATCH(B142,{2,3,5,7,11,13,17,19,23,29,31,37,41,43},0)),"소",
   AND(ISNUMBER(B142),MOD(B142,3)=0),"배",
   AND(ISNUMBER(B142),B142&gt;0),"자"
)</f>
        <v>자</v>
      </c>
      <c r="AD142" s="26" t="str" cm="1">
        <f t="array" ref="AD142">_xlfn.IFS(
   OR(C142="",ISBLANK(C142),C142=0),0,
   ISNUMBER(MATCH(C142,{2,3,5,7,11,13,17,19,23,29,31,37,41,43},0)),"소",
   AND(ISNUMBER(C142),MOD(C142,3)=0),"배",
   AND(ISNUMBER(C142),C142&gt;0),"자"
)</f>
        <v>배</v>
      </c>
      <c r="AE142" s="26" t="str" cm="1">
        <f t="array" ref="AE142">_xlfn.IFS(
   OR(D142="",ISBLANK(D142),D142=0),0,
   ISNUMBER(MATCH(D142,{2,3,5,7,11,13,17,19,23,29,31,37,41,43},0)),"소",
   AND(ISNUMBER(D142),MOD(D142,3)=0),"배",
   AND(ISNUMBER(D142),D142&gt;0),"자"
)</f>
        <v>자</v>
      </c>
      <c r="AF142" s="26" t="str" cm="1">
        <f t="array" ref="AF142">_xlfn.IFS(
   OR(E142="",ISBLANK(E142),E142=0),0,
   ISNUMBER(MATCH(E142,{2,3,5,7,11,13,17,19,23,29,31,37,41,43},0)),"소",
   AND(ISNUMBER(E142),MOD(E142,3)=0),"배",
   AND(ISNUMBER(E142),E142&gt;0),"자"
)</f>
        <v>자</v>
      </c>
      <c r="AG142" s="26" t="str" cm="1">
        <f t="array" ref="AG142">_xlfn.IFS(
   OR(F142="",ISBLANK(F142),F142=0),0,
   ISNUMBER(MATCH(F142,{2,3,5,7,11,13,17,19,23,29,31,37,41,43},0)),"소",
   AND(ISNUMBER(F142),MOD(F142,3)=0),"배",
   AND(ISNUMBER(F142),F142&gt;0),"자"
)</f>
        <v>배</v>
      </c>
      <c r="AH142" s="26" t="str" cm="1">
        <f t="array" ref="AH142">_xlfn.IFS(
   OR(G142="",ISBLANK(G142),G142=0),0,
   ISNUMBER(MATCH(G142,{2,3,5,7,11,13,17,19,23,29,31,37,41,43},0)),"소",
   AND(ISNUMBER(G142),MOD(G142,3)=0),"배",
   AND(ISNUMBER(G142),G142&gt;0),"자"
)</f>
        <v>배</v>
      </c>
      <c r="AI142" s="30"/>
      <c r="AJ142" s="3">
        <f t="shared" si="90"/>
        <v>0</v>
      </c>
      <c r="AK142" s="3">
        <f t="shared" si="91"/>
        <v>3</v>
      </c>
      <c r="AL142" s="3">
        <f t="shared" si="92"/>
        <v>3</v>
      </c>
      <c r="AM142" s="33"/>
      <c r="AN142" s="3">
        <f t="shared" si="93"/>
        <v>0</v>
      </c>
      <c r="AO142" s="3">
        <f t="shared" si="94"/>
        <v>2</v>
      </c>
      <c r="AP142" s="3">
        <f t="shared" si="95"/>
        <v>1</v>
      </c>
      <c r="AQ142" s="3">
        <f t="shared" si="96"/>
        <v>2</v>
      </c>
      <c r="AR142" s="3">
        <f t="shared" si="97"/>
        <v>1</v>
      </c>
      <c r="AS142" s="28" t="e">
        <f>#REF!</f>
        <v>#REF!</v>
      </c>
      <c r="AT142" s="28" t="e">
        <f>#REF!*2</f>
        <v>#REF!</v>
      </c>
      <c r="AU142" s="28" t="e">
        <f>#REF!</f>
        <v>#REF!</v>
      </c>
      <c r="AV142" s="28" t="e">
        <f>#REF!*2</f>
        <v>#REF!</v>
      </c>
      <c r="AW142" s="28" t="e">
        <f>#REF!</f>
        <v>#REF!</v>
      </c>
      <c r="AX142" s="28" t="e">
        <f>#REF!*2</f>
        <v>#REF!</v>
      </c>
      <c r="AY142" s="28" t="e">
        <f>#REF!</f>
        <v>#REF!</v>
      </c>
      <c r="AZ142" s="28" t="e">
        <f>#REF!*2</f>
        <v>#REF!</v>
      </c>
      <c r="BA142" s="28" t="e">
        <f>#REF!</f>
        <v>#REF!</v>
      </c>
      <c r="BB142" s="28" t="e">
        <f>#REF!*2</f>
        <v>#REF!</v>
      </c>
      <c r="BC142" s="28" t="e">
        <f>#REF!</f>
        <v>#REF!</v>
      </c>
      <c r="BD142" s="28" t="e">
        <f>#REF!*2</f>
        <v>#REF!</v>
      </c>
      <c r="BE142" s="9" t="e">
        <f>#REF!-#REF!</f>
        <v>#REF!</v>
      </c>
      <c r="BF142" s="9" t="e">
        <f>#REF!-#REF!</f>
        <v>#REF!</v>
      </c>
      <c r="BG142" s="9" t="e">
        <f>#REF!-#REF!</f>
        <v>#REF!</v>
      </c>
      <c r="BH142" s="9" t="e">
        <f>#REF!-#REF!</f>
        <v>#REF!</v>
      </c>
      <c r="BI142" s="9" t="e">
        <f>#REF!-#REF!</f>
        <v>#REF!</v>
      </c>
      <c r="BJ142" s="33"/>
      <c r="BK142" s="3">
        <f t="shared" si="98"/>
        <v>0</v>
      </c>
      <c r="BL142" s="3">
        <f t="shared" si="99"/>
        <v>2</v>
      </c>
      <c r="BM142" s="3">
        <f t="shared" si="100"/>
        <v>1</v>
      </c>
      <c r="BN142" s="3">
        <f t="shared" si="101"/>
        <v>3</v>
      </c>
      <c r="BO142" s="3">
        <f t="shared" si="102"/>
        <v>0</v>
      </c>
      <c r="BP142" s="28" t="e">
        <f>#REF!</f>
        <v>#REF!</v>
      </c>
      <c r="BQ142" s="28" t="e">
        <f>#REF!*2</f>
        <v>#REF!</v>
      </c>
      <c r="BR142" s="28" t="e">
        <f>#REF!</f>
        <v>#REF!</v>
      </c>
      <c r="BS142" s="28" t="e">
        <f>#REF!*2</f>
        <v>#REF!</v>
      </c>
      <c r="BT142" s="28" t="e">
        <f>#REF!</f>
        <v>#REF!</v>
      </c>
      <c r="BU142" s="28" t="e">
        <f>#REF!*2</f>
        <v>#REF!</v>
      </c>
      <c r="BV142" s="28" t="e">
        <f>#REF!</f>
        <v>#REF!</v>
      </c>
      <c r="BW142" s="28" t="e">
        <f>#REF!*2</f>
        <v>#REF!</v>
      </c>
      <c r="BX142" s="28" t="e">
        <f>#REF!</f>
        <v>#REF!</v>
      </c>
      <c r="BY142" s="28" t="e">
        <f>#REF!*2</f>
        <v>#REF!</v>
      </c>
      <c r="BZ142" s="28" t="e">
        <f>#REF!</f>
        <v>#REF!</v>
      </c>
      <c r="CA142" s="28" t="e">
        <f>#REF!*2</f>
        <v>#REF!</v>
      </c>
      <c r="CB142" s="9">
        <f t="shared" si="103"/>
        <v>2</v>
      </c>
      <c r="CC142" s="9">
        <f t="shared" si="104"/>
        <v>2</v>
      </c>
      <c r="CD142" s="9">
        <f t="shared" si="105"/>
        <v>12</v>
      </c>
      <c r="CE142" s="9">
        <f t="shared" si="106"/>
        <v>1</v>
      </c>
      <c r="CF142" s="9">
        <f t="shared" si="107"/>
        <v>6</v>
      </c>
      <c r="CG142" s="33"/>
      <c r="CH142" s="9">
        <f t="shared" si="108"/>
        <v>2</v>
      </c>
      <c r="CI142" s="9">
        <f t="shared" si="109"/>
        <v>2</v>
      </c>
      <c r="CJ142" s="9">
        <f t="shared" si="110"/>
        <v>12</v>
      </c>
      <c r="CK142" s="9">
        <f t="shared" si="111"/>
        <v>1</v>
      </c>
      <c r="CL142" s="9">
        <f t="shared" si="112"/>
        <v>6</v>
      </c>
      <c r="CM142" s="32"/>
      <c r="CN142" s="3">
        <f t="shared" si="113"/>
        <v>2</v>
      </c>
      <c r="CO142" s="3">
        <f t="shared" si="114"/>
        <v>2</v>
      </c>
      <c r="CP142" s="3">
        <f t="shared" si="115"/>
        <v>2</v>
      </c>
      <c r="CQ142" s="3">
        <f t="shared" si="116"/>
        <v>1</v>
      </c>
      <c r="CR142" s="3">
        <f t="shared" si="117"/>
        <v>2</v>
      </c>
      <c r="CS142" s="31"/>
      <c r="CT142" s="3" cm="1">
        <f t="array" ref="CT142">SUMPRODUCT(--(MOD(CH142:CL142,2)=1))</f>
        <v>1</v>
      </c>
      <c r="CU142" s="3">
        <f t="shared" si="118"/>
        <v>4</v>
      </c>
      <c r="CV142" s="30"/>
      <c r="CW142" s="3" cm="1">
        <f t="array" ref="CW142">SUMPRODUCT(--(MOD(CH142:CL142,10)&gt;=1), --(MOD(CH142:CL142,10)&lt;=5))</f>
        <v>4</v>
      </c>
      <c r="CX142" s="3">
        <f t="shared" si="119"/>
        <v>1</v>
      </c>
      <c r="CY142" s="30"/>
      <c r="CZ142" s="3" cm="1">
        <f t="array" ref="CZ142">IFERROR(COUNT(_xlfn._xlws.FILTER(CH142:CL142, ISNUMBER(MATCH(CH142:CL142, {2,3,5,7,11,13,17,19,23,29,31,37,41,43}, 0)))), 0)</f>
        <v>2</v>
      </c>
      <c r="DA142" s="3" cm="1">
        <f t="array" ref="DA142">IFERROR(COUNT(_xlfn._xlws.FILTER(CH142:CL142, ISNUMBER(MATCH(CH142:CL142, {1,4,8,10,14,16,20,22,25,26,28,32,34,35,38,40,44}, 0)))), 0)</f>
        <v>1</v>
      </c>
      <c r="DB142" s="3" cm="1">
        <f t="array" ref="DB142">IFERROR(COUNT(_xlfn._xlws.FILTER(CH142:CL142, ISNUMBER(MATCH(CH142:CL142, {6,9,12,15,18,21,24,27,30,33,36,39,42,45}, 0)))), 0)</f>
        <v>2</v>
      </c>
      <c r="DC142" s="29"/>
      <c r="DD142" s="28" t="e">
        <f>#REF!</f>
        <v>#REF!</v>
      </c>
      <c r="DE142" s="28" t="e">
        <f>#REF!*2</f>
        <v>#REF!</v>
      </c>
      <c r="DF142" s="28" t="e">
        <f>#REF!</f>
        <v>#REF!</v>
      </c>
      <c r="DG142" s="28" t="e">
        <f>#REF!*2</f>
        <v>#REF!</v>
      </c>
      <c r="DH142" s="28" t="e">
        <f>#REF!</f>
        <v>#REF!</v>
      </c>
      <c r="DI142" s="28" t="e">
        <f>#REF!*2</f>
        <v>#REF!</v>
      </c>
      <c r="DJ142" s="28" t="e">
        <f>#REF!</f>
        <v>#REF!</v>
      </c>
      <c r="DK142" s="28" t="e">
        <f>#REF!*2</f>
        <v>#REF!</v>
      </c>
      <c r="DL142" s="28" t="e">
        <f>#REF!</f>
        <v>#REF!</v>
      </c>
      <c r="DM142" s="28" t="e">
        <f>#REF!*2</f>
        <v>#REF!</v>
      </c>
      <c r="DN142" s="27"/>
      <c r="DO142" s="26" t="str" cm="1">
        <f t="array" ref="DO142">_xlfn.IFS(
   OR(CH142="",ISBLANK(CH142),CH142=0),0,
   ISNUMBER(MATCH(CH142,{2,3,5,7,11,13,17,19,23,29,31,37,41,43},0)),"소",
   AND(ISNUMBER(CH142),MOD(CH142,3)=0),"배",
   AND(ISNUMBER(CH142),CH142&gt;0),"자"
)</f>
        <v>소</v>
      </c>
      <c r="DP142" s="26" t="str" cm="1">
        <f t="array" ref="DP142">_xlfn.IFS(
   OR(CI142="",ISBLANK(CI142),CI142=0),0,
   ISNUMBER(MATCH(CI142,{2,3,5,7,11,13,17,19,23,29,31,37,41,43},0)),"소",
   AND(ISNUMBER(CI142),MOD(CI142,3)=0),"배",
   AND(ISNUMBER(CI142),CI142&gt;0),"자"
)</f>
        <v>소</v>
      </c>
      <c r="DQ142" s="26" t="str" cm="1">
        <f t="array" ref="DQ142">_xlfn.IFS(
   OR(CJ142="",ISBLANK(CJ142),CJ142=0),0,
   ISNUMBER(MATCH(CJ142,{2,3,5,7,11,13,17,19,23,29,31,37,41,43},0)),"소",
   AND(ISNUMBER(CJ142),MOD(CJ142,3)=0),"배",
   AND(ISNUMBER(CJ142),CJ142&gt;0),"자"
)</f>
        <v>배</v>
      </c>
      <c r="DR142" s="26" t="str" cm="1">
        <f t="array" ref="DR142">_xlfn.IFS(
   OR(CK142="",ISBLANK(CK142),CK142=0),0,
   ISNUMBER(MATCH(CK142,{2,3,5,7,11,13,17,19,23,29,31,37,41,43},0)),"소",
   AND(ISNUMBER(CK142),MOD(CK142,3)=0),"배",
   AND(ISNUMBER(CK142),CK142&gt;0),"자"
)</f>
        <v>자</v>
      </c>
      <c r="DS142" s="26" t="str" cm="1">
        <f t="array" ref="DS142">_xlfn.IFS(
   OR(CL142="",ISBLANK(CL142),CL142=0),0,
   ISNUMBER(MATCH(CL142,{2,3,5,7,11,13,17,19,23,29,31,37,41,43},0)),"소",
   AND(ISNUMBER(CL142),MOD(CL142,3)=0),"배",
   AND(ISNUMBER(CL142),CL142&gt;0),"자"
)</f>
        <v>배</v>
      </c>
      <c r="DT142" s="25"/>
    </row>
    <row r="143" spans="2:124" x14ac:dyDescent="0.3">
      <c r="B143" s="3">
        <v>9</v>
      </c>
      <c r="C143" s="3">
        <v>18</v>
      </c>
      <c r="D143" s="3">
        <v>21</v>
      </c>
      <c r="E143" s="3">
        <v>27</v>
      </c>
      <c r="F143" s="3">
        <v>44</v>
      </c>
      <c r="G143" s="3">
        <v>45</v>
      </c>
      <c r="H143" s="32"/>
      <c r="I143" s="3">
        <f t="shared" si="80"/>
        <v>1</v>
      </c>
      <c r="J143" s="3">
        <f t="shared" si="81"/>
        <v>2</v>
      </c>
      <c r="K143" s="3">
        <f t="shared" si="82"/>
        <v>1</v>
      </c>
      <c r="L143" s="3">
        <f t="shared" si="83"/>
        <v>1</v>
      </c>
      <c r="M143" s="3">
        <f t="shared" si="84"/>
        <v>2</v>
      </c>
      <c r="N143" s="3">
        <f t="shared" si="85"/>
        <v>1</v>
      </c>
      <c r="O143" s="32"/>
      <c r="P143" s="3" cm="1">
        <f t="array" ref="P143">SUMPRODUCT(--(MOD(B143:G143,2)=1))</f>
        <v>4</v>
      </c>
      <c r="Q143" s="3">
        <f t="shared" si="86"/>
        <v>2</v>
      </c>
      <c r="R143" s="34"/>
      <c r="S143" s="3">
        <f t="shared" si="87"/>
        <v>3</v>
      </c>
      <c r="T143" s="3">
        <f t="shared" si="88"/>
        <v>3</v>
      </c>
      <c r="U143" s="34"/>
      <c r="V143" s="3" cm="1">
        <f t="array" ref="V143">SUMPRODUCT(--(MOD(B143:G143,10)&gt;=1), --(MOD(B143:G143,10)&lt;=5))</f>
        <v>3</v>
      </c>
      <c r="W143" s="3">
        <f t="shared" si="89"/>
        <v>3</v>
      </c>
      <c r="X143" s="34"/>
      <c r="Y143" s="3" cm="1">
        <f t="array" ref="Y143">IFERROR(COUNT(_xlfn._xlws.FILTER(B143:G143, ISNUMBER(MATCH(B143:G143, {2,3,5,7,11,13,17,19,23,29,31,37,41,43}, 0)))), 0)</f>
        <v>0</v>
      </c>
      <c r="Z143" s="3" cm="1">
        <f t="array" ref="Z143">IFERROR(COUNT(_xlfn._xlws.FILTER(B143:G143, ISNUMBER(MATCH(B143:G143, {1,4,8,10,14,16,20,22,25,26,28,32,34,35,38,40,44}, 0)))), 0)</f>
        <v>1</v>
      </c>
      <c r="AA143" s="3" cm="1">
        <f t="array" ref="AA143">IFERROR(COUNT(_xlfn._xlws.FILTER(B143:G143, ISNUMBER(MATCH(B143:G143, {6,9,12,15,18,21,24,27,30,33,36,39,42,45}, 0)))), 0)</f>
        <v>5</v>
      </c>
      <c r="AB143" s="30"/>
      <c r="AC143" s="26" t="str" cm="1">
        <f t="array" ref="AC143">_xlfn.IFS(
   OR(B143="",ISBLANK(B143),B143=0),0,
   ISNUMBER(MATCH(B143,{2,3,5,7,11,13,17,19,23,29,31,37,41,43},0)),"소",
   AND(ISNUMBER(B143),MOD(B143,3)=0),"배",
   AND(ISNUMBER(B143),B143&gt;0),"자"
)</f>
        <v>배</v>
      </c>
      <c r="AD143" s="26" t="str" cm="1">
        <f t="array" ref="AD143">_xlfn.IFS(
   OR(C143="",ISBLANK(C143),C143=0),0,
   ISNUMBER(MATCH(C143,{2,3,5,7,11,13,17,19,23,29,31,37,41,43},0)),"소",
   AND(ISNUMBER(C143),MOD(C143,3)=0),"배",
   AND(ISNUMBER(C143),C143&gt;0),"자"
)</f>
        <v>배</v>
      </c>
      <c r="AE143" s="26" t="str" cm="1">
        <f t="array" ref="AE143">_xlfn.IFS(
   OR(D143="",ISBLANK(D143),D143=0),0,
   ISNUMBER(MATCH(D143,{2,3,5,7,11,13,17,19,23,29,31,37,41,43},0)),"소",
   AND(ISNUMBER(D143),MOD(D143,3)=0),"배",
   AND(ISNUMBER(D143),D143&gt;0),"자"
)</f>
        <v>배</v>
      </c>
      <c r="AF143" s="26" t="str" cm="1">
        <f t="array" ref="AF143">_xlfn.IFS(
   OR(E143="",ISBLANK(E143),E143=0),0,
   ISNUMBER(MATCH(E143,{2,3,5,7,11,13,17,19,23,29,31,37,41,43},0)),"소",
   AND(ISNUMBER(E143),MOD(E143,3)=0),"배",
   AND(ISNUMBER(E143),E143&gt;0),"자"
)</f>
        <v>배</v>
      </c>
      <c r="AG143" s="26" t="str" cm="1">
        <f t="array" ref="AG143">_xlfn.IFS(
   OR(F143="",ISBLANK(F143),F143=0),0,
   ISNUMBER(MATCH(F143,{2,3,5,7,11,13,17,19,23,29,31,37,41,43},0)),"소",
   AND(ISNUMBER(F143),MOD(F143,3)=0),"배",
   AND(ISNUMBER(F143),F143&gt;0),"자"
)</f>
        <v>자</v>
      </c>
      <c r="AH143" s="26" t="str" cm="1">
        <f t="array" ref="AH143">_xlfn.IFS(
   OR(G143="",ISBLANK(G143),G143=0),0,
   ISNUMBER(MATCH(G143,{2,3,5,7,11,13,17,19,23,29,31,37,41,43},0)),"소",
   AND(ISNUMBER(G143),MOD(G143,3)=0),"배",
   AND(ISNUMBER(G143),G143&gt;0),"자"
)</f>
        <v>배</v>
      </c>
      <c r="AI143" s="30"/>
      <c r="AJ143" s="3">
        <f t="shared" si="90"/>
        <v>1</v>
      </c>
      <c r="AK143" s="3">
        <f t="shared" si="91"/>
        <v>3</v>
      </c>
      <c r="AL143" s="3">
        <f t="shared" si="92"/>
        <v>2</v>
      </c>
      <c r="AM143" s="33"/>
      <c r="AN143" s="3">
        <f t="shared" si="93"/>
        <v>1</v>
      </c>
      <c r="AO143" s="3">
        <f t="shared" si="94"/>
        <v>1</v>
      </c>
      <c r="AP143" s="3">
        <f t="shared" si="95"/>
        <v>2</v>
      </c>
      <c r="AQ143" s="3">
        <f t="shared" si="96"/>
        <v>0</v>
      </c>
      <c r="AR143" s="3">
        <f t="shared" si="97"/>
        <v>2</v>
      </c>
      <c r="AS143" s="28" t="e">
        <f>#REF!</f>
        <v>#REF!</v>
      </c>
      <c r="AT143" s="28" t="e">
        <f>#REF!*2</f>
        <v>#REF!</v>
      </c>
      <c r="AU143" s="28" t="e">
        <f>#REF!</f>
        <v>#REF!</v>
      </c>
      <c r="AV143" s="28" t="e">
        <f>#REF!*2</f>
        <v>#REF!</v>
      </c>
      <c r="AW143" s="28" t="e">
        <f>#REF!</f>
        <v>#REF!</v>
      </c>
      <c r="AX143" s="28" t="e">
        <f>#REF!*2</f>
        <v>#REF!</v>
      </c>
      <c r="AY143" s="28" t="e">
        <f>#REF!</f>
        <v>#REF!</v>
      </c>
      <c r="AZ143" s="28" t="e">
        <f>#REF!*2</f>
        <v>#REF!</v>
      </c>
      <c r="BA143" s="28" t="e">
        <f>#REF!</f>
        <v>#REF!</v>
      </c>
      <c r="BB143" s="28" t="e">
        <f>#REF!*2</f>
        <v>#REF!</v>
      </c>
      <c r="BC143" s="28" t="e">
        <f>#REF!</f>
        <v>#REF!</v>
      </c>
      <c r="BD143" s="28" t="e">
        <f>#REF!*2</f>
        <v>#REF!</v>
      </c>
      <c r="BE143" s="9" t="e">
        <f>#REF!-#REF!</f>
        <v>#REF!</v>
      </c>
      <c r="BF143" s="9" t="e">
        <f>#REF!-#REF!</f>
        <v>#REF!</v>
      </c>
      <c r="BG143" s="9" t="e">
        <f>#REF!-#REF!</f>
        <v>#REF!</v>
      </c>
      <c r="BH143" s="9" t="e">
        <f>#REF!-#REF!</f>
        <v>#REF!</v>
      </c>
      <c r="BI143" s="9" t="e">
        <f>#REF!-#REF!</f>
        <v>#REF!</v>
      </c>
      <c r="BJ143" s="33"/>
      <c r="BK143" s="3">
        <f t="shared" si="98"/>
        <v>1</v>
      </c>
      <c r="BL143" s="3">
        <f t="shared" si="99"/>
        <v>1</v>
      </c>
      <c r="BM143" s="3">
        <f t="shared" si="100"/>
        <v>2</v>
      </c>
      <c r="BN143" s="3">
        <f t="shared" si="101"/>
        <v>0</v>
      </c>
      <c r="BO143" s="3">
        <f t="shared" si="102"/>
        <v>2</v>
      </c>
      <c r="BP143" s="28" t="e">
        <f>#REF!</f>
        <v>#REF!</v>
      </c>
      <c r="BQ143" s="28" t="e">
        <f>#REF!*2</f>
        <v>#REF!</v>
      </c>
      <c r="BR143" s="28" t="e">
        <f>#REF!</f>
        <v>#REF!</v>
      </c>
      <c r="BS143" s="28" t="e">
        <f>#REF!*2</f>
        <v>#REF!</v>
      </c>
      <c r="BT143" s="28" t="e">
        <f>#REF!</f>
        <v>#REF!</v>
      </c>
      <c r="BU143" s="28" t="e">
        <f>#REF!*2</f>
        <v>#REF!</v>
      </c>
      <c r="BV143" s="28" t="e">
        <f>#REF!</f>
        <v>#REF!</v>
      </c>
      <c r="BW143" s="28" t="e">
        <f>#REF!*2</f>
        <v>#REF!</v>
      </c>
      <c r="BX143" s="28" t="e">
        <f>#REF!</f>
        <v>#REF!</v>
      </c>
      <c r="BY143" s="28" t="e">
        <f>#REF!*2</f>
        <v>#REF!</v>
      </c>
      <c r="BZ143" s="28" t="e">
        <f>#REF!</f>
        <v>#REF!</v>
      </c>
      <c r="CA143" s="28" t="e">
        <f>#REF!*2</f>
        <v>#REF!</v>
      </c>
      <c r="CB143" s="9">
        <f t="shared" si="103"/>
        <v>9</v>
      </c>
      <c r="CC143" s="9">
        <f t="shared" si="104"/>
        <v>3</v>
      </c>
      <c r="CD143" s="9">
        <f t="shared" si="105"/>
        <v>6</v>
      </c>
      <c r="CE143" s="9">
        <f t="shared" si="106"/>
        <v>17</v>
      </c>
      <c r="CF143" s="9">
        <f t="shared" si="107"/>
        <v>1</v>
      </c>
      <c r="CG143" s="33"/>
      <c r="CH143" s="9">
        <f t="shared" si="108"/>
        <v>9</v>
      </c>
      <c r="CI143" s="9">
        <f t="shared" si="109"/>
        <v>3</v>
      </c>
      <c r="CJ143" s="9">
        <f t="shared" si="110"/>
        <v>6</v>
      </c>
      <c r="CK143" s="9">
        <f t="shared" si="111"/>
        <v>17</v>
      </c>
      <c r="CL143" s="9">
        <f t="shared" si="112"/>
        <v>1</v>
      </c>
      <c r="CM143" s="32"/>
      <c r="CN143" s="3">
        <f t="shared" si="113"/>
        <v>1</v>
      </c>
      <c r="CO143" s="3">
        <f t="shared" si="114"/>
        <v>1</v>
      </c>
      <c r="CP143" s="3">
        <f t="shared" si="115"/>
        <v>2</v>
      </c>
      <c r="CQ143" s="3">
        <f t="shared" si="116"/>
        <v>1</v>
      </c>
      <c r="CR143" s="3">
        <f t="shared" si="117"/>
        <v>1</v>
      </c>
      <c r="CS143" s="31"/>
      <c r="CT143" s="3" cm="1">
        <f t="array" ref="CT143">SUMPRODUCT(--(MOD(CH143:CL143,2)=1))</f>
        <v>4</v>
      </c>
      <c r="CU143" s="3">
        <f t="shared" si="118"/>
        <v>1</v>
      </c>
      <c r="CV143" s="30"/>
      <c r="CW143" s="3" cm="1">
        <f t="array" ref="CW143">SUMPRODUCT(--(MOD(CH143:CL143,10)&gt;=1), --(MOD(CH143:CL143,10)&lt;=5))</f>
        <v>2</v>
      </c>
      <c r="CX143" s="3">
        <f t="shared" si="119"/>
        <v>3</v>
      </c>
      <c r="CY143" s="30"/>
      <c r="CZ143" s="3" cm="1">
        <f t="array" ref="CZ143">IFERROR(COUNT(_xlfn._xlws.FILTER(CH143:CL143, ISNUMBER(MATCH(CH143:CL143, {2,3,5,7,11,13,17,19,23,29,31,37,41,43}, 0)))), 0)</f>
        <v>2</v>
      </c>
      <c r="DA143" s="3" cm="1">
        <f t="array" ref="DA143">IFERROR(COUNT(_xlfn._xlws.FILTER(CH143:CL143, ISNUMBER(MATCH(CH143:CL143, {1,4,8,10,14,16,20,22,25,26,28,32,34,35,38,40,44}, 0)))), 0)</f>
        <v>1</v>
      </c>
      <c r="DB143" s="3" cm="1">
        <f t="array" ref="DB143">IFERROR(COUNT(_xlfn._xlws.FILTER(CH143:CL143, ISNUMBER(MATCH(CH143:CL143, {6,9,12,15,18,21,24,27,30,33,36,39,42,45}, 0)))), 0)</f>
        <v>2</v>
      </c>
      <c r="DC143" s="29"/>
      <c r="DD143" s="28" t="e">
        <f>#REF!</f>
        <v>#REF!</v>
      </c>
      <c r="DE143" s="28" t="e">
        <f>#REF!*2</f>
        <v>#REF!</v>
      </c>
      <c r="DF143" s="28" t="e">
        <f>#REF!</f>
        <v>#REF!</v>
      </c>
      <c r="DG143" s="28" t="e">
        <f>#REF!*2</f>
        <v>#REF!</v>
      </c>
      <c r="DH143" s="28" t="e">
        <f>#REF!</f>
        <v>#REF!</v>
      </c>
      <c r="DI143" s="28" t="e">
        <f>#REF!*2</f>
        <v>#REF!</v>
      </c>
      <c r="DJ143" s="28" t="e">
        <f>#REF!</f>
        <v>#REF!</v>
      </c>
      <c r="DK143" s="28" t="e">
        <f>#REF!*2</f>
        <v>#REF!</v>
      </c>
      <c r="DL143" s="28" t="e">
        <f>#REF!</f>
        <v>#REF!</v>
      </c>
      <c r="DM143" s="28" t="e">
        <f>#REF!*2</f>
        <v>#REF!</v>
      </c>
      <c r="DN143" s="27"/>
      <c r="DO143" s="26" t="str" cm="1">
        <f t="array" ref="DO143">_xlfn.IFS(
   OR(CH143="",ISBLANK(CH143),CH143=0),0,
   ISNUMBER(MATCH(CH143,{2,3,5,7,11,13,17,19,23,29,31,37,41,43},0)),"소",
   AND(ISNUMBER(CH143),MOD(CH143,3)=0),"배",
   AND(ISNUMBER(CH143),CH143&gt;0),"자"
)</f>
        <v>배</v>
      </c>
      <c r="DP143" s="26" t="str" cm="1">
        <f t="array" ref="DP143">_xlfn.IFS(
   OR(CI143="",ISBLANK(CI143),CI143=0),0,
   ISNUMBER(MATCH(CI143,{2,3,5,7,11,13,17,19,23,29,31,37,41,43},0)),"소",
   AND(ISNUMBER(CI143),MOD(CI143,3)=0),"배",
   AND(ISNUMBER(CI143),CI143&gt;0),"자"
)</f>
        <v>소</v>
      </c>
      <c r="DQ143" s="26" t="str" cm="1">
        <f t="array" ref="DQ143">_xlfn.IFS(
   OR(CJ143="",ISBLANK(CJ143),CJ143=0),0,
   ISNUMBER(MATCH(CJ143,{2,3,5,7,11,13,17,19,23,29,31,37,41,43},0)),"소",
   AND(ISNUMBER(CJ143),MOD(CJ143,3)=0),"배",
   AND(ISNUMBER(CJ143),CJ143&gt;0),"자"
)</f>
        <v>배</v>
      </c>
      <c r="DR143" s="26" t="str" cm="1">
        <f t="array" ref="DR143">_xlfn.IFS(
   OR(CK143="",ISBLANK(CK143),CK143=0),0,
   ISNUMBER(MATCH(CK143,{2,3,5,7,11,13,17,19,23,29,31,37,41,43},0)),"소",
   AND(ISNUMBER(CK143),MOD(CK143,3)=0),"배",
   AND(ISNUMBER(CK143),CK143&gt;0),"자"
)</f>
        <v>소</v>
      </c>
      <c r="DS143" s="26" t="str" cm="1">
        <f t="array" ref="DS143">_xlfn.IFS(
   OR(CL143="",ISBLANK(CL143),CL143=0),0,
   ISNUMBER(MATCH(CL143,{2,3,5,7,11,13,17,19,23,29,31,37,41,43},0)),"소",
   AND(ISNUMBER(CL143),MOD(CL143,3)=0),"배",
   AND(ISNUMBER(CL143),CL143&gt;0),"자"
)</f>
        <v>자</v>
      </c>
      <c r="DT143" s="25"/>
    </row>
    <row r="144" spans="2:124" x14ac:dyDescent="0.3">
      <c r="B144" s="3">
        <v>8</v>
      </c>
      <c r="C144" s="3">
        <v>9</v>
      </c>
      <c r="D144" s="3">
        <v>19</v>
      </c>
      <c r="E144" s="3">
        <v>25</v>
      </c>
      <c r="F144" s="3">
        <v>41</v>
      </c>
      <c r="G144" s="3">
        <v>42</v>
      </c>
      <c r="H144" s="32"/>
      <c r="I144" s="3">
        <f t="shared" si="80"/>
        <v>2</v>
      </c>
      <c r="J144" s="3">
        <f t="shared" si="81"/>
        <v>1</v>
      </c>
      <c r="K144" s="3">
        <f t="shared" si="82"/>
        <v>1</v>
      </c>
      <c r="L144" s="3">
        <f t="shared" si="83"/>
        <v>1</v>
      </c>
      <c r="M144" s="3">
        <f t="shared" si="84"/>
        <v>1</v>
      </c>
      <c r="N144" s="3">
        <f t="shared" si="85"/>
        <v>2</v>
      </c>
      <c r="O144" s="32"/>
      <c r="P144" s="3" cm="1">
        <f t="array" ref="P144">SUMPRODUCT(--(MOD(B144:G144,2)=1))</f>
        <v>4</v>
      </c>
      <c r="Q144" s="3">
        <f t="shared" si="86"/>
        <v>2</v>
      </c>
      <c r="R144" s="34"/>
      <c r="S144" s="3">
        <f t="shared" si="87"/>
        <v>3</v>
      </c>
      <c r="T144" s="3">
        <f t="shared" si="88"/>
        <v>3</v>
      </c>
      <c r="U144" s="34"/>
      <c r="V144" s="3" cm="1">
        <f t="array" ref="V144">SUMPRODUCT(--(MOD(B144:G144,10)&gt;=1), --(MOD(B144:G144,10)&lt;=5))</f>
        <v>3</v>
      </c>
      <c r="W144" s="3">
        <f t="shared" si="89"/>
        <v>3</v>
      </c>
      <c r="X144" s="34"/>
      <c r="Y144" s="3" cm="1">
        <f t="array" ref="Y144">IFERROR(COUNT(_xlfn._xlws.FILTER(B144:G144, ISNUMBER(MATCH(B144:G144, {2,3,5,7,11,13,17,19,23,29,31,37,41,43}, 0)))), 0)</f>
        <v>2</v>
      </c>
      <c r="Z144" s="3" cm="1">
        <f t="array" ref="Z144">IFERROR(COUNT(_xlfn._xlws.FILTER(B144:G144, ISNUMBER(MATCH(B144:G144, {1,4,8,10,14,16,20,22,25,26,28,32,34,35,38,40,44}, 0)))), 0)</f>
        <v>2</v>
      </c>
      <c r="AA144" s="3" cm="1">
        <f t="array" ref="AA144">IFERROR(COUNT(_xlfn._xlws.FILTER(B144:G144, ISNUMBER(MATCH(B144:G144, {6,9,12,15,18,21,24,27,30,33,36,39,42,45}, 0)))), 0)</f>
        <v>2</v>
      </c>
      <c r="AB144" s="30"/>
      <c r="AC144" s="26" t="str" cm="1">
        <f t="array" ref="AC144">_xlfn.IFS(
   OR(B144="",ISBLANK(B144),B144=0),0,
   ISNUMBER(MATCH(B144,{2,3,5,7,11,13,17,19,23,29,31,37,41,43},0)),"소",
   AND(ISNUMBER(B144),MOD(B144,3)=0),"배",
   AND(ISNUMBER(B144),B144&gt;0),"자"
)</f>
        <v>자</v>
      </c>
      <c r="AD144" s="26" t="str" cm="1">
        <f t="array" ref="AD144">_xlfn.IFS(
   OR(C144="",ISBLANK(C144),C144=0),0,
   ISNUMBER(MATCH(C144,{2,3,5,7,11,13,17,19,23,29,31,37,41,43},0)),"소",
   AND(ISNUMBER(C144),MOD(C144,3)=0),"배",
   AND(ISNUMBER(C144),C144&gt;0),"자"
)</f>
        <v>배</v>
      </c>
      <c r="AE144" s="26" t="str" cm="1">
        <f t="array" ref="AE144">_xlfn.IFS(
   OR(D144="",ISBLANK(D144),D144=0),0,
   ISNUMBER(MATCH(D144,{2,3,5,7,11,13,17,19,23,29,31,37,41,43},0)),"소",
   AND(ISNUMBER(D144),MOD(D144,3)=0),"배",
   AND(ISNUMBER(D144),D144&gt;0),"자"
)</f>
        <v>소</v>
      </c>
      <c r="AF144" s="26" t="str" cm="1">
        <f t="array" ref="AF144">_xlfn.IFS(
   OR(E144="",ISBLANK(E144),E144=0),0,
   ISNUMBER(MATCH(E144,{2,3,5,7,11,13,17,19,23,29,31,37,41,43},0)),"소",
   AND(ISNUMBER(E144),MOD(E144,3)=0),"배",
   AND(ISNUMBER(E144),E144&gt;0),"자"
)</f>
        <v>자</v>
      </c>
      <c r="AG144" s="26" t="str" cm="1">
        <f t="array" ref="AG144">_xlfn.IFS(
   OR(F144="",ISBLANK(F144),F144=0),0,
   ISNUMBER(MATCH(F144,{2,3,5,7,11,13,17,19,23,29,31,37,41,43},0)),"소",
   AND(ISNUMBER(F144),MOD(F144,3)=0),"배",
   AND(ISNUMBER(F144),F144&gt;0),"자"
)</f>
        <v>소</v>
      </c>
      <c r="AH144" s="26" t="str" cm="1">
        <f t="array" ref="AH144">_xlfn.IFS(
   OR(G144="",ISBLANK(G144),G144=0),0,
   ISNUMBER(MATCH(G144,{2,3,5,7,11,13,17,19,23,29,31,37,41,43},0)),"소",
   AND(ISNUMBER(G144),MOD(G144,3)=0),"배",
   AND(ISNUMBER(G144),G144&gt;0),"자"
)</f>
        <v>배</v>
      </c>
      <c r="AI144" s="30"/>
      <c r="AJ144" s="3">
        <f t="shared" si="90"/>
        <v>2</v>
      </c>
      <c r="AK144" s="3">
        <f t="shared" si="91"/>
        <v>2</v>
      </c>
      <c r="AL144" s="3">
        <f t="shared" si="92"/>
        <v>2</v>
      </c>
      <c r="AM144" s="33"/>
      <c r="AN144" s="3">
        <f t="shared" si="93"/>
        <v>2</v>
      </c>
      <c r="AO144" s="3">
        <f t="shared" si="94"/>
        <v>0</v>
      </c>
      <c r="AP144" s="3">
        <f t="shared" si="95"/>
        <v>2</v>
      </c>
      <c r="AQ144" s="3">
        <f t="shared" si="96"/>
        <v>0</v>
      </c>
      <c r="AR144" s="3">
        <f t="shared" si="97"/>
        <v>2</v>
      </c>
      <c r="AS144" s="28" t="e">
        <f>#REF!</f>
        <v>#REF!</v>
      </c>
      <c r="AT144" s="28" t="e">
        <f>#REF!*2</f>
        <v>#REF!</v>
      </c>
      <c r="AU144" s="28" t="e">
        <f>#REF!</f>
        <v>#REF!</v>
      </c>
      <c r="AV144" s="28" t="e">
        <f>#REF!*2</f>
        <v>#REF!</v>
      </c>
      <c r="AW144" s="28" t="e">
        <f>#REF!</f>
        <v>#REF!</v>
      </c>
      <c r="AX144" s="28" t="e">
        <f>#REF!*2</f>
        <v>#REF!</v>
      </c>
      <c r="AY144" s="28" t="e">
        <f>#REF!</f>
        <v>#REF!</v>
      </c>
      <c r="AZ144" s="28" t="e">
        <f>#REF!*2</f>
        <v>#REF!</v>
      </c>
      <c r="BA144" s="28" t="e">
        <f>#REF!</f>
        <v>#REF!</v>
      </c>
      <c r="BB144" s="28" t="e">
        <f>#REF!*2</f>
        <v>#REF!</v>
      </c>
      <c r="BC144" s="28" t="e">
        <f>#REF!</f>
        <v>#REF!</v>
      </c>
      <c r="BD144" s="28" t="e">
        <f>#REF!*2</f>
        <v>#REF!</v>
      </c>
      <c r="BE144" s="9" t="e">
        <f>#REF!-#REF!</f>
        <v>#REF!</v>
      </c>
      <c r="BF144" s="9" t="e">
        <f>#REF!-#REF!</f>
        <v>#REF!</v>
      </c>
      <c r="BG144" s="9" t="e">
        <f>#REF!-#REF!</f>
        <v>#REF!</v>
      </c>
      <c r="BH144" s="9" t="e">
        <f>#REF!-#REF!</f>
        <v>#REF!</v>
      </c>
      <c r="BI144" s="9" t="e">
        <f>#REF!-#REF!</f>
        <v>#REF!</v>
      </c>
      <c r="BJ144" s="33"/>
      <c r="BK144" s="3">
        <f t="shared" si="98"/>
        <v>2</v>
      </c>
      <c r="BL144" s="3">
        <f t="shared" si="99"/>
        <v>1</v>
      </c>
      <c r="BM144" s="3">
        <f t="shared" si="100"/>
        <v>1</v>
      </c>
      <c r="BN144" s="3">
        <f t="shared" si="101"/>
        <v>0</v>
      </c>
      <c r="BO144" s="3">
        <f t="shared" si="102"/>
        <v>2</v>
      </c>
      <c r="BP144" s="28" t="e">
        <f>#REF!</f>
        <v>#REF!</v>
      </c>
      <c r="BQ144" s="28" t="e">
        <f>#REF!*2</f>
        <v>#REF!</v>
      </c>
      <c r="BR144" s="28" t="e">
        <f>#REF!</f>
        <v>#REF!</v>
      </c>
      <c r="BS144" s="28" t="e">
        <f>#REF!*2</f>
        <v>#REF!</v>
      </c>
      <c r="BT144" s="28" t="e">
        <f>#REF!</f>
        <v>#REF!</v>
      </c>
      <c r="BU144" s="28" t="e">
        <f>#REF!*2</f>
        <v>#REF!</v>
      </c>
      <c r="BV144" s="28" t="e">
        <f>#REF!</f>
        <v>#REF!</v>
      </c>
      <c r="BW144" s="28" t="e">
        <f>#REF!*2</f>
        <v>#REF!</v>
      </c>
      <c r="BX144" s="28" t="e">
        <f>#REF!</f>
        <v>#REF!</v>
      </c>
      <c r="BY144" s="28" t="e">
        <f>#REF!*2</f>
        <v>#REF!</v>
      </c>
      <c r="BZ144" s="28" t="e">
        <f>#REF!</f>
        <v>#REF!</v>
      </c>
      <c r="CA144" s="28" t="e">
        <f>#REF!*2</f>
        <v>#REF!</v>
      </c>
      <c r="CB144" s="9">
        <f t="shared" si="103"/>
        <v>1</v>
      </c>
      <c r="CC144" s="9">
        <f t="shared" si="104"/>
        <v>10</v>
      </c>
      <c r="CD144" s="9">
        <f t="shared" si="105"/>
        <v>6</v>
      </c>
      <c r="CE144" s="9">
        <f t="shared" si="106"/>
        <v>16</v>
      </c>
      <c r="CF144" s="9">
        <f t="shared" si="107"/>
        <v>1</v>
      </c>
      <c r="CG144" s="33"/>
      <c r="CH144" s="9">
        <f t="shared" si="108"/>
        <v>1</v>
      </c>
      <c r="CI144" s="9">
        <f t="shared" si="109"/>
        <v>10</v>
      </c>
      <c r="CJ144" s="9">
        <f t="shared" si="110"/>
        <v>6</v>
      </c>
      <c r="CK144" s="9">
        <f t="shared" si="111"/>
        <v>16</v>
      </c>
      <c r="CL144" s="9">
        <f t="shared" si="112"/>
        <v>1</v>
      </c>
      <c r="CM144" s="32"/>
      <c r="CN144" s="3">
        <f t="shared" si="113"/>
        <v>1</v>
      </c>
      <c r="CO144" s="3">
        <f t="shared" si="114"/>
        <v>2</v>
      </c>
      <c r="CP144" s="3">
        <f t="shared" si="115"/>
        <v>2</v>
      </c>
      <c r="CQ144" s="3">
        <f t="shared" si="116"/>
        <v>2</v>
      </c>
      <c r="CR144" s="3">
        <f t="shared" si="117"/>
        <v>1</v>
      </c>
      <c r="CS144" s="31"/>
      <c r="CT144" s="3" cm="1">
        <f t="array" ref="CT144">SUMPRODUCT(--(MOD(CH144:CL144,2)=1))</f>
        <v>2</v>
      </c>
      <c r="CU144" s="3">
        <f t="shared" si="118"/>
        <v>3</v>
      </c>
      <c r="CV144" s="30"/>
      <c r="CW144" s="3" cm="1">
        <f t="array" ref="CW144">SUMPRODUCT(--(MOD(CH144:CL144,10)&gt;=1), --(MOD(CH144:CL144,10)&lt;=5))</f>
        <v>2</v>
      </c>
      <c r="CX144" s="3">
        <f t="shared" si="119"/>
        <v>3</v>
      </c>
      <c r="CY144" s="30"/>
      <c r="CZ144" s="3" cm="1">
        <f t="array" ref="CZ144">IFERROR(COUNT(_xlfn._xlws.FILTER(CH144:CL144, ISNUMBER(MATCH(CH144:CL144, {2,3,5,7,11,13,17,19,23,29,31,37,41,43}, 0)))), 0)</f>
        <v>0</v>
      </c>
      <c r="DA144" s="3" cm="1">
        <f t="array" ref="DA144">IFERROR(COUNT(_xlfn._xlws.FILTER(CH144:CL144, ISNUMBER(MATCH(CH144:CL144, {1,4,8,10,14,16,20,22,25,26,28,32,34,35,38,40,44}, 0)))), 0)</f>
        <v>4</v>
      </c>
      <c r="DB144" s="3" cm="1">
        <f t="array" ref="DB144">IFERROR(COUNT(_xlfn._xlws.FILTER(CH144:CL144, ISNUMBER(MATCH(CH144:CL144, {6,9,12,15,18,21,24,27,30,33,36,39,42,45}, 0)))), 0)</f>
        <v>1</v>
      </c>
      <c r="DC144" s="29"/>
      <c r="DD144" s="28" t="e">
        <f>#REF!</f>
        <v>#REF!</v>
      </c>
      <c r="DE144" s="28" t="e">
        <f>#REF!*2</f>
        <v>#REF!</v>
      </c>
      <c r="DF144" s="28" t="e">
        <f>#REF!</f>
        <v>#REF!</v>
      </c>
      <c r="DG144" s="28" t="e">
        <f>#REF!*2</f>
        <v>#REF!</v>
      </c>
      <c r="DH144" s="28" t="e">
        <f>#REF!</f>
        <v>#REF!</v>
      </c>
      <c r="DI144" s="28" t="e">
        <f>#REF!*2</f>
        <v>#REF!</v>
      </c>
      <c r="DJ144" s="28" t="e">
        <f>#REF!</f>
        <v>#REF!</v>
      </c>
      <c r="DK144" s="28" t="e">
        <f>#REF!*2</f>
        <v>#REF!</v>
      </c>
      <c r="DL144" s="28" t="e">
        <f>#REF!</f>
        <v>#REF!</v>
      </c>
      <c r="DM144" s="28" t="e">
        <f>#REF!*2</f>
        <v>#REF!</v>
      </c>
      <c r="DN144" s="27"/>
      <c r="DO144" s="26" t="str" cm="1">
        <f t="array" ref="DO144">_xlfn.IFS(
   OR(CH144="",ISBLANK(CH144),CH144=0),0,
   ISNUMBER(MATCH(CH144,{2,3,5,7,11,13,17,19,23,29,31,37,41,43},0)),"소",
   AND(ISNUMBER(CH144),MOD(CH144,3)=0),"배",
   AND(ISNUMBER(CH144),CH144&gt;0),"자"
)</f>
        <v>자</v>
      </c>
      <c r="DP144" s="26" t="str" cm="1">
        <f t="array" ref="DP144">_xlfn.IFS(
   OR(CI144="",ISBLANK(CI144),CI144=0),0,
   ISNUMBER(MATCH(CI144,{2,3,5,7,11,13,17,19,23,29,31,37,41,43},0)),"소",
   AND(ISNUMBER(CI144),MOD(CI144,3)=0),"배",
   AND(ISNUMBER(CI144),CI144&gt;0),"자"
)</f>
        <v>자</v>
      </c>
      <c r="DQ144" s="26" t="str" cm="1">
        <f t="array" ref="DQ144">_xlfn.IFS(
   OR(CJ144="",ISBLANK(CJ144),CJ144=0),0,
   ISNUMBER(MATCH(CJ144,{2,3,5,7,11,13,17,19,23,29,31,37,41,43},0)),"소",
   AND(ISNUMBER(CJ144),MOD(CJ144,3)=0),"배",
   AND(ISNUMBER(CJ144),CJ144&gt;0),"자"
)</f>
        <v>배</v>
      </c>
      <c r="DR144" s="26" t="str" cm="1">
        <f t="array" ref="DR144">_xlfn.IFS(
   OR(CK144="",ISBLANK(CK144),CK144=0),0,
   ISNUMBER(MATCH(CK144,{2,3,5,7,11,13,17,19,23,29,31,37,41,43},0)),"소",
   AND(ISNUMBER(CK144),MOD(CK144,3)=0),"배",
   AND(ISNUMBER(CK144),CK144&gt;0),"자"
)</f>
        <v>자</v>
      </c>
      <c r="DS144" s="26" t="str" cm="1">
        <f t="array" ref="DS144">_xlfn.IFS(
   OR(CL144="",ISBLANK(CL144),CL144=0),0,
   ISNUMBER(MATCH(CL144,{2,3,5,7,11,13,17,19,23,29,31,37,41,43},0)),"소",
   AND(ISNUMBER(CL144),MOD(CL144,3)=0),"배",
   AND(ISNUMBER(CL144),CL144&gt;0),"자"
)</f>
        <v>자</v>
      </c>
      <c r="DT144" s="25"/>
    </row>
    <row r="145" spans="2:124" x14ac:dyDescent="0.3">
      <c r="B145" s="3">
        <v>4</v>
      </c>
      <c r="C145" s="3">
        <v>6</v>
      </c>
      <c r="D145" s="3">
        <v>13</v>
      </c>
      <c r="E145" s="3">
        <v>17</v>
      </c>
      <c r="F145" s="3">
        <v>26</v>
      </c>
      <c r="G145" s="3">
        <v>28</v>
      </c>
      <c r="H145" s="32"/>
      <c r="I145" s="3">
        <f t="shared" si="80"/>
        <v>2</v>
      </c>
      <c r="J145" s="3">
        <f t="shared" si="81"/>
        <v>2</v>
      </c>
      <c r="K145" s="3">
        <f t="shared" si="82"/>
        <v>1</v>
      </c>
      <c r="L145" s="3">
        <f t="shared" si="83"/>
        <v>1</v>
      </c>
      <c r="M145" s="3">
        <f t="shared" si="84"/>
        <v>2</v>
      </c>
      <c r="N145" s="3">
        <f t="shared" si="85"/>
        <v>2</v>
      </c>
      <c r="O145" s="32"/>
      <c r="P145" s="3" cm="1">
        <f t="array" ref="P145">SUMPRODUCT(--(MOD(B145:G145,2)=1))</f>
        <v>2</v>
      </c>
      <c r="Q145" s="3">
        <f t="shared" si="86"/>
        <v>4</v>
      </c>
      <c r="R145" s="34"/>
      <c r="S145" s="3">
        <f t="shared" si="87"/>
        <v>4</v>
      </c>
      <c r="T145" s="3">
        <f t="shared" si="88"/>
        <v>2</v>
      </c>
      <c r="U145" s="34"/>
      <c r="V145" s="3" cm="1">
        <f t="array" ref="V145">SUMPRODUCT(--(MOD(B145:G145,10)&gt;=1), --(MOD(B145:G145,10)&lt;=5))</f>
        <v>2</v>
      </c>
      <c r="W145" s="3">
        <f t="shared" si="89"/>
        <v>4</v>
      </c>
      <c r="X145" s="34"/>
      <c r="Y145" s="3" cm="1">
        <f t="array" ref="Y145">IFERROR(COUNT(_xlfn._xlws.FILTER(B145:G145, ISNUMBER(MATCH(B145:G145, {2,3,5,7,11,13,17,19,23,29,31,37,41,43}, 0)))), 0)</f>
        <v>2</v>
      </c>
      <c r="Z145" s="3" cm="1">
        <f t="array" ref="Z145">IFERROR(COUNT(_xlfn._xlws.FILTER(B145:G145, ISNUMBER(MATCH(B145:G145, {1,4,8,10,14,16,20,22,25,26,28,32,34,35,38,40,44}, 0)))), 0)</f>
        <v>3</v>
      </c>
      <c r="AA145" s="3" cm="1">
        <f t="array" ref="AA145">IFERROR(COUNT(_xlfn._xlws.FILTER(B145:G145, ISNUMBER(MATCH(B145:G145, {6,9,12,15,18,21,24,27,30,33,36,39,42,45}, 0)))), 0)</f>
        <v>1</v>
      </c>
      <c r="AB145" s="30"/>
      <c r="AC145" s="26" t="str" cm="1">
        <f t="array" ref="AC145">_xlfn.IFS(
   OR(B145="",ISBLANK(B145),B145=0),0,
   ISNUMBER(MATCH(B145,{2,3,5,7,11,13,17,19,23,29,31,37,41,43},0)),"소",
   AND(ISNUMBER(B145),MOD(B145,3)=0),"배",
   AND(ISNUMBER(B145),B145&gt;0),"자"
)</f>
        <v>자</v>
      </c>
      <c r="AD145" s="26" t="str" cm="1">
        <f t="array" ref="AD145">_xlfn.IFS(
   OR(C145="",ISBLANK(C145),C145=0),0,
   ISNUMBER(MATCH(C145,{2,3,5,7,11,13,17,19,23,29,31,37,41,43},0)),"소",
   AND(ISNUMBER(C145),MOD(C145,3)=0),"배",
   AND(ISNUMBER(C145),C145&gt;0),"자"
)</f>
        <v>배</v>
      </c>
      <c r="AE145" s="26" t="str" cm="1">
        <f t="array" ref="AE145">_xlfn.IFS(
   OR(D145="",ISBLANK(D145),D145=0),0,
   ISNUMBER(MATCH(D145,{2,3,5,7,11,13,17,19,23,29,31,37,41,43},0)),"소",
   AND(ISNUMBER(D145),MOD(D145,3)=0),"배",
   AND(ISNUMBER(D145),D145&gt;0),"자"
)</f>
        <v>소</v>
      </c>
      <c r="AF145" s="26" t="str" cm="1">
        <f t="array" ref="AF145">_xlfn.IFS(
   OR(E145="",ISBLANK(E145),E145=0),0,
   ISNUMBER(MATCH(E145,{2,3,5,7,11,13,17,19,23,29,31,37,41,43},0)),"소",
   AND(ISNUMBER(E145),MOD(E145,3)=0),"배",
   AND(ISNUMBER(E145),E145&gt;0),"자"
)</f>
        <v>소</v>
      </c>
      <c r="AG145" s="26" t="str" cm="1">
        <f t="array" ref="AG145">_xlfn.IFS(
   OR(F145="",ISBLANK(F145),F145=0),0,
   ISNUMBER(MATCH(F145,{2,3,5,7,11,13,17,19,23,29,31,37,41,43},0)),"소",
   AND(ISNUMBER(F145),MOD(F145,3)=0),"배",
   AND(ISNUMBER(F145),F145&gt;0),"자"
)</f>
        <v>자</v>
      </c>
      <c r="AH145" s="26" t="str" cm="1">
        <f t="array" ref="AH145">_xlfn.IFS(
   OR(G145="",ISBLANK(G145),G145=0),0,
   ISNUMBER(MATCH(G145,{2,3,5,7,11,13,17,19,23,29,31,37,41,43},0)),"소",
   AND(ISNUMBER(G145),MOD(G145,3)=0),"배",
   AND(ISNUMBER(G145),G145&gt;0),"자"
)</f>
        <v>자</v>
      </c>
      <c r="AI145" s="30"/>
      <c r="AJ145" s="3">
        <f t="shared" si="90"/>
        <v>3</v>
      </c>
      <c r="AK145" s="3">
        <f t="shared" si="91"/>
        <v>3</v>
      </c>
      <c r="AL145" s="3">
        <f t="shared" si="92"/>
        <v>0</v>
      </c>
      <c r="AM145" s="33"/>
      <c r="AN145" s="3">
        <f t="shared" si="93"/>
        <v>2</v>
      </c>
      <c r="AO145" s="3">
        <f t="shared" si="94"/>
        <v>2</v>
      </c>
      <c r="AP145" s="3">
        <f t="shared" si="95"/>
        <v>1</v>
      </c>
      <c r="AQ145" s="3">
        <f t="shared" si="96"/>
        <v>1</v>
      </c>
      <c r="AR145" s="3">
        <f t="shared" si="97"/>
        <v>0</v>
      </c>
      <c r="AS145" s="28" t="e">
        <f>#REF!</f>
        <v>#REF!</v>
      </c>
      <c r="AT145" s="28" t="e">
        <f>#REF!*2</f>
        <v>#REF!</v>
      </c>
      <c r="AU145" s="28" t="e">
        <f>#REF!</f>
        <v>#REF!</v>
      </c>
      <c r="AV145" s="28" t="e">
        <f>#REF!*2</f>
        <v>#REF!</v>
      </c>
      <c r="AW145" s="28" t="e">
        <f>#REF!</f>
        <v>#REF!</v>
      </c>
      <c r="AX145" s="28" t="e">
        <f>#REF!*2</f>
        <v>#REF!</v>
      </c>
      <c r="AY145" s="28" t="e">
        <f>#REF!</f>
        <v>#REF!</v>
      </c>
      <c r="AZ145" s="28" t="e">
        <f>#REF!*2</f>
        <v>#REF!</v>
      </c>
      <c r="BA145" s="28" t="e">
        <f>#REF!</f>
        <v>#REF!</v>
      </c>
      <c r="BB145" s="28" t="e">
        <f>#REF!*2</f>
        <v>#REF!</v>
      </c>
      <c r="BC145" s="28" t="e">
        <f>#REF!</f>
        <v>#REF!</v>
      </c>
      <c r="BD145" s="28" t="e">
        <f>#REF!*2</f>
        <v>#REF!</v>
      </c>
      <c r="BE145" s="9" t="e">
        <f>#REF!-#REF!</f>
        <v>#REF!</v>
      </c>
      <c r="BF145" s="9" t="e">
        <f>#REF!-#REF!</f>
        <v>#REF!</v>
      </c>
      <c r="BG145" s="9" t="e">
        <f>#REF!-#REF!</f>
        <v>#REF!</v>
      </c>
      <c r="BH145" s="9" t="e">
        <f>#REF!-#REF!</f>
        <v>#REF!</v>
      </c>
      <c r="BI145" s="9" t="e">
        <f>#REF!-#REF!</f>
        <v>#REF!</v>
      </c>
      <c r="BJ145" s="33"/>
      <c r="BK145" s="3">
        <f t="shared" si="98"/>
        <v>2</v>
      </c>
      <c r="BL145" s="3">
        <f t="shared" si="99"/>
        <v>2</v>
      </c>
      <c r="BM145" s="3">
        <f t="shared" si="100"/>
        <v>2</v>
      </c>
      <c r="BN145" s="3">
        <f t="shared" si="101"/>
        <v>0</v>
      </c>
      <c r="BO145" s="3">
        <f t="shared" si="102"/>
        <v>0</v>
      </c>
      <c r="BP145" s="28" t="e">
        <f>#REF!</f>
        <v>#REF!</v>
      </c>
      <c r="BQ145" s="28" t="e">
        <f>#REF!*2</f>
        <v>#REF!</v>
      </c>
      <c r="BR145" s="28" t="e">
        <f>#REF!</f>
        <v>#REF!</v>
      </c>
      <c r="BS145" s="28" t="e">
        <f>#REF!*2</f>
        <v>#REF!</v>
      </c>
      <c r="BT145" s="28" t="e">
        <f>#REF!</f>
        <v>#REF!</v>
      </c>
      <c r="BU145" s="28" t="e">
        <f>#REF!*2</f>
        <v>#REF!</v>
      </c>
      <c r="BV145" s="28" t="e">
        <f>#REF!</f>
        <v>#REF!</v>
      </c>
      <c r="BW145" s="28" t="e">
        <f>#REF!*2</f>
        <v>#REF!</v>
      </c>
      <c r="BX145" s="28" t="e">
        <f>#REF!</f>
        <v>#REF!</v>
      </c>
      <c r="BY145" s="28" t="e">
        <f>#REF!*2</f>
        <v>#REF!</v>
      </c>
      <c r="BZ145" s="28" t="e">
        <f>#REF!</f>
        <v>#REF!</v>
      </c>
      <c r="CA145" s="28" t="e">
        <f>#REF!*2</f>
        <v>#REF!</v>
      </c>
      <c r="CB145" s="9">
        <f t="shared" si="103"/>
        <v>2</v>
      </c>
      <c r="CC145" s="9">
        <f t="shared" si="104"/>
        <v>7</v>
      </c>
      <c r="CD145" s="9">
        <f t="shared" si="105"/>
        <v>4</v>
      </c>
      <c r="CE145" s="9">
        <f t="shared" si="106"/>
        <v>9</v>
      </c>
      <c r="CF145" s="9">
        <f t="shared" si="107"/>
        <v>2</v>
      </c>
      <c r="CG145" s="33"/>
      <c r="CH145" s="9">
        <f t="shared" si="108"/>
        <v>2</v>
      </c>
      <c r="CI145" s="9">
        <f t="shared" si="109"/>
        <v>7</v>
      </c>
      <c r="CJ145" s="9">
        <f t="shared" si="110"/>
        <v>4</v>
      </c>
      <c r="CK145" s="9">
        <f t="shared" si="111"/>
        <v>9</v>
      </c>
      <c r="CL145" s="9">
        <f t="shared" si="112"/>
        <v>2</v>
      </c>
      <c r="CM145" s="32"/>
      <c r="CN145" s="3">
        <f t="shared" si="113"/>
        <v>2</v>
      </c>
      <c r="CO145" s="3">
        <f t="shared" si="114"/>
        <v>1</v>
      </c>
      <c r="CP145" s="3">
        <f t="shared" si="115"/>
        <v>2</v>
      </c>
      <c r="CQ145" s="3">
        <f t="shared" si="116"/>
        <v>1</v>
      </c>
      <c r="CR145" s="3">
        <f t="shared" si="117"/>
        <v>2</v>
      </c>
      <c r="CS145" s="31"/>
      <c r="CT145" s="3" cm="1">
        <f t="array" ref="CT145">SUMPRODUCT(--(MOD(CH145:CL145,2)=1))</f>
        <v>2</v>
      </c>
      <c r="CU145" s="3">
        <f t="shared" si="118"/>
        <v>3</v>
      </c>
      <c r="CV145" s="30"/>
      <c r="CW145" s="3" cm="1">
        <f t="array" ref="CW145">SUMPRODUCT(--(MOD(CH145:CL145,10)&gt;=1), --(MOD(CH145:CL145,10)&lt;=5))</f>
        <v>3</v>
      </c>
      <c r="CX145" s="3">
        <f t="shared" si="119"/>
        <v>2</v>
      </c>
      <c r="CY145" s="30"/>
      <c r="CZ145" s="3" cm="1">
        <f t="array" ref="CZ145">IFERROR(COUNT(_xlfn._xlws.FILTER(CH145:CL145, ISNUMBER(MATCH(CH145:CL145, {2,3,5,7,11,13,17,19,23,29,31,37,41,43}, 0)))), 0)</f>
        <v>3</v>
      </c>
      <c r="DA145" s="3" cm="1">
        <f t="array" ref="DA145">IFERROR(COUNT(_xlfn._xlws.FILTER(CH145:CL145, ISNUMBER(MATCH(CH145:CL145, {1,4,8,10,14,16,20,22,25,26,28,32,34,35,38,40,44}, 0)))), 0)</f>
        <v>1</v>
      </c>
      <c r="DB145" s="3" cm="1">
        <f t="array" ref="DB145">IFERROR(COUNT(_xlfn._xlws.FILTER(CH145:CL145, ISNUMBER(MATCH(CH145:CL145, {6,9,12,15,18,21,24,27,30,33,36,39,42,45}, 0)))), 0)</f>
        <v>1</v>
      </c>
      <c r="DC145" s="29"/>
      <c r="DD145" s="28" t="e">
        <f>#REF!</f>
        <v>#REF!</v>
      </c>
      <c r="DE145" s="28" t="e">
        <f>#REF!*2</f>
        <v>#REF!</v>
      </c>
      <c r="DF145" s="28" t="e">
        <f>#REF!</f>
        <v>#REF!</v>
      </c>
      <c r="DG145" s="28" t="e">
        <f>#REF!*2</f>
        <v>#REF!</v>
      </c>
      <c r="DH145" s="28" t="e">
        <f>#REF!</f>
        <v>#REF!</v>
      </c>
      <c r="DI145" s="28" t="e">
        <f>#REF!*2</f>
        <v>#REF!</v>
      </c>
      <c r="DJ145" s="28" t="e">
        <f>#REF!</f>
        <v>#REF!</v>
      </c>
      <c r="DK145" s="28" t="e">
        <f>#REF!*2</f>
        <v>#REF!</v>
      </c>
      <c r="DL145" s="28" t="e">
        <f>#REF!</f>
        <v>#REF!</v>
      </c>
      <c r="DM145" s="28" t="e">
        <f>#REF!*2</f>
        <v>#REF!</v>
      </c>
      <c r="DN145" s="27"/>
      <c r="DO145" s="26" t="str" cm="1">
        <f t="array" ref="DO145">_xlfn.IFS(
   OR(CH145="",ISBLANK(CH145),CH145=0),0,
   ISNUMBER(MATCH(CH145,{2,3,5,7,11,13,17,19,23,29,31,37,41,43},0)),"소",
   AND(ISNUMBER(CH145),MOD(CH145,3)=0),"배",
   AND(ISNUMBER(CH145),CH145&gt;0),"자"
)</f>
        <v>소</v>
      </c>
      <c r="DP145" s="26" t="str" cm="1">
        <f t="array" ref="DP145">_xlfn.IFS(
   OR(CI145="",ISBLANK(CI145),CI145=0),0,
   ISNUMBER(MATCH(CI145,{2,3,5,7,11,13,17,19,23,29,31,37,41,43},0)),"소",
   AND(ISNUMBER(CI145),MOD(CI145,3)=0),"배",
   AND(ISNUMBER(CI145),CI145&gt;0),"자"
)</f>
        <v>소</v>
      </c>
      <c r="DQ145" s="26" t="str" cm="1">
        <f t="array" ref="DQ145">_xlfn.IFS(
   OR(CJ145="",ISBLANK(CJ145),CJ145=0),0,
   ISNUMBER(MATCH(CJ145,{2,3,5,7,11,13,17,19,23,29,31,37,41,43},0)),"소",
   AND(ISNUMBER(CJ145),MOD(CJ145,3)=0),"배",
   AND(ISNUMBER(CJ145),CJ145&gt;0),"자"
)</f>
        <v>자</v>
      </c>
      <c r="DR145" s="26" t="str" cm="1">
        <f t="array" ref="DR145">_xlfn.IFS(
   OR(CK145="",ISBLANK(CK145),CK145=0),0,
   ISNUMBER(MATCH(CK145,{2,3,5,7,11,13,17,19,23,29,31,37,41,43},0)),"소",
   AND(ISNUMBER(CK145),MOD(CK145,3)=0),"배",
   AND(ISNUMBER(CK145),CK145&gt;0),"자"
)</f>
        <v>배</v>
      </c>
      <c r="DS145" s="26" t="str" cm="1">
        <f t="array" ref="DS145">_xlfn.IFS(
   OR(CL145="",ISBLANK(CL145),CL145=0),0,
   ISNUMBER(MATCH(CL145,{2,3,5,7,11,13,17,19,23,29,31,37,41,43},0)),"소",
   AND(ISNUMBER(CL145),MOD(CL145,3)=0),"배",
   AND(ISNUMBER(CL145),CL145&gt;0),"자"
)</f>
        <v>소</v>
      </c>
      <c r="DT145" s="25"/>
    </row>
    <row r="146" spans="2:124" x14ac:dyDescent="0.3">
      <c r="B146" s="3">
        <v>1</v>
      </c>
      <c r="C146" s="3">
        <v>14</v>
      </c>
      <c r="D146" s="3">
        <v>16</v>
      </c>
      <c r="E146" s="3">
        <v>34</v>
      </c>
      <c r="F146" s="3">
        <v>41</v>
      </c>
      <c r="G146" s="3">
        <v>44</v>
      </c>
      <c r="H146" s="32"/>
      <c r="I146" s="3">
        <f t="shared" si="80"/>
        <v>1</v>
      </c>
      <c r="J146" s="3">
        <f t="shared" si="81"/>
        <v>2</v>
      </c>
      <c r="K146" s="3">
        <f t="shared" si="82"/>
        <v>2</v>
      </c>
      <c r="L146" s="3">
        <f t="shared" si="83"/>
        <v>2</v>
      </c>
      <c r="M146" s="3">
        <f t="shared" si="84"/>
        <v>1</v>
      </c>
      <c r="N146" s="3">
        <f t="shared" si="85"/>
        <v>2</v>
      </c>
      <c r="O146" s="32"/>
      <c r="P146" s="3" cm="1">
        <f t="array" ref="P146">SUMPRODUCT(--(MOD(B146:G146,2)=1))</f>
        <v>2</v>
      </c>
      <c r="Q146" s="3">
        <f t="shared" si="86"/>
        <v>4</v>
      </c>
      <c r="R146" s="34"/>
      <c r="S146" s="3">
        <f t="shared" si="87"/>
        <v>3</v>
      </c>
      <c r="T146" s="3">
        <f t="shared" si="88"/>
        <v>3</v>
      </c>
      <c r="U146" s="34"/>
      <c r="V146" s="3" cm="1">
        <f t="array" ref="V146">SUMPRODUCT(--(MOD(B146:G146,10)&gt;=1), --(MOD(B146:G146,10)&lt;=5))</f>
        <v>5</v>
      </c>
      <c r="W146" s="3">
        <f t="shared" si="89"/>
        <v>1</v>
      </c>
      <c r="X146" s="34"/>
      <c r="Y146" s="3" cm="1">
        <f t="array" ref="Y146">IFERROR(COUNT(_xlfn._xlws.FILTER(B146:G146, ISNUMBER(MATCH(B146:G146, {2,3,5,7,11,13,17,19,23,29,31,37,41,43}, 0)))), 0)</f>
        <v>1</v>
      </c>
      <c r="Z146" s="3" cm="1">
        <f t="array" ref="Z146">IFERROR(COUNT(_xlfn._xlws.FILTER(B146:G146, ISNUMBER(MATCH(B146:G146, {1,4,8,10,14,16,20,22,25,26,28,32,34,35,38,40,44}, 0)))), 0)</f>
        <v>5</v>
      </c>
      <c r="AA146" s="3" cm="1">
        <f t="array" ref="AA146">IFERROR(COUNT(_xlfn._xlws.FILTER(B146:G146, ISNUMBER(MATCH(B146:G146, {6,9,12,15,18,21,24,27,30,33,36,39,42,45}, 0)))), 0)</f>
        <v>0</v>
      </c>
      <c r="AB146" s="30"/>
      <c r="AC146" s="26" t="str" cm="1">
        <f t="array" ref="AC146">_xlfn.IFS(
   OR(B146="",ISBLANK(B146),B146=0),0,
   ISNUMBER(MATCH(B146,{2,3,5,7,11,13,17,19,23,29,31,37,41,43},0)),"소",
   AND(ISNUMBER(B146),MOD(B146,3)=0),"배",
   AND(ISNUMBER(B146),B146&gt;0),"자"
)</f>
        <v>자</v>
      </c>
      <c r="AD146" s="26" t="str" cm="1">
        <f t="array" ref="AD146">_xlfn.IFS(
   OR(C146="",ISBLANK(C146),C146=0),0,
   ISNUMBER(MATCH(C146,{2,3,5,7,11,13,17,19,23,29,31,37,41,43},0)),"소",
   AND(ISNUMBER(C146),MOD(C146,3)=0),"배",
   AND(ISNUMBER(C146),C146&gt;0),"자"
)</f>
        <v>자</v>
      </c>
      <c r="AE146" s="26" t="str" cm="1">
        <f t="array" ref="AE146">_xlfn.IFS(
   OR(D146="",ISBLANK(D146),D146=0),0,
   ISNUMBER(MATCH(D146,{2,3,5,7,11,13,17,19,23,29,31,37,41,43},0)),"소",
   AND(ISNUMBER(D146),MOD(D146,3)=0),"배",
   AND(ISNUMBER(D146),D146&gt;0),"자"
)</f>
        <v>자</v>
      </c>
      <c r="AF146" s="26" t="str" cm="1">
        <f t="array" ref="AF146">_xlfn.IFS(
   OR(E146="",ISBLANK(E146),E146=0),0,
   ISNUMBER(MATCH(E146,{2,3,5,7,11,13,17,19,23,29,31,37,41,43},0)),"소",
   AND(ISNUMBER(E146),MOD(E146,3)=0),"배",
   AND(ISNUMBER(E146),E146&gt;0),"자"
)</f>
        <v>자</v>
      </c>
      <c r="AG146" s="26" t="str" cm="1">
        <f t="array" ref="AG146">_xlfn.IFS(
   OR(F146="",ISBLANK(F146),F146=0),0,
   ISNUMBER(MATCH(F146,{2,3,5,7,11,13,17,19,23,29,31,37,41,43},0)),"소",
   AND(ISNUMBER(F146),MOD(F146,3)=0),"배",
   AND(ISNUMBER(F146),F146&gt;0),"자"
)</f>
        <v>소</v>
      </c>
      <c r="AH146" s="26" t="str" cm="1">
        <f t="array" ref="AH146">_xlfn.IFS(
   OR(G146="",ISBLANK(G146),G146=0),0,
   ISNUMBER(MATCH(G146,{2,3,5,7,11,13,17,19,23,29,31,37,41,43},0)),"소",
   AND(ISNUMBER(G146),MOD(G146,3)=0),"배",
   AND(ISNUMBER(G146),G146&gt;0),"자"
)</f>
        <v>자</v>
      </c>
      <c r="AI146" s="30"/>
      <c r="AJ146" s="3">
        <f t="shared" si="90"/>
        <v>2</v>
      </c>
      <c r="AK146" s="3">
        <f t="shared" si="91"/>
        <v>1</v>
      </c>
      <c r="AL146" s="3">
        <f t="shared" si="92"/>
        <v>3</v>
      </c>
      <c r="AM146" s="33"/>
      <c r="AN146" s="3">
        <f t="shared" si="93"/>
        <v>1</v>
      </c>
      <c r="AO146" s="3">
        <f t="shared" si="94"/>
        <v>2</v>
      </c>
      <c r="AP146" s="3">
        <f t="shared" si="95"/>
        <v>0</v>
      </c>
      <c r="AQ146" s="3">
        <f t="shared" si="96"/>
        <v>1</v>
      </c>
      <c r="AR146" s="3">
        <f t="shared" si="97"/>
        <v>2</v>
      </c>
      <c r="AS146" s="28" t="e">
        <f>#REF!</f>
        <v>#REF!</v>
      </c>
      <c r="AT146" s="28" t="e">
        <f>#REF!*2</f>
        <v>#REF!</v>
      </c>
      <c r="AU146" s="28" t="e">
        <f>#REF!</f>
        <v>#REF!</v>
      </c>
      <c r="AV146" s="28" t="e">
        <f>#REF!*2</f>
        <v>#REF!</v>
      </c>
      <c r="AW146" s="28" t="e">
        <f>#REF!</f>
        <v>#REF!</v>
      </c>
      <c r="AX146" s="28" t="e">
        <f>#REF!*2</f>
        <v>#REF!</v>
      </c>
      <c r="AY146" s="28" t="e">
        <f>#REF!</f>
        <v>#REF!</v>
      </c>
      <c r="AZ146" s="28" t="e">
        <f>#REF!*2</f>
        <v>#REF!</v>
      </c>
      <c r="BA146" s="28" t="e">
        <f>#REF!</f>
        <v>#REF!</v>
      </c>
      <c r="BB146" s="28" t="e">
        <f>#REF!*2</f>
        <v>#REF!</v>
      </c>
      <c r="BC146" s="28" t="e">
        <f>#REF!</f>
        <v>#REF!</v>
      </c>
      <c r="BD146" s="28" t="e">
        <f>#REF!*2</f>
        <v>#REF!</v>
      </c>
      <c r="BE146" s="9" t="e">
        <f>#REF!-#REF!</f>
        <v>#REF!</v>
      </c>
      <c r="BF146" s="9" t="e">
        <f>#REF!-#REF!</f>
        <v>#REF!</v>
      </c>
      <c r="BG146" s="9" t="e">
        <f>#REF!-#REF!</f>
        <v>#REF!</v>
      </c>
      <c r="BH146" s="9" t="e">
        <f>#REF!-#REF!</f>
        <v>#REF!</v>
      </c>
      <c r="BI146" s="9" t="e">
        <f>#REF!-#REF!</f>
        <v>#REF!</v>
      </c>
      <c r="BJ146" s="33"/>
      <c r="BK146" s="3">
        <f t="shared" si="98"/>
        <v>1</v>
      </c>
      <c r="BL146" s="3">
        <f t="shared" si="99"/>
        <v>2</v>
      </c>
      <c r="BM146" s="3">
        <f t="shared" si="100"/>
        <v>0</v>
      </c>
      <c r="BN146" s="3">
        <f t="shared" si="101"/>
        <v>1</v>
      </c>
      <c r="BO146" s="3">
        <f t="shared" si="102"/>
        <v>2</v>
      </c>
      <c r="BP146" s="28" t="e">
        <f>#REF!</f>
        <v>#REF!</v>
      </c>
      <c r="BQ146" s="28" t="e">
        <f>#REF!*2</f>
        <v>#REF!</v>
      </c>
      <c r="BR146" s="28" t="e">
        <f>#REF!</f>
        <v>#REF!</v>
      </c>
      <c r="BS146" s="28" t="e">
        <f>#REF!*2</f>
        <v>#REF!</v>
      </c>
      <c r="BT146" s="28" t="e">
        <f>#REF!</f>
        <v>#REF!</v>
      </c>
      <c r="BU146" s="28" t="e">
        <f>#REF!*2</f>
        <v>#REF!</v>
      </c>
      <c r="BV146" s="28" t="e">
        <f>#REF!</f>
        <v>#REF!</v>
      </c>
      <c r="BW146" s="28" t="e">
        <f>#REF!*2</f>
        <v>#REF!</v>
      </c>
      <c r="BX146" s="28" t="e">
        <f>#REF!</f>
        <v>#REF!</v>
      </c>
      <c r="BY146" s="28" t="e">
        <f>#REF!*2</f>
        <v>#REF!</v>
      </c>
      <c r="BZ146" s="28" t="e">
        <f>#REF!</f>
        <v>#REF!</v>
      </c>
      <c r="CA146" s="28" t="e">
        <f>#REF!*2</f>
        <v>#REF!</v>
      </c>
      <c r="CB146" s="9">
        <f t="shared" si="103"/>
        <v>13</v>
      </c>
      <c r="CC146" s="9">
        <f t="shared" si="104"/>
        <v>2</v>
      </c>
      <c r="CD146" s="9">
        <f t="shared" si="105"/>
        <v>18</v>
      </c>
      <c r="CE146" s="9">
        <f t="shared" si="106"/>
        <v>7</v>
      </c>
      <c r="CF146" s="9">
        <f t="shared" si="107"/>
        <v>3</v>
      </c>
      <c r="CG146" s="33"/>
      <c r="CH146" s="9">
        <f t="shared" si="108"/>
        <v>13</v>
      </c>
      <c r="CI146" s="9">
        <f t="shared" si="109"/>
        <v>2</v>
      </c>
      <c r="CJ146" s="9">
        <f t="shared" si="110"/>
        <v>18</v>
      </c>
      <c r="CK146" s="9">
        <f t="shared" si="111"/>
        <v>7</v>
      </c>
      <c r="CL146" s="9">
        <f t="shared" si="112"/>
        <v>3</v>
      </c>
      <c r="CM146" s="32"/>
      <c r="CN146" s="3">
        <f t="shared" si="113"/>
        <v>1</v>
      </c>
      <c r="CO146" s="3">
        <f t="shared" si="114"/>
        <v>2</v>
      </c>
      <c r="CP146" s="3">
        <f t="shared" si="115"/>
        <v>2</v>
      </c>
      <c r="CQ146" s="3">
        <f t="shared" si="116"/>
        <v>1</v>
      </c>
      <c r="CR146" s="3">
        <f t="shared" si="117"/>
        <v>1</v>
      </c>
      <c r="CS146" s="31"/>
      <c r="CT146" s="3" cm="1">
        <f t="array" ref="CT146">SUMPRODUCT(--(MOD(CH146:CL146,2)=1))</f>
        <v>3</v>
      </c>
      <c r="CU146" s="3">
        <f t="shared" si="118"/>
        <v>2</v>
      </c>
      <c r="CV146" s="30"/>
      <c r="CW146" s="3" cm="1">
        <f t="array" ref="CW146">SUMPRODUCT(--(MOD(CH146:CL146,10)&gt;=1), --(MOD(CH146:CL146,10)&lt;=5))</f>
        <v>3</v>
      </c>
      <c r="CX146" s="3">
        <f t="shared" si="119"/>
        <v>2</v>
      </c>
      <c r="CY146" s="30"/>
      <c r="CZ146" s="3" cm="1">
        <f t="array" ref="CZ146">IFERROR(COUNT(_xlfn._xlws.FILTER(CH146:CL146, ISNUMBER(MATCH(CH146:CL146, {2,3,5,7,11,13,17,19,23,29,31,37,41,43}, 0)))), 0)</f>
        <v>4</v>
      </c>
      <c r="DA146" s="3" cm="1">
        <f t="array" ref="DA146">IFERROR(COUNT(_xlfn._xlws.FILTER(CH146:CL146, ISNUMBER(MATCH(CH146:CL146, {1,4,8,10,14,16,20,22,25,26,28,32,34,35,38,40,44}, 0)))), 0)</f>
        <v>0</v>
      </c>
      <c r="DB146" s="3" cm="1">
        <f t="array" ref="DB146">IFERROR(COUNT(_xlfn._xlws.FILTER(CH146:CL146, ISNUMBER(MATCH(CH146:CL146, {6,9,12,15,18,21,24,27,30,33,36,39,42,45}, 0)))), 0)</f>
        <v>1</v>
      </c>
      <c r="DC146" s="29"/>
      <c r="DD146" s="28" t="e">
        <f>#REF!</f>
        <v>#REF!</v>
      </c>
      <c r="DE146" s="28" t="e">
        <f>#REF!*2</f>
        <v>#REF!</v>
      </c>
      <c r="DF146" s="28" t="e">
        <f>#REF!</f>
        <v>#REF!</v>
      </c>
      <c r="DG146" s="28" t="e">
        <f>#REF!*2</f>
        <v>#REF!</v>
      </c>
      <c r="DH146" s="28" t="e">
        <f>#REF!</f>
        <v>#REF!</v>
      </c>
      <c r="DI146" s="28" t="e">
        <f>#REF!*2</f>
        <v>#REF!</v>
      </c>
      <c r="DJ146" s="28" t="e">
        <f>#REF!</f>
        <v>#REF!</v>
      </c>
      <c r="DK146" s="28" t="e">
        <f>#REF!*2</f>
        <v>#REF!</v>
      </c>
      <c r="DL146" s="28" t="e">
        <f>#REF!</f>
        <v>#REF!</v>
      </c>
      <c r="DM146" s="28" t="e">
        <f>#REF!*2</f>
        <v>#REF!</v>
      </c>
      <c r="DN146" s="27"/>
      <c r="DO146" s="26" t="str" cm="1">
        <f t="array" ref="DO146">_xlfn.IFS(
   OR(CH146="",ISBLANK(CH146),CH146=0),0,
   ISNUMBER(MATCH(CH146,{2,3,5,7,11,13,17,19,23,29,31,37,41,43},0)),"소",
   AND(ISNUMBER(CH146),MOD(CH146,3)=0),"배",
   AND(ISNUMBER(CH146),CH146&gt;0),"자"
)</f>
        <v>소</v>
      </c>
      <c r="DP146" s="26" t="str" cm="1">
        <f t="array" ref="DP146">_xlfn.IFS(
   OR(CI146="",ISBLANK(CI146),CI146=0),0,
   ISNUMBER(MATCH(CI146,{2,3,5,7,11,13,17,19,23,29,31,37,41,43},0)),"소",
   AND(ISNUMBER(CI146),MOD(CI146,3)=0),"배",
   AND(ISNUMBER(CI146),CI146&gt;0),"자"
)</f>
        <v>소</v>
      </c>
      <c r="DQ146" s="26" t="str" cm="1">
        <f t="array" ref="DQ146">_xlfn.IFS(
   OR(CJ146="",ISBLANK(CJ146),CJ146=0),0,
   ISNUMBER(MATCH(CJ146,{2,3,5,7,11,13,17,19,23,29,31,37,41,43},0)),"소",
   AND(ISNUMBER(CJ146),MOD(CJ146,3)=0),"배",
   AND(ISNUMBER(CJ146),CJ146&gt;0),"자"
)</f>
        <v>배</v>
      </c>
      <c r="DR146" s="26" t="str" cm="1">
        <f t="array" ref="DR146">_xlfn.IFS(
   OR(CK146="",ISBLANK(CK146),CK146=0),0,
   ISNUMBER(MATCH(CK146,{2,3,5,7,11,13,17,19,23,29,31,37,41,43},0)),"소",
   AND(ISNUMBER(CK146),MOD(CK146,3)=0),"배",
   AND(ISNUMBER(CK146),CK146&gt;0),"자"
)</f>
        <v>소</v>
      </c>
      <c r="DS146" s="26" t="str" cm="1">
        <f t="array" ref="DS146">_xlfn.IFS(
   OR(CL146="",ISBLANK(CL146),CL146=0),0,
   ISNUMBER(MATCH(CL146,{2,3,5,7,11,13,17,19,23,29,31,37,41,43},0)),"소",
   AND(ISNUMBER(CL146),MOD(CL146,3)=0),"배",
   AND(ISNUMBER(CL146),CL146&gt;0),"자"
)</f>
        <v>소</v>
      </c>
      <c r="DT146" s="25"/>
    </row>
    <row r="147" spans="2:124" x14ac:dyDescent="0.3">
      <c r="B147" s="3">
        <v>24</v>
      </c>
      <c r="C147" s="3">
        <v>29</v>
      </c>
      <c r="D147" s="3">
        <v>30</v>
      </c>
      <c r="E147" s="3">
        <v>31</v>
      </c>
      <c r="F147" s="3">
        <v>35</v>
      </c>
      <c r="G147" s="3">
        <v>44</v>
      </c>
      <c r="H147" s="32"/>
      <c r="I147" s="3">
        <f t="shared" si="80"/>
        <v>2</v>
      </c>
      <c r="J147" s="3">
        <f t="shared" si="81"/>
        <v>1</v>
      </c>
      <c r="K147" s="3">
        <f t="shared" si="82"/>
        <v>2</v>
      </c>
      <c r="L147" s="3">
        <f t="shared" si="83"/>
        <v>1</v>
      </c>
      <c r="M147" s="3">
        <f t="shared" si="84"/>
        <v>1</v>
      </c>
      <c r="N147" s="3">
        <f t="shared" si="85"/>
        <v>2</v>
      </c>
      <c r="O147" s="32"/>
      <c r="P147" s="3" cm="1">
        <f t="array" ref="P147">SUMPRODUCT(--(MOD(B147:G147,2)=1))</f>
        <v>3</v>
      </c>
      <c r="Q147" s="3">
        <f t="shared" si="86"/>
        <v>3</v>
      </c>
      <c r="R147" s="34"/>
      <c r="S147" s="3">
        <f t="shared" si="87"/>
        <v>0</v>
      </c>
      <c r="T147" s="3">
        <f t="shared" si="88"/>
        <v>6</v>
      </c>
      <c r="U147" s="34"/>
      <c r="V147" s="3" cm="1">
        <f t="array" ref="V147">SUMPRODUCT(--(MOD(B147:G147,10)&gt;=1), --(MOD(B147:G147,10)&lt;=5))</f>
        <v>4</v>
      </c>
      <c r="W147" s="3">
        <f t="shared" si="89"/>
        <v>2</v>
      </c>
      <c r="X147" s="34"/>
      <c r="Y147" s="3" cm="1">
        <f t="array" ref="Y147">IFERROR(COUNT(_xlfn._xlws.FILTER(B147:G147, ISNUMBER(MATCH(B147:G147, {2,3,5,7,11,13,17,19,23,29,31,37,41,43}, 0)))), 0)</f>
        <v>2</v>
      </c>
      <c r="Z147" s="3" cm="1">
        <f t="array" ref="Z147">IFERROR(COUNT(_xlfn._xlws.FILTER(B147:G147, ISNUMBER(MATCH(B147:G147, {1,4,8,10,14,16,20,22,25,26,28,32,34,35,38,40,44}, 0)))), 0)</f>
        <v>2</v>
      </c>
      <c r="AA147" s="3" cm="1">
        <f t="array" ref="AA147">IFERROR(COUNT(_xlfn._xlws.FILTER(B147:G147, ISNUMBER(MATCH(B147:G147, {6,9,12,15,18,21,24,27,30,33,36,39,42,45}, 0)))), 0)</f>
        <v>2</v>
      </c>
      <c r="AB147" s="30"/>
      <c r="AC147" s="26" t="str" cm="1">
        <f t="array" ref="AC147">_xlfn.IFS(
   OR(B147="",ISBLANK(B147),B147=0),0,
   ISNUMBER(MATCH(B147,{2,3,5,7,11,13,17,19,23,29,31,37,41,43},0)),"소",
   AND(ISNUMBER(B147),MOD(B147,3)=0),"배",
   AND(ISNUMBER(B147),B147&gt;0),"자"
)</f>
        <v>배</v>
      </c>
      <c r="AD147" s="26" t="str" cm="1">
        <f t="array" ref="AD147">_xlfn.IFS(
   OR(C147="",ISBLANK(C147),C147=0),0,
   ISNUMBER(MATCH(C147,{2,3,5,7,11,13,17,19,23,29,31,37,41,43},0)),"소",
   AND(ISNUMBER(C147),MOD(C147,3)=0),"배",
   AND(ISNUMBER(C147),C147&gt;0),"자"
)</f>
        <v>소</v>
      </c>
      <c r="AE147" s="26" t="str" cm="1">
        <f t="array" ref="AE147">_xlfn.IFS(
   OR(D147="",ISBLANK(D147),D147=0),0,
   ISNUMBER(MATCH(D147,{2,3,5,7,11,13,17,19,23,29,31,37,41,43},0)),"소",
   AND(ISNUMBER(D147),MOD(D147,3)=0),"배",
   AND(ISNUMBER(D147),D147&gt;0),"자"
)</f>
        <v>배</v>
      </c>
      <c r="AF147" s="26" t="str" cm="1">
        <f t="array" ref="AF147">_xlfn.IFS(
   OR(E147="",ISBLANK(E147),E147=0),0,
   ISNUMBER(MATCH(E147,{2,3,5,7,11,13,17,19,23,29,31,37,41,43},0)),"소",
   AND(ISNUMBER(E147),MOD(E147,3)=0),"배",
   AND(ISNUMBER(E147),E147&gt;0),"자"
)</f>
        <v>소</v>
      </c>
      <c r="AG147" s="26" t="str" cm="1">
        <f t="array" ref="AG147">_xlfn.IFS(
   OR(F147="",ISBLANK(F147),F147=0),0,
   ISNUMBER(MATCH(F147,{2,3,5,7,11,13,17,19,23,29,31,37,41,43},0)),"소",
   AND(ISNUMBER(F147),MOD(F147,3)=0),"배",
   AND(ISNUMBER(F147),F147&gt;0),"자"
)</f>
        <v>자</v>
      </c>
      <c r="AH147" s="26" t="str" cm="1">
        <f t="array" ref="AH147">_xlfn.IFS(
   OR(G147="",ISBLANK(G147),G147=0),0,
   ISNUMBER(MATCH(G147,{2,3,5,7,11,13,17,19,23,29,31,37,41,43},0)),"소",
   AND(ISNUMBER(G147),MOD(G147,3)=0),"배",
   AND(ISNUMBER(G147),G147&gt;0),"자"
)</f>
        <v>자</v>
      </c>
      <c r="AI147" s="30"/>
      <c r="AJ147" s="3">
        <f t="shared" si="90"/>
        <v>0</v>
      </c>
      <c r="AK147" s="3">
        <f t="shared" si="91"/>
        <v>4</v>
      </c>
      <c r="AL147" s="3">
        <f t="shared" si="92"/>
        <v>2</v>
      </c>
      <c r="AM147" s="33"/>
      <c r="AN147" s="3">
        <f t="shared" si="93"/>
        <v>0</v>
      </c>
      <c r="AO147" s="3">
        <f t="shared" si="94"/>
        <v>0</v>
      </c>
      <c r="AP147" s="3">
        <f t="shared" si="95"/>
        <v>1</v>
      </c>
      <c r="AQ147" s="3">
        <f t="shared" si="96"/>
        <v>4</v>
      </c>
      <c r="AR147" s="3">
        <f t="shared" si="97"/>
        <v>1</v>
      </c>
      <c r="AS147" s="28" t="e">
        <f>#REF!</f>
        <v>#REF!</v>
      </c>
      <c r="AT147" s="28" t="e">
        <f>#REF!*2</f>
        <v>#REF!</v>
      </c>
      <c r="AU147" s="28" t="e">
        <f>#REF!</f>
        <v>#REF!</v>
      </c>
      <c r="AV147" s="28" t="e">
        <f>#REF!*2</f>
        <v>#REF!</v>
      </c>
      <c r="AW147" s="28" t="e">
        <f>#REF!</f>
        <v>#REF!</v>
      </c>
      <c r="AX147" s="28" t="e">
        <f>#REF!*2</f>
        <v>#REF!</v>
      </c>
      <c r="AY147" s="28" t="e">
        <f>#REF!</f>
        <v>#REF!</v>
      </c>
      <c r="AZ147" s="28" t="e">
        <f>#REF!*2</f>
        <v>#REF!</v>
      </c>
      <c r="BA147" s="28" t="e">
        <f>#REF!</f>
        <v>#REF!</v>
      </c>
      <c r="BB147" s="28" t="e">
        <f>#REF!*2</f>
        <v>#REF!</v>
      </c>
      <c r="BC147" s="28" t="e">
        <f>#REF!</f>
        <v>#REF!</v>
      </c>
      <c r="BD147" s="28" t="e">
        <f>#REF!*2</f>
        <v>#REF!</v>
      </c>
      <c r="BE147" s="9" t="e">
        <f>#REF!-#REF!</f>
        <v>#REF!</v>
      </c>
      <c r="BF147" s="9" t="e">
        <f>#REF!-#REF!</f>
        <v>#REF!</v>
      </c>
      <c r="BG147" s="9" t="e">
        <f>#REF!-#REF!</f>
        <v>#REF!</v>
      </c>
      <c r="BH147" s="9" t="e">
        <f>#REF!-#REF!</f>
        <v>#REF!</v>
      </c>
      <c r="BI147" s="9" t="e">
        <f>#REF!-#REF!</f>
        <v>#REF!</v>
      </c>
      <c r="BJ147" s="33"/>
      <c r="BK147" s="3">
        <f t="shared" si="98"/>
        <v>0</v>
      </c>
      <c r="BL147" s="3">
        <f t="shared" si="99"/>
        <v>0</v>
      </c>
      <c r="BM147" s="3">
        <f t="shared" si="100"/>
        <v>2</v>
      </c>
      <c r="BN147" s="3">
        <f t="shared" si="101"/>
        <v>3</v>
      </c>
      <c r="BO147" s="3">
        <f t="shared" si="102"/>
        <v>1</v>
      </c>
      <c r="BP147" s="28" t="e">
        <f>#REF!</f>
        <v>#REF!</v>
      </c>
      <c r="BQ147" s="28" t="e">
        <f>#REF!*2</f>
        <v>#REF!</v>
      </c>
      <c r="BR147" s="28" t="e">
        <f>#REF!</f>
        <v>#REF!</v>
      </c>
      <c r="BS147" s="28" t="e">
        <f>#REF!*2</f>
        <v>#REF!</v>
      </c>
      <c r="BT147" s="28" t="e">
        <f>#REF!</f>
        <v>#REF!</v>
      </c>
      <c r="BU147" s="28" t="e">
        <f>#REF!*2</f>
        <v>#REF!</v>
      </c>
      <c r="BV147" s="28" t="e">
        <f>#REF!</f>
        <v>#REF!</v>
      </c>
      <c r="BW147" s="28" t="e">
        <f>#REF!*2</f>
        <v>#REF!</v>
      </c>
      <c r="BX147" s="28" t="e">
        <f>#REF!</f>
        <v>#REF!</v>
      </c>
      <c r="BY147" s="28" t="e">
        <f>#REF!*2</f>
        <v>#REF!</v>
      </c>
      <c r="BZ147" s="28" t="e">
        <f>#REF!</f>
        <v>#REF!</v>
      </c>
      <c r="CA147" s="28" t="e">
        <f>#REF!*2</f>
        <v>#REF!</v>
      </c>
      <c r="CB147" s="9">
        <f t="shared" si="103"/>
        <v>5</v>
      </c>
      <c r="CC147" s="9">
        <f t="shared" si="104"/>
        <v>1</v>
      </c>
      <c r="CD147" s="9">
        <f t="shared" si="105"/>
        <v>1</v>
      </c>
      <c r="CE147" s="9">
        <f t="shared" si="106"/>
        <v>4</v>
      </c>
      <c r="CF147" s="9">
        <f t="shared" si="107"/>
        <v>9</v>
      </c>
      <c r="CG147" s="33"/>
      <c r="CH147" s="9">
        <f t="shared" si="108"/>
        <v>5</v>
      </c>
      <c r="CI147" s="9">
        <f t="shared" si="109"/>
        <v>1</v>
      </c>
      <c r="CJ147" s="9">
        <f t="shared" si="110"/>
        <v>1</v>
      </c>
      <c r="CK147" s="9">
        <f t="shared" si="111"/>
        <v>4</v>
      </c>
      <c r="CL147" s="9">
        <f t="shared" si="112"/>
        <v>9</v>
      </c>
      <c r="CM147" s="32"/>
      <c r="CN147" s="3">
        <f t="shared" si="113"/>
        <v>1</v>
      </c>
      <c r="CO147" s="3">
        <f t="shared" si="114"/>
        <v>1</v>
      </c>
      <c r="CP147" s="3">
        <f t="shared" si="115"/>
        <v>1</v>
      </c>
      <c r="CQ147" s="3">
        <f t="shared" si="116"/>
        <v>2</v>
      </c>
      <c r="CR147" s="3">
        <f t="shared" si="117"/>
        <v>1</v>
      </c>
      <c r="CS147" s="31"/>
      <c r="CT147" s="3" cm="1">
        <f t="array" ref="CT147">SUMPRODUCT(--(MOD(CH147:CL147,2)=1))</f>
        <v>4</v>
      </c>
      <c r="CU147" s="3">
        <f t="shared" si="118"/>
        <v>1</v>
      </c>
      <c r="CV147" s="30"/>
      <c r="CW147" s="3" cm="1">
        <f t="array" ref="CW147">SUMPRODUCT(--(MOD(CH147:CL147,10)&gt;=1), --(MOD(CH147:CL147,10)&lt;=5))</f>
        <v>4</v>
      </c>
      <c r="CX147" s="3">
        <f t="shared" si="119"/>
        <v>1</v>
      </c>
      <c r="CY147" s="30"/>
      <c r="CZ147" s="3" cm="1">
        <f t="array" ref="CZ147">IFERROR(COUNT(_xlfn._xlws.FILTER(CH147:CL147, ISNUMBER(MATCH(CH147:CL147, {2,3,5,7,11,13,17,19,23,29,31,37,41,43}, 0)))), 0)</f>
        <v>1</v>
      </c>
      <c r="DA147" s="3" cm="1">
        <f t="array" ref="DA147">IFERROR(COUNT(_xlfn._xlws.FILTER(CH147:CL147, ISNUMBER(MATCH(CH147:CL147, {1,4,8,10,14,16,20,22,25,26,28,32,34,35,38,40,44}, 0)))), 0)</f>
        <v>3</v>
      </c>
      <c r="DB147" s="3" cm="1">
        <f t="array" ref="DB147">IFERROR(COUNT(_xlfn._xlws.FILTER(CH147:CL147, ISNUMBER(MATCH(CH147:CL147, {6,9,12,15,18,21,24,27,30,33,36,39,42,45}, 0)))), 0)</f>
        <v>1</v>
      </c>
      <c r="DC147" s="29"/>
      <c r="DD147" s="28" t="e">
        <f>#REF!</f>
        <v>#REF!</v>
      </c>
      <c r="DE147" s="28" t="e">
        <f>#REF!*2</f>
        <v>#REF!</v>
      </c>
      <c r="DF147" s="28" t="e">
        <f>#REF!</f>
        <v>#REF!</v>
      </c>
      <c r="DG147" s="28" t="e">
        <f>#REF!*2</f>
        <v>#REF!</v>
      </c>
      <c r="DH147" s="28" t="e">
        <f>#REF!</f>
        <v>#REF!</v>
      </c>
      <c r="DI147" s="28" t="e">
        <f>#REF!*2</f>
        <v>#REF!</v>
      </c>
      <c r="DJ147" s="28" t="e">
        <f>#REF!</f>
        <v>#REF!</v>
      </c>
      <c r="DK147" s="28" t="e">
        <f>#REF!*2</f>
        <v>#REF!</v>
      </c>
      <c r="DL147" s="28" t="e">
        <f>#REF!</f>
        <v>#REF!</v>
      </c>
      <c r="DM147" s="28" t="e">
        <f>#REF!*2</f>
        <v>#REF!</v>
      </c>
      <c r="DN147" s="27"/>
      <c r="DO147" s="26" t="str" cm="1">
        <f t="array" ref="DO147">_xlfn.IFS(
   OR(CH147="",ISBLANK(CH147),CH147=0),0,
   ISNUMBER(MATCH(CH147,{2,3,5,7,11,13,17,19,23,29,31,37,41,43},0)),"소",
   AND(ISNUMBER(CH147),MOD(CH147,3)=0),"배",
   AND(ISNUMBER(CH147),CH147&gt;0),"자"
)</f>
        <v>소</v>
      </c>
      <c r="DP147" s="26" t="str" cm="1">
        <f t="array" ref="DP147">_xlfn.IFS(
   OR(CI147="",ISBLANK(CI147),CI147=0),0,
   ISNUMBER(MATCH(CI147,{2,3,5,7,11,13,17,19,23,29,31,37,41,43},0)),"소",
   AND(ISNUMBER(CI147),MOD(CI147,3)=0),"배",
   AND(ISNUMBER(CI147),CI147&gt;0),"자"
)</f>
        <v>자</v>
      </c>
      <c r="DQ147" s="26" t="str" cm="1">
        <f t="array" ref="DQ147">_xlfn.IFS(
   OR(CJ147="",ISBLANK(CJ147),CJ147=0),0,
   ISNUMBER(MATCH(CJ147,{2,3,5,7,11,13,17,19,23,29,31,37,41,43},0)),"소",
   AND(ISNUMBER(CJ147),MOD(CJ147,3)=0),"배",
   AND(ISNUMBER(CJ147),CJ147&gt;0),"자"
)</f>
        <v>자</v>
      </c>
      <c r="DR147" s="26" t="str" cm="1">
        <f t="array" ref="DR147">_xlfn.IFS(
   OR(CK147="",ISBLANK(CK147),CK147=0),0,
   ISNUMBER(MATCH(CK147,{2,3,5,7,11,13,17,19,23,29,31,37,41,43},0)),"소",
   AND(ISNUMBER(CK147),MOD(CK147,3)=0),"배",
   AND(ISNUMBER(CK147),CK147&gt;0),"자"
)</f>
        <v>자</v>
      </c>
      <c r="DS147" s="26" t="str" cm="1">
        <f t="array" ref="DS147">_xlfn.IFS(
   OR(CL147="",ISBLANK(CL147),CL147=0),0,
   ISNUMBER(MATCH(CL147,{2,3,5,7,11,13,17,19,23,29,31,37,41,43},0)),"소",
   AND(ISNUMBER(CL147),MOD(CL147,3)=0),"배",
   AND(ISNUMBER(CL147),CL147&gt;0),"자"
)</f>
        <v>배</v>
      </c>
      <c r="DT147" s="25"/>
    </row>
    <row r="148" spans="2:124" x14ac:dyDescent="0.3">
      <c r="B148" s="3">
        <v>12</v>
      </c>
      <c r="C148" s="3">
        <v>13</v>
      </c>
      <c r="D148" s="3">
        <v>29</v>
      </c>
      <c r="E148" s="3">
        <v>34</v>
      </c>
      <c r="F148" s="3">
        <v>37</v>
      </c>
      <c r="G148" s="3">
        <v>42</v>
      </c>
      <c r="H148" s="32"/>
      <c r="I148" s="3">
        <f t="shared" si="80"/>
        <v>2</v>
      </c>
      <c r="J148" s="3">
        <f t="shared" si="81"/>
        <v>1</v>
      </c>
      <c r="K148" s="3">
        <f t="shared" si="82"/>
        <v>1</v>
      </c>
      <c r="L148" s="3">
        <f t="shared" si="83"/>
        <v>2</v>
      </c>
      <c r="M148" s="3">
        <f t="shared" si="84"/>
        <v>1</v>
      </c>
      <c r="N148" s="3">
        <f t="shared" si="85"/>
        <v>2</v>
      </c>
      <c r="O148" s="32"/>
      <c r="P148" s="3" cm="1">
        <f t="array" ref="P148">SUMPRODUCT(--(MOD(B148:G148,2)=1))</f>
        <v>3</v>
      </c>
      <c r="Q148" s="3">
        <f t="shared" si="86"/>
        <v>3</v>
      </c>
      <c r="R148" s="34"/>
      <c r="S148" s="3">
        <f t="shared" si="87"/>
        <v>2</v>
      </c>
      <c r="T148" s="3">
        <f t="shared" si="88"/>
        <v>4</v>
      </c>
      <c r="U148" s="34"/>
      <c r="V148" s="3" cm="1">
        <f t="array" ref="V148">SUMPRODUCT(--(MOD(B148:G148,10)&gt;=1), --(MOD(B148:G148,10)&lt;=5))</f>
        <v>4</v>
      </c>
      <c r="W148" s="3">
        <f t="shared" si="89"/>
        <v>2</v>
      </c>
      <c r="X148" s="34"/>
      <c r="Y148" s="3" cm="1">
        <f t="array" ref="Y148">IFERROR(COUNT(_xlfn._xlws.FILTER(B148:G148, ISNUMBER(MATCH(B148:G148, {2,3,5,7,11,13,17,19,23,29,31,37,41,43}, 0)))), 0)</f>
        <v>3</v>
      </c>
      <c r="Z148" s="3" cm="1">
        <f t="array" ref="Z148">IFERROR(COUNT(_xlfn._xlws.FILTER(B148:G148, ISNUMBER(MATCH(B148:G148, {1,4,8,10,14,16,20,22,25,26,28,32,34,35,38,40,44}, 0)))), 0)</f>
        <v>1</v>
      </c>
      <c r="AA148" s="3" cm="1">
        <f t="array" ref="AA148">IFERROR(COUNT(_xlfn._xlws.FILTER(B148:G148, ISNUMBER(MATCH(B148:G148, {6,9,12,15,18,21,24,27,30,33,36,39,42,45}, 0)))), 0)</f>
        <v>2</v>
      </c>
      <c r="AB148" s="30"/>
      <c r="AC148" s="26" t="str" cm="1">
        <f t="array" ref="AC148">_xlfn.IFS(
   OR(B148="",ISBLANK(B148),B148=0),0,
   ISNUMBER(MATCH(B148,{2,3,5,7,11,13,17,19,23,29,31,37,41,43},0)),"소",
   AND(ISNUMBER(B148),MOD(B148,3)=0),"배",
   AND(ISNUMBER(B148),B148&gt;0),"자"
)</f>
        <v>배</v>
      </c>
      <c r="AD148" s="26" t="str" cm="1">
        <f t="array" ref="AD148">_xlfn.IFS(
   OR(C148="",ISBLANK(C148),C148=0),0,
   ISNUMBER(MATCH(C148,{2,3,5,7,11,13,17,19,23,29,31,37,41,43},0)),"소",
   AND(ISNUMBER(C148),MOD(C148,3)=0),"배",
   AND(ISNUMBER(C148),C148&gt;0),"자"
)</f>
        <v>소</v>
      </c>
      <c r="AE148" s="26" t="str" cm="1">
        <f t="array" ref="AE148">_xlfn.IFS(
   OR(D148="",ISBLANK(D148),D148=0),0,
   ISNUMBER(MATCH(D148,{2,3,5,7,11,13,17,19,23,29,31,37,41,43},0)),"소",
   AND(ISNUMBER(D148),MOD(D148,3)=0),"배",
   AND(ISNUMBER(D148),D148&gt;0),"자"
)</f>
        <v>소</v>
      </c>
      <c r="AF148" s="26" t="str" cm="1">
        <f t="array" ref="AF148">_xlfn.IFS(
   OR(E148="",ISBLANK(E148),E148=0),0,
   ISNUMBER(MATCH(E148,{2,3,5,7,11,13,17,19,23,29,31,37,41,43},0)),"소",
   AND(ISNUMBER(E148),MOD(E148,3)=0),"배",
   AND(ISNUMBER(E148),E148&gt;0),"자"
)</f>
        <v>자</v>
      </c>
      <c r="AG148" s="26" t="str" cm="1">
        <f t="array" ref="AG148">_xlfn.IFS(
   OR(F148="",ISBLANK(F148),F148=0),0,
   ISNUMBER(MATCH(F148,{2,3,5,7,11,13,17,19,23,29,31,37,41,43},0)),"소",
   AND(ISNUMBER(F148),MOD(F148,3)=0),"배",
   AND(ISNUMBER(F148),F148&gt;0),"자"
)</f>
        <v>소</v>
      </c>
      <c r="AH148" s="26" t="str" cm="1">
        <f t="array" ref="AH148">_xlfn.IFS(
   OR(G148="",ISBLANK(G148),G148=0),0,
   ISNUMBER(MATCH(G148,{2,3,5,7,11,13,17,19,23,29,31,37,41,43},0)),"소",
   AND(ISNUMBER(G148),MOD(G148,3)=0),"배",
   AND(ISNUMBER(G148),G148&gt;0),"자"
)</f>
        <v>배</v>
      </c>
      <c r="AI148" s="30"/>
      <c r="AJ148" s="3">
        <f t="shared" si="90"/>
        <v>2</v>
      </c>
      <c r="AK148" s="3">
        <f t="shared" si="91"/>
        <v>1</v>
      </c>
      <c r="AL148" s="3">
        <f t="shared" si="92"/>
        <v>3</v>
      </c>
      <c r="AM148" s="33"/>
      <c r="AN148" s="3">
        <f t="shared" si="93"/>
        <v>0</v>
      </c>
      <c r="AO148" s="3">
        <f t="shared" si="94"/>
        <v>2</v>
      </c>
      <c r="AP148" s="3">
        <f t="shared" si="95"/>
        <v>0</v>
      </c>
      <c r="AQ148" s="3">
        <f t="shared" si="96"/>
        <v>2</v>
      </c>
      <c r="AR148" s="3">
        <f t="shared" si="97"/>
        <v>2</v>
      </c>
      <c r="AS148" s="28" t="e">
        <f>#REF!</f>
        <v>#REF!</v>
      </c>
      <c r="AT148" s="28" t="e">
        <f>#REF!*2</f>
        <v>#REF!</v>
      </c>
      <c r="AU148" s="28" t="e">
        <f>#REF!</f>
        <v>#REF!</v>
      </c>
      <c r="AV148" s="28" t="e">
        <f>#REF!*2</f>
        <v>#REF!</v>
      </c>
      <c r="AW148" s="28" t="e">
        <f>#REF!</f>
        <v>#REF!</v>
      </c>
      <c r="AX148" s="28" t="e">
        <f>#REF!*2</f>
        <v>#REF!</v>
      </c>
      <c r="AY148" s="28" t="e">
        <f>#REF!</f>
        <v>#REF!</v>
      </c>
      <c r="AZ148" s="28" t="e">
        <f>#REF!*2</f>
        <v>#REF!</v>
      </c>
      <c r="BA148" s="28" t="e">
        <f>#REF!</f>
        <v>#REF!</v>
      </c>
      <c r="BB148" s="28" t="e">
        <f>#REF!*2</f>
        <v>#REF!</v>
      </c>
      <c r="BC148" s="28" t="e">
        <f>#REF!</f>
        <v>#REF!</v>
      </c>
      <c r="BD148" s="28" t="e">
        <f>#REF!*2</f>
        <v>#REF!</v>
      </c>
      <c r="BE148" s="9" t="e">
        <f>#REF!-#REF!</f>
        <v>#REF!</v>
      </c>
      <c r="BF148" s="9" t="e">
        <f>#REF!-#REF!</f>
        <v>#REF!</v>
      </c>
      <c r="BG148" s="9" t="e">
        <f>#REF!-#REF!</f>
        <v>#REF!</v>
      </c>
      <c r="BH148" s="9" t="e">
        <f>#REF!-#REF!</f>
        <v>#REF!</v>
      </c>
      <c r="BI148" s="9" t="e">
        <f>#REF!-#REF!</f>
        <v>#REF!</v>
      </c>
      <c r="BJ148" s="33"/>
      <c r="BK148" s="3">
        <f t="shared" si="98"/>
        <v>0</v>
      </c>
      <c r="BL148" s="3">
        <f t="shared" si="99"/>
        <v>2</v>
      </c>
      <c r="BM148" s="3">
        <f t="shared" si="100"/>
        <v>1</v>
      </c>
      <c r="BN148" s="3">
        <f t="shared" si="101"/>
        <v>2</v>
      </c>
      <c r="BO148" s="3">
        <f t="shared" si="102"/>
        <v>1</v>
      </c>
      <c r="BP148" s="28" t="e">
        <f>#REF!</f>
        <v>#REF!</v>
      </c>
      <c r="BQ148" s="28" t="e">
        <f>#REF!*2</f>
        <v>#REF!</v>
      </c>
      <c r="BR148" s="28" t="e">
        <f>#REF!</f>
        <v>#REF!</v>
      </c>
      <c r="BS148" s="28" t="e">
        <f>#REF!*2</f>
        <v>#REF!</v>
      </c>
      <c r="BT148" s="28" t="e">
        <f>#REF!</f>
        <v>#REF!</v>
      </c>
      <c r="BU148" s="28" t="e">
        <f>#REF!*2</f>
        <v>#REF!</v>
      </c>
      <c r="BV148" s="28" t="e">
        <f>#REF!</f>
        <v>#REF!</v>
      </c>
      <c r="BW148" s="28" t="e">
        <f>#REF!*2</f>
        <v>#REF!</v>
      </c>
      <c r="BX148" s="28" t="e">
        <f>#REF!</f>
        <v>#REF!</v>
      </c>
      <c r="BY148" s="28" t="e">
        <f>#REF!*2</f>
        <v>#REF!</v>
      </c>
      <c r="BZ148" s="28" t="e">
        <f>#REF!</f>
        <v>#REF!</v>
      </c>
      <c r="CA148" s="28" t="e">
        <f>#REF!*2</f>
        <v>#REF!</v>
      </c>
      <c r="CB148" s="9">
        <f t="shared" si="103"/>
        <v>1</v>
      </c>
      <c r="CC148" s="9">
        <f t="shared" si="104"/>
        <v>16</v>
      </c>
      <c r="CD148" s="9">
        <f t="shared" si="105"/>
        <v>5</v>
      </c>
      <c r="CE148" s="9">
        <f t="shared" si="106"/>
        <v>3</v>
      </c>
      <c r="CF148" s="9">
        <f t="shared" si="107"/>
        <v>5</v>
      </c>
      <c r="CG148" s="33"/>
      <c r="CH148" s="9">
        <f t="shared" si="108"/>
        <v>1</v>
      </c>
      <c r="CI148" s="9">
        <f t="shared" si="109"/>
        <v>16</v>
      </c>
      <c r="CJ148" s="9">
        <f t="shared" si="110"/>
        <v>5</v>
      </c>
      <c r="CK148" s="9">
        <f t="shared" si="111"/>
        <v>3</v>
      </c>
      <c r="CL148" s="9">
        <f t="shared" si="112"/>
        <v>5</v>
      </c>
      <c r="CM148" s="32"/>
      <c r="CN148" s="3">
        <f t="shared" si="113"/>
        <v>1</v>
      </c>
      <c r="CO148" s="3">
        <f t="shared" si="114"/>
        <v>2</v>
      </c>
      <c r="CP148" s="3">
        <f t="shared" si="115"/>
        <v>1</v>
      </c>
      <c r="CQ148" s="3">
        <f t="shared" si="116"/>
        <v>1</v>
      </c>
      <c r="CR148" s="3">
        <f t="shared" si="117"/>
        <v>1</v>
      </c>
      <c r="CS148" s="31"/>
      <c r="CT148" s="3" cm="1">
        <f t="array" ref="CT148">SUMPRODUCT(--(MOD(CH148:CL148,2)=1))</f>
        <v>4</v>
      </c>
      <c r="CU148" s="3">
        <f t="shared" si="118"/>
        <v>1</v>
      </c>
      <c r="CV148" s="30"/>
      <c r="CW148" s="3" cm="1">
        <f t="array" ref="CW148">SUMPRODUCT(--(MOD(CH148:CL148,10)&gt;=1), --(MOD(CH148:CL148,10)&lt;=5))</f>
        <v>4</v>
      </c>
      <c r="CX148" s="3">
        <f t="shared" si="119"/>
        <v>1</v>
      </c>
      <c r="CY148" s="30"/>
      <c r="CZ148" s="3" cm="1">
        <f t="array" ref="CZ148">IFERROR(COUNT(_xlfn._xlws.FILTER(CH148:CL148, ISNUMBER(MATCH(CH148:CL148, {2,3,5,7,11,13,17,19,23,29,31,37,41,43}, 0)))), 0)</f>
        <v>3</v>
      </c>
      <c r="DA148" s="3" cm="1">
        <f t="array" ref="DA148">IFERROR(COUNT(_xlfn._xlws.FILTER(CH148:CL148, ISNUMBER(MATCH(CH148:CL148, {1,4,8,10,14,16,20,22,25,26,28,32,34,35,38,40,44}, 0)))), 0)</f>
        <v>2</v>
      </c>
      <c r="DB148" s="3" cm="1">
        <f t="array" ref="DB148">IFERROR(COUNT(_xlfn._xlws.FILTER(CH148:CL148, ISNUMBER(MATCH(CH148:CL148, {6,9,12,15,18,21,24,27,30,33,36,39,42,45}, 0)))), 0)</f>
        <v>0</v>
      </c>
      <c r="DC148" s="29"/>
      <c r="DD148" s="28" t="e">
        <f>#REF!</f>
        <v>#REF!</v>
      </c>
      <c r="DE148" s="28" t="e">
        <f>#REF!*2</f>
        <v>#REF!</v>
      </c>
      <c r="DF148" s="28" t="e">
        <f>#REF!</f>
        <v>#REF!</v>
      </c>
      <c r="DG148" s="28" t="e">
        <f>#REF!*2</f>
        <v>#REF!</v>
      </c>
      <c r="DH148" s="28" t="e">
        <f>#REF!</f>
        <v>#REF!</v>
      </c>
      <c r="DI148" s="28" t="e">
        <f>#REF!*2</f>
        <v>#REF!</v>
      </c>
      <c r="DJ148" s="28" t="e">
        <f>#REF!</f>
        <v>#REF!</v>
      </c>
      <c r="DK148" s="28" t="e">
        <f>#REF!*2</f>
        <v>#REF!</v>
      </c>
      <c r="DL148" s="28" t="e">
        <f>#REF!</f>
        <v>#REF!</v>
      </c>
      <c r="DM148" s="28" t="e">
        <f>#REF!*2</f>
        <v>#REF!</v>
      </c>
      <c r="DN148" s="27"/>
      <c r="DO148" s="26" t="str" cm="1">
        <f t="array" ref="DO148">_xlfn.IFS(
   OR(CH148="",ISBLANK(CH148),CH148=0),0,
   ISNUMBER(MATCH(CH148,{2,3,5,7,11,13,17,19,23,29,31,37,41,43},0)),"소",
   AND(ISNUMBER(CH148),MOD(CH148,3)=0),"배",
   AND(ISNUMBER(CH148),CH148&gt;0),"자"
)</f>
        <v>자</v>
      </c>
      <c r="DP148" s="26" t="str" cm="1">
        <f t="array" ref="DP148">_xlfn.IFS(
   OR(CI148="",ISBLANK(CI148),CI148=0),0,
   ISNUMBER(MATCH(CI148,{2,3,5,7,11,13,17,19,23,29,31,37,41,43},0)),"소",
   AND(ISNUMBER(CI148),MOD(CI148,3)=0),"배",
   AND(ISNUMBER(CI148),CI148&gt;0),"자"
)</f>
        <v>자</v>
      </c>
      <c r="DQ148" s="26" t="str" cm="1">
        <f t="array" ref="DQ148">_xlfn.IFS(
   OR(CJ148="",ISBLANK(CJ148),CJ148=0),0,
   ISNUMBER(MATCH(CJ148,{2,3,5,7,11,13,17,19,23,29,31,37,41,43},0)),"소",
   AND(ISNUMBER(CJ148),MOD(CJ148,3)=0),"배",
   AND(ISNUMBER(CJ148),CJ148&gt;0),"자"
)</f>
        <v>소</v>
      </c>
      <c r="DR148" s="26" t="str" cm="1">
        <f t="array" ref="DR148">_xlfn.IFS(
   OR(CK148="",ISBLANK(CK148),CK148=0),0,
   ISNUMBER(MATCH(CK148,{2,3,5,7,11,13,17,19,23,29,31,37,41,43},0)),"소",
   AND(ISNUMBER(CK148),MOD(CK148,3)=0),"배",
   AND(ISNUMBER(CK148),CK148&gt;0),"자"
)</f>
        <v>소</v>
      </c>
      <c r="DS148" s="26" t="str" cm="1">
        <f t="array" ref="DS148">_xlfn.IFS(
   OR(CL148="",ISBLANK(CL148),CL148=0),0,
   ISNUMBER(MATCH(CL148,{2,3,5,7,11,13,17,19,23,29,31,37,41,43},0)),"소",
   AND(ISNUMBER(CL148),MOD(CL148,3)=0),"배",
   AND(ISNUMBER(CL148),CL148&gt;0),"자"
)</f>
        <v>소</v>
      </c>
      <c r="DT148" s="25"/>
    </row>
    <row r="149" spans="2:124" x14ac:dyDescent="0.3">
      <c r="B149" s="3">
        <v>3</v>
      </c>
      <c r="C149" s="3">
        <v>8</v>
      </c>
      <c r="D149" s="3">
        <v>9</v>
      </c>
      <c r="E149" s="3">
        <v>22</v>
      </c>
      <c r="F149" s="3">
        <v>28</v>
      </c>
      <c r="G149" s="3">
        <v>42</v>
      </c>
      <c r="H149" s="32"/>
      <c r="I149" s="3">
        <f t="shared" si="80"/>
        <v>1</v>
      </c>
      <c r="J149" s="3">
        <f t="shared" si="81"/>
        <v>2</v>
      </c>
      <c r="K149" s="3">
        <f t="shared" si="82"/>
        <v>1</v>
      </c>
      <c r="L149" s="3">
        <f t="shared" si="83"/>
        <v>2</v>
      </c>
      <c r="M149" s="3">
        <f t="shared" si="84"/>
        <v>2</v>
      </c>
      <c r="N149" s="3">
        <f t="shared" si="85"/>
        <v>2</v>
      </c>
      <c r="O149" s="32"/>
      <c r="P149" s="3" cm="1">
        <f t="array" ref="P149">SUMPRODUCT(--(MOD(B149:G149,2)=1))</f>
        <v>2</v>
      </c>
      <c r="Q149" s="3">
        <f t="shared" si="86"/>
        <v>4</v>
      </c>
      <c r="R149" s="34"/>
      <c r="S149" s="3">
        <f t="shared" si="87"/>
        <v>4</v>
      </c>
      <c r="T149" s="3">
        <f t="shared" si="88"/>
        <v>2</v>
      </c>
      <c r="U149" s="34"/>
      <c r="V149" s="3" cm="1">
        <f t="array" ref="V149">SUMPRODUCT(--(MOD(B149:G149,10)&gt;=1), --(MOD(B149:G149,10)&lt;=5))</f>
        <v>3</v>
      </c>
      <c r="W149" s="3">
        <f t="shared" si="89"/>
        <v>3</v>
      </c>
      <c r="X149" s="34"/>
      <c r="Y149" s="3" cm="1">
        <f t="array" ref="Y149">IFERROR(COUNT(_xlfn._xlws.FILTER(B149:G149, ISNUMBER(MATCH(B149:G149, {2,3,5,7,11,13,17,19,23,29,31,37,41,43}, 0)))), 0)</f>
        <v>1</v>
      </c>
      <c r="Z149" s="3" cm="1">
        <f t="array" ref="Z149">IFERROR(COUNT(_xlfn._xlws.FILTER(B149:G149, ISNUMBER(MATCH(B149:G149, {1,4,8,10,14,16,20,22,25,26,28,32,34,35,38,40,44}, 0)))), 0)</f>
        <v>3</v>
      </c>
      <c r="AA149" s="3" cm="1">
        <f t="array" ref="AA149">IFERROR(COUNT(_xlfn._xlws.FILTER(B149:G149, ISNUMBER(MATCH(B149:G149, {6,9,12,15,18,21,24,27,30,33,36,39,42,45}, 0)))), 0)</f>
        <v>2</v>
      </c>
      <c r="AB149" s="30"/>
      <c r="AC149" s="26" t="str" cm="1">
        <f t="array" ref="AC149">_xlfn.IFS(
   OR(B149="",ISBLANK(B149),B149=0),0,
   ISNUMBER(MATCH(B149,{2,3,5,7,11,13,17,19,23,29,31,37,41,43},0)),"소",
   AND(ISNUMBER(B149),MOD(B149,3)=0),"배",
   AND(ISNUMBER(B149),B149&gt;0),"자"
)</f>
        <v>소</v>
      </c>
      <c r="AD149" s="26" t="str" cm="1">
        <f t="array" ref="AD149">_xlfn.IFS(
   OR(C149="",ISBLANK(C149),C149=0),0,
   ISNUMBER(MATCH(C149,{2,3,5,7,11,13,17,19,23,29,31,37,41,43},0)),"소",
   AND(ISNUMBER(C149),MOD(C149,3)=0),"배",
   AND(ISNUMBER(C149),C149&gt;0),"자"
)</f>
        <v>자</v>
      </c>
      <c r="AE149" s="26" t="str" cm="1">
        <f t="array" ref="AE149">_xlfn.IFS(
   OR(D149="",ISBLANK(D149),D149=0),0,
   ISNUMBER(MATCH(D149,{2,3,5,7,11,13,17,19,23,29,31,37,41,43},0)),"소",
   AND(ISNUMBER(D149),MOD(D149,3)=0),"배",
   AND(ISNUMBER(D149),D149&gt;0),"자"
)</f>
        <v>배</v>
      </c>
      <c r="AF149" s="26" t="str" cm="1">
        <f t="array" ref="AF149">_xlfn.IFS(
   OR(E149="",ISBLANK(E149),E149=0),0,
   ISNUMBER(MATCH(E149,{2,3,5,7,11,13,17,19,23,29,31,37,41,43},0)),"소",
   AND(ISNUMBER(E149),MOD(E149,3)=0),"배",
   AND(ISNUMBER(E149),E149&gt;0),"자"
)</f>
        <v>자</v>
      </c>
      <c r="AG149" s="26" t="str" cm="1">
        <f t="array" ref="AG149">_xlfn.IFS(
   OR(F149="",ISBLANK(F149),F149=0),0,
   ISNUMBER(MATCH(F149,{2,3,5,7,11,13,17,19,23,29,31,37,41,43},0)),"소",
   AND(ISNUMBER(F149),MOD(F149,3)=0),"배",
   AND(ISNUMBER(F149),F149&gt;0),"자"
)</f>
        <v>자</v>
      </c>
      <c r="AH149" s="26" t="str" cm="1">
        <f t="array" ref="AH149">_xlfn.IFS(
   OR(G149="",ISBLANK(G149),G149=0),0,
   ISNUMBER(MATCH(G149,{2,3,5,7,11,13,17,19,23,29,31,37,41,43},0)),"소",
   AND(ISNUMBER(G149),MOD(G149,3)=0),"배",
   AND(ISNUMBER(G149),G149&gt;0),"자"
)</f>
        <v>배</v>
      </c>
      <c r="AI149" s="30"/>
      <c r="AJ149" s="3">
        <f t="shared" si="90"/>
        <v>3</v>
      </c>
      <c r="AK149" s="3">
        <f t="shared" si="91"/>
        <v>2</v>
      </c>
      <c r="AL149" s="3">
        <f t="shared" si="92"/>
        <v>1</v>
      </c>
      <c r="AM149" s="33"/>
      <c r="AN149" s="3">
        <f t="shared" si="93"/>
        <v>3</v>
      </c>
      <c r="AO149" s="3">
        <f t="shared" si="94"/>
        <v>0</v>
      </c>
      <c r="AP149" s="3">
        <f t="shared" si="95"/>
        <v>1</v>
      </c>
      <c r="AQ149" s="3">
        <f t="shared" si="96"/>
        <v>1</v>
      </c>
      <c r="AR149" s="3">
        <f t="shared" si="97"/>
        <v>1</v>
      </c>
      <c r="AS149" s="28" t="e">
        <f>#REF!</f>
        <v>#REF!</v>
      </c>
      <c r="AT149" s="28" t="e">
        <f>#REF!*2</f>
        <v>#REF!</v>
      </c>
      <c r="AU149" s="28" t="e">
        <f>#REF!</f>
        <v>#REF!</v>
      </c>
      <c r="AV149" s="28" t="e">
        <f>#REF!*2</f>
        <v>#REF!</v>
      </c>
      <c r="AW149" s="28" t="e">
        <f>#REF!</f>
        <v>#REF!</v>
      </c>
      <c r="AX149" s="28" t="e">
        <f>#REF!*2</f>
        <v>#REF!</v>
      </c>
      <c r="AY149" s="28" t="e">
        <f>#REF!</f>
        <v>#REF!</v>
      </c>
      <c r="AZ149" s="28" t="e">
        <f>#REF!*2</f>
        <v>#REF!</v>
      </c>
      <c r="BA149" s="28" t="e">
        <f>#REF!</f>
        <v>#REF!</v>
      </c>
      <c r="BB149" s="28" t="e">
        <f>#REF!*2</f>
        <v>#REF!</v>
      </c>
      <c r="BC149" s="28" t="e">
        <f>#REF!</f>
        <v>#REF!</v>
      </c>
      <c r="BD149" s="28" t="e">
        <f>#REF!*2</f>
        <v>#REF!</v>
      </c>
      <c r="BE149" s="9" t="e">
        <f>#REF!-#REF!</f>
        <v>#REF!</v>
      </c>
      <c r="BF149" s="9" t="e">
        <f>#REF!-#REF!</f>
        <v>#REF!</v>
      </c>
      <c r="BG149" s="9" t="e">
        <f>#REF!-#REF!</f>
        <v>#REF!</v>
      </c>
      <c r="BH149" s="9" t="e">
        <f>#REF!-#REF!</f>
        <v>#REF!</v>
      </c>
      <c r="BI149" s="9" t="e">
        <f>#REF!-#REF!</f>
        <v>#REF!</v>
      </c>
      <c r="BJ149" s="33"/>
      <c r="BK149" s="3">
        <f t="shared" si="98"/>
        <v>3</v>
      </c>
      <c r="BL149" s="3">
        <f t="shared" si="99"/>
        <v>0</v>
      </c>
      <c r="BM149" s="3">
        <f t="shared" si="100"/>
        <v>2</v>
      </c>
      <c r="BN149" s="3">
        <f t="shared" si="101"/>
        <v>0</v>
      </c>
      <c r="BO149" s="3">
        <f t="shared" si="102"/>
        <v>1</v>
      </c>
      <c r="BP149" s="28" t="e">
        <f>#REF!</f>
        <v>#REF!</v>
      </c>
      <c r="BQ149" s="28" t="e">
        <f>#REF!*2</f>
        <v>#REF!</v>
      </c>
      <c r="BR149" s="28" t="e">
        <f>#REF!</f>
        <v>#REF!</v>
      </c>
      <c r="BS149" s="28" t="e">
        <f>#REF!*2</f>
        <v>#REF!</v>
      </c>
      <c r="BT149" s="28" t="e">
        <f>#REF!</f>
        <v>#REF!</v>
      </c>
      <c r="BU149" s="28" t="e">
        <f>#REF!*2</f>
        <v>#REF!</v>
      </c>
      <c r="BV149" s="28" t="e">
        <f>#REF!</f>
        <v>#REF!</v>
      </c>
      <c r="BW149" s="28" t="e">
        <f>#REF!*2</f>
        <v>#REF!</v>
      </c>
      <c r="BX149" s="28" t="e">
        <f>#REF!</f>
        <v>#REF!</v>
      </c>
      <c r="BY149" s="28" t="e">
        <f>#REF!*2</f>
        <v>#REF!</v>
      </c>
      <c r="BZ149" s="28" t="e">
        <f>#REF!</f>
        <v>#REF!</v>
      </c>
      <c r="CA149" s="28" t="e">
        <f>#REF!*2</f>
        <v>#REF!</v>
      </c>
      <c r="CB149" s="9">
        <f t="shared" si="103"/>
        <v>5</v>
      </c>
      <c r="CC149" s="9">
        <f t="shared" si="104"/>
        <v>1</v>
      </c>
      <c r="CD149" s="9">
        <f t="shared" si="105"/>
        <v>13</v>
      </c>
      <c r="CE149" s="9">
        <f t="shared" si="106"/>
        <v>6</v>
      </c>
      <c r="CF149" s="9">
        <f t="shared" si="107"/>
        <v>14</v>
      </c>
      <c r="CG149" s="33"/>
      <c r="CH149" s="9">
        <f t="shared" si="108"/>
        <v>5</v>
      </c>
      <c r="CI149" s="9">
        <f t="shared" si="109"/>
        <v>1</v>
      </c>
      <c r="CJ149" s="9">
        <f t="shared" si="110"/>
        <v>13</v>
      </c>
      <c r="CK149" s="9">
        <f t="shared" si="111"/>
        <v>6</v>
      </c>
      <c r="CL149" s="9">
        <f t="shared" si="112"/>
        <v>14</v>
      </c>
      <c r="CM149" s="32"/>
      <c r="CN149" s="3">
        <f t="shared" si="113"/>
        <v>1</v>
      </c>
      <c r="CO149" s="3">
        <f t="shared" si="114"/>
        <v>1</v>
      </c>
      <c r="CP149" s="3">
        <f t="shared" si="115"/>
        <v>1</v>
      </c>
      <c r="CQ149" s="3">
        <f t="shared" si="116"/>
        <v>2</v>
      </c>
      <c r="CR149" s="3">
        <f t="shared" si="117"/>
        <v>2</v>
      </c>
      <c r="CS149" s="31"/>
      <c r="CT149" s="3" cm="1">
        <f t="array" ref="CT149">SUMPRODUCT(--(MOD(CH149:CL149,2)=1))</f>
        <v>3</v>
      </c>
      <c r="CU149" s="3">
        <f t="shared" si="118"/>
        <v>2</v>
      </c>
      <c r="CV149" s="30"/>
      <c r="CW149" s="3" cm="1">
        <f t="array" ref="CW149">SUMPRODUCT(--(MOD(CH149:CL149,10)&gt;=1), --(MOD(CH149:CL149,10)&lt;=5))</f>
        <v>4</v>
      </c>
      <c r="CX149" s="3">
        <f t="shared" si="119"/>
        <v>1</v>
      </c>
      <c r="CY149" s="30"/>
      <c r="CZ149" s="3" cm="1">
        <f t="array" ref="CZ149">IFERROR(COUNT(_xlfn._xlws.FILTER(CH149:CL149, ISNUMBER(MATCH(CH149:CL149, {2,3,5,7,11,13,17,19,23,29,31,37,41,43}, 0)))), 0)</f>
        <v>2</v>
      </c>
      <c r="DA149" s="3" cm="1">
        <f t="array" ref="DA149">IFERROR(COUNT(_xlfn._xlws.FILTER(CH149:CL149, ISNUMBER(MATCH(CH149:CL149, {1,4,8,10,14,16,20,22,25,26,28,32,34,35,38,40,44}, 0)))), 0)</f>
        <v>2</v>
      </c>
      <c r="DB149" s="3" cm="1">
        <f t="array" ref="DB149">IFERROR(COUNT(_xlfn._xlws.FILTER(CH149:CL149, ISNUMBER(MATCH(CH149:CL149, {6,9,12,15,18,21,24,27,30,33,36,39,42,45}, 0)))), 0)</f>
        <v>1</v>
      </c>
      <c r="DC149" s="29"/>
      <c r="DD149" s="28" t="e">
        <f>#REF!</f>
        <v>#REF!</v>
      </c>
      <c r="DE149" s="28" t="e">
        <f>#REF!*2</f>
        <v>#REF!</v>
      </c>
      <c r="DF149" s="28" t="e">
        <f>#REF!</f>
        <v>#REF!</v>
      </c>
      <c r="DG149" s="28" t="e">
        <f>#REF!*2</f>
        <v>#REF!</v>
      </c>
      <c r="DH149" s="28" t="e">
        <f>#REF!</f>
        <v>#REF!</v>
      </c>
      <c r="DI149" s="28" t="e">
        <f>#REF!*2</f>
        <v>#REF!</v>
      </c>
      <c r="DJ149" s="28" t="e">
        <f>#REF!</f>
        <v>#REF!</v>
      </c>
      <c r="DK149" s="28" t="e">
        <f>#REF!*2</f>
        <v>#REF!</v>
      </c>
      <c r="DL149" s="28" t="e">
        <f>#REF!</f>
        <v>#REF!</v>
      </c>
      <c r="DM149" s="28" t="e">
        <f>#REF!*2</f>
        <v>#REF!</v>
      </c>
      <c r="DN149" s="27"/>
      <c r="DO149" s="26" t="str" cm="1">
        <f t="array" ref="DO149">_xlfn.IFS(
   OR(CH149="",ISBLANK(CH149),CH149=0),0,
   ISNUMBER(MATCH(CH149,{2,3,5,7,11,13,17,19,23,29,31,37,41,43},0)),"소",
   AND(ISNUMBER(CH149),MOD(CH149,3)=0),"배",
   AND(ISNUMBER(CH149),CH149&gt;0),"자"
)</f>
        <v>소</v>
      </c>
      <c r="DP149" s="26" t="str" cm="1">
        <f t="array" ref="DP149">_xlfn.IFS(
   OR(CI149="",ISBLANK(CI149),CI149=0),0,
   ISNUMBER(MATCH(CI149,{2,3,5,7,11,13,17,19,23,29,31,37,41,43},0)),"소",
   AND(ISNUMBER(CI149),MOD(CI149,3)=0),"배",
   AND(ISNUMBER(CI149),CI149&gt;0),"자"
)</f>
        <v>자</v>
      </c>
      <c r="DQ149" s="26" t="str" cm="1">
        <f t="array" ref="DQ149">_xlfn.IFS(
   OR(CJ149="",ISBLANK(CJ149),CJ149=0),0,
   ISNUMBER(MATCH(CJ149,{2,3,5,7,11,13,17,19,23,29,31,37,41,43},0)),"소",
   AND(ISNUMBER(CJ149),MOD(CJ149,3)=0),"배",
   AND(ISNUMBER(CJ149),CJ149&gt;0),"자"
)</f>
        <v>소</v>
      </c>
      <c r="DR149" s="26" t="str" cm="1">
        <f t="array" ref="DR149">_xlfn.IFS(
   OR(CK149="",ISBLANK(CK149),CK149=0),0,
   ISNUMBER(MATCH(CK149,{2,3,5,7,11,13,17,19,23,29,31,37,41,43},0)),"소",
   AND(ISNUMBER(CK149),MOD(CK149,3)=0),"배",
   AND(ISNUMBER(CK149),CK149&gt;0),"자"
)</f>
        <v>배</v>
      </c>
      <c r="DS149" s="26" t="str" cm="1">
        <f t="array" ref="DS149">_xlfn.IFS(
   OR(CL149="",ISBLANK(CL149),CL149=0),0,
   ISNUMBER(MATCH(CL149,{2,3,5,7,11,13,17,19,23,29,31,37,41,43},0)),"소",
   AND(ISNUMBER(CL149),MOD(CL149,3)=0),"배",
   AND(ISNUMBER(CL149),CL149&gt;0),"자"
)</f>
        <v>자</v>
      </c>
      <c r="DT149" s="25"/>
    </row>
    <row r="150" spans="2:124" x14ac:dyDescent="0.3"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2"/>
      <c r="I150" s="3">
        <f t="shared" si="80"/>
        <v>0</v>
      </c>
      <c r="J150" s="3">
        <f t="shared" si="81"/>
        <v>0</v>
      </c>
      <c r="K150" s="3">
        <f t="shared" si="82"/>
        <v>0</v>
      </c>
      <c r="L150" s="3">
        <f t="shared" si="83"/>
        <v>0</v>
      </c>
      <c r="M150" s="3">
        <f t="shared" si="84"/>
        <v>0</v>
      </c>
      <c r="N150" s="3">
        <f t="shared" si="85"/>
        <v>0</v>
      </c>
      <c r="O150" s="32"/>
      <c r="P150" s="3" cm="1">
        <f t="array" ref="P150">SUMPRODUCT(--(MOD(B150:G150,2)=1))</f>
        <v>0</v>
      </c>
      <c r="Q150" s="3">
        <f t="shared" si="86"/>
        <v>6</v>
      </c>
      <c r="R150" s="34"/>
      <c r="S150" s="3">
        <f t="shared" si="87"/>
        <v>0</v>
      </c>
      <c r="T150" s="3">
        <f t="shared" si="88"/>
        <v>6</v>
      </c>
      <c r="U150" s="34"/>
      <c r="V150" s="3" cm="1">
        <f t="array" ref="V150">SUMPRODUCT(--(MOD(B150:G150,10)&gt;=1), --(MOD(B150:G150,10)&lt;=5))</f>
        <v>0</v>
      </c>
      <c r="W150" s="3">
        <f t="shared" si="89"/>
        <v>6</v>
      </c>
      <c r="X150" s="34"/>
      <c r="Y150" s="3" cm="1">
        <f t="array" ref="Y150">IFERROR(COUNT(_xlfn._xlws.FILTER(B150:G150, ISNUMBER(MATCH(B150:G150, {2,3,5,7,11,13,17,19,23,29,31,37,41,43}, 0)))), 0)</f>
        <v>0</v>
      </c>
      <c r="Z150" s="3" cm="1">
        <f t="array" ref="Z150">IFERROR(COUNT(_xlfn._xlws.FILTER(B150:G150, ISNUMBER(MATCH(B150:G150, {1,4,8,10,14,16,20,22,25,26,28,32,34,35,38,40,44}, 0)))), 0)</f>
        <v>0</v>
      </c>
      <c r="AA150" s="3" cm="1">
        <f t="array" ref="AA150">IFERROR(COUNT(_xlfn._xlws.FILTER(B150:G150, ISNUMBER(MATCH(B150:G150, {6,9,12,15,18,21,24,27,30,33,36,39,42,45}, 0)))), 0)</f>
        <v>0</v>
      </c>
      <c r="AB150" s="30"/>
      <c r="AC150" s="26" cm="1">
        <f t="array" ref="AC150">_xlfn.IFS(
   OR(B150="",ISBLANK(B150),B150=0),0,
   ISNUMBER(MATCH(B150,{2,3,5,7,11,13,17,19,23,29,31,37,41,43},0)),"소",
   AND(ISNUMBER(B150),MOD(B150,3)=0),"배",
   AND(ISNUMBER(B150),B150&gt;0),"자"
)</f>
        <v>0</v>
      </c>
      <c r="AD150" s="26" cm="1">
        <f t="array" ref="AD150">_xlfn.IFS(
   OR(C150="",ISBLANK(C150),C150=0),0,
   ISNUMBER(MATCH(C150,{2,3,5,7,11,13,17,19,23,29,31,37,41,43},0)),"소",
   AND(ISNUMBER(C150),MOD(C150,3)=0),"배",
   AND(ISNUMBER(C150),C150&gt;0),"자"
)</f>
        <v>0</v>
      </c>
      <c r="AE150" s="26" cm="1">
        <f t="array" ref="AE150">_xlfn.IFS(
   OR(D150="",ISBLANK(D150),D150=0),0,
   ISNUMBER(MATCH(D150,{2,3,5,7,11,13,17,19,23,29,31,37,41,43},0)),"소",
   AND(ISNUMBER(D150),MOD(D150,3)=0),"배",
   AND(ISNUMBER(D150),D150&gt;0),"자"
)</f>
        <v>0</v>
      </c>
      <c r="AF150" s="26" cm="1">
        <f t="array" ref="AF150">_xlfn.IFS(
   OR(E150="",ISBLANK(E150),E150=0),0,
   ISNUMBER(MATCH(E150,{2,3,5,7,11,13,17,19,23,29,31,37,41,43},0)),"소",
   AND(ISNUMBER(E150),MOD(E150,3)=0),"배",
   AND(ISNUMBER(E150),E150&gt;0),"자"
)</f>
        <v>0</v>
      </c>
      <c r="AG150" s="26" cm="1">
        <f t="array" ref="AG150">_xlfn.IFS(
   OR(F150="",ISBLANK(F150),F150=0),0,
   ISNUMBER(MATCH(F150,{2,3,5,7,11,13,17,19,23,29,31,37,41,43},0)),"소",
   AND(ISNUMBER(F150),MOD(F150,3)=0),"배",
   AND(ISNUMBER(F150),F150&gt;0),"자"
)</f>
        <v>0</v>
      </c>
      <c r="AH150" s="26" cm="1">
        <f t="array" ref="AH150">_xlfn.IFS(
   OR(G150="",ISBLANK(G150),G150=0),0,
   ISNUMBER(MATCH(G150,{2,3,5,7,11,13,17,19,23,29,31,37,41,43},0)),"소",
   AND(ISNUMBER(G150),MOD(G150,3)=0),"배",
   AND(ISNUMBER(G150),G150&gt;0),"자"
)</f>
        <v>0</v>
      </c>
      <c r="AI150" s="30"/>
      <c r="AJ150" s="3">
        <f t="shared" si="90"/>
        <v>0</v>
      </c>
      <c r="AK150" s="3">
        <f t="shared" si="91"/>
        <v>0</v>
      </c>
      <c r="AL150" s="3">
        <f t="shared" si="92"/>
        <v>6</v>
      </c>
      <c r="AM150" s="33"/>
      <c r="AN150" s="3">
        <f t="shared" si="93"/>
        <v>0</v>
      </c>
      <c r="AO150" s="3">
        <f t="shared" si="94"/>
        <v>0</v>
      </c>
      <c r="AP150" s="3">
        <f t="shared" si="95"/>
        <v>0</v>
      </c>
      <c r="AQ150" s="3">
        <f t="shared" si="96"/>
        <v>0</v>
      </c>
      <c r="AR150" s="3">
        <f t="shared" si="97"/>
        <v>0</v>
      </c>
      <c r="AS150" s="28" t="e">
        <f>#REF!</f>
        <v>#REF!</v>
      </c>
      <c r="AT150" s="28" t="e">
        <f>#REF!*2</f>
        <v>#REF!</v>
      </c>
      <c r="AU150" s="28" t="e">
        <f>#REF!</f>
        <v>#REF!</v>
      </c>
      <c r="AV150" s="28" t="e">
        <f>#REF!*2</f>
        <v>#REF!</v>
      </c>
      <c r="AW150" s="28" t="e">
        <f>#REF!</f>
        <v>#REF!</v>
      </c>
      <c r="AX150" s="28" t="e">
        <f>#REF!*2</f>
        <v>#REF!</v>
      </c>
      <c r="AY150" s="28" t="e">
        <f>#REF!</f>
        <v>#REF!</v>
      </c>
      <c r="AZ150" s="28" t="e">
        <f>#REF!*2</f>
        <v>#REF!</v>
      </c>
      <c r="BA150" s="28" t="e">
        <f>#REF!</f>
        <v>#REF!</v>
      </c>
      <c r="BB150" s="28" t="e">
        <f>#REF!*2</f>
        <v>#REF!</v>
      </c>
      <c r="BC150" s="28" t="e">
        <f>#REF!</f>
        <v>#REF!</v>
      </c>
      <c r="BD150" s="28" t="e">
        <f>#REF!*2</f>
        <v>#REF!</v>
      </c>
      <c r="BE150" s="9" t="e">
        <f>#REF!-#REF!</f>
        <v>#REF!</v>
      </c>
      <c r="BF150" s="9" t="e">
        <f>#REF!-#REF!</f>
        <v>#REF!</v>
      </c>
      <c r="BG150" s="9" t="e">
        <f>#REF!-#REF!</f>
        <v>#REF!</v>
      </c>
      <c r="BH150" s="9" t="e">
        <f>#REF!-#REF!</f>
        <v>#REF!</v>
      </c>
      <c r="BI150" s="9" t="e">
        <f>#REF!-#REF!</f>
        <v>#REF!</v>
      </c>
      <c r="BJ150" s="33"/>
      <c r="BK150" s="3">
        <f t="shared" si="98"/>
        <v>0</v>
      </c>
      <c r="BL150" s="3">
        <f t="shared" si="99"/>
        <v>0</v>
      </c>
      <c r="BM150" s="3">
        <f t="shared" si="100"/>
        <v>0</v>
      </c>
      <c r="BN150" s="3">
        <f t="shared" si="101"/>
        <v>0</v>
      </c>
      <c r="BO150" s="3">
        <f t="shared" si="102"/>
        <v>0</v>
      </c>
      <c r="BP150" s="28" t="e">
        <f>#REF!</f>
        <v>#REF!</v>
      </c>
      <c r="BQ150" s="28" t="e">
        <f>#REF!*2</f>
        <v>#REF!</v>
      </c>
      <c r="BR150" s="28" t="e">
        <f>#REF!</f>
        <v>#REF!</v>
      </c>
      <c r="BS150" s="28" t="e">
        <f>#REF!*2</f>
        <v>#REF!</v>
      </c>
      <c r="BT150" s="28" t="e">
        <f>#REF!</f>
        <v>#REF!</v>
      </c>
      <c r="BU150" s="28" t="e">
        <f>#REF!*2</f>
        <v>#REF!</v>
      </c>
      <c r="BV150" s="28" t="e">
        <f>#REF!</f>
        <v>#REF!</v>
      </c>
      <c r="BW150" s="28" t="e">
        <f>#REF!*2</f>
        <v>#REF!</v>
      </c>
      <c r="BX150" s="28" t="e">
        <f>#REF!</f>
        <v>#REF!</v>
      </c>
      <c r="BY150" s="28" t="e">
        <f>#REF!*2</f>
        <v>#REF!</v>
      </c>
      <c r="BZ150" s="28" t="e">
        <f>#REF!</f>
        <v>#REF!</v>
      </c>
      <c r="CA150" s="28" t="e">
        <f>#REF!*2</f>
        <v>#REF!</v>
      </c>
      <c r="CB150" s="9">
        <f t="shared" si="103"/>
        <v>0</v>
      </c>
      <c r="CC150" s="9">
        <f t="shared" si="104"/>
        <v>0</v>
      </c>
      <c r="CD150" s="9">
        <f t="shared" si="105"/>
        <v>0</v>
      </c>
      <c r="CE150" s="9">
        <f t="shared" si="106"/>
        <v>0</v>
      </c>
      <c r="CF150" s="9">
        <f t="shared" si="107"/>
        <v>0</v>
      </c>
      <c r="CG150" s="33"/>
      <c r="CH150" s="9">
        <f t="shared" si="108"/>
        <v>0</v>
      </c>
      <c r="CI150" s="9">
        <f t="shared" si="109"/>
        <v>0</v>
      </c>
      <c r="CJ150" s="9">
        <f t="shared" si="110"/>
        <v>0</v>
      </c>
      <c r="CK150" s="9">
        <f t="shared" si="111"/>
        <v>0</v>
      </c>
      <c r="CL150" s="9">
        <f t="shared" si="112"/>
        <v>0</v>
      </c>
      <c r="CM150" s="32"/>
      <c r="CN150" s="3">
        <f t="shared" si="113"/>
        <v>0</v>
      </c>
      <c r="CO150" s="3">
        <f t="shared" si="114"/>
        <v>0</v>
      </c>
      <c r="CP150" s="3">
        <f t="shared" si="115"/>
        <v>0</v>
      </c>
      <c r="CQ150" s="3">
        <f t="shared" si="116"/>
        <v>0</v>
      </c>
      <c r="CR150" s="3">
        <f t="shared" si="117"/>
        <v>0</v>
      </c>
      <c r="CS150" s="31"/>
      <c r="CT150" s="3" cm="1">
        <f t="array" ref="CT150">SUMPRODUCT(--(MOD(CH150:CL150,2)=1))</f>
        <v>0</v>
      </c>
      <c r="CU150" s="3">
        <f t="shared" si="118"/>
        <v>5</v>
      </c>
      <c r="CV150" s="30"/>
      <c r="CW150" s="3" cm="1">
        <f t="array" ref="CW150">SUMPRODUCT(--(MOD(CH150:CL150,10)&gt;=1), --(MOD(CH150:CL150,10)&lt;=5))</f>
        <v>0</v>
      </c>
      <c r="CX150" s="3">
        <f t="shared" si="119"/>
        <v>5</v>
      </c>
      <c r="CY150" s="30"/>
      <c r="CZ150" s="3" cm="1">
        <f t="array" ref="CZ150">IFERROR(COUNT(_xlfn._xlws.FILTER(CH150:CL150, ISNUMBER(MATCH(CH150:CL150, {2,3,5,7,11,13,17,19,23,29,31,37,41,43}, 0)))), 0)</f>
        <v>0</v>
      </c>
      <c r="DA150" s="3" cm="1">
        <f t="array" ref="DA150">IFERROR(COUNT(_xlfn._xlws.FILTER(CH150:CL150, ISNUMBER(MATCH(CH150:CL150, {1,4,8,10,14,16,20,22,25,26,28,32,34,35,38,40,44}, 0)))), 0)</f>
        <v>0</v>
      </c>
      <c r="DB150" s="3" cm="1">
        <f t="array" ref="DB150">IFERROR(COUNT(_xlfn._xlws.FILTER(CH150:CL150, ISNUMBER(MATCH(CH150:CL150, {6,9,12,15,18,21,24,27,30,33,36,39,42,45}, 0)))), 0)</f>
        <v>0</v>
      </c>
      <c r="DC150" s="29"/>
      <c r="DD150" s="28" t="e">
        <f>#REF!</f>
        <v>#REF!</v>
      </c>
      <c r="DE150" s="28" t="e">
        <f>#REF!*2</f>
        <v>#REF!</v>
      </c>
      <c r="DF150" s="28" t="e">
        <f>#REF!</f>
        <v>#REF!</v>
      </c>
      <c r="DG150" s="28" t="e">
        <f>#REF!*2</f>
        <v>#REF!</v>
      </c>
      <c r="DH150" s="28" t="e">
        <f>#REF!</f>
        <v>#REF!</v>
      </c>
      <c r="DI150" s="28" t="e">
        <f>#REF!*2</f>
        <v>#REF!</v>
      </c>
      <c r="DJ150" s="28" t="e">
        <f>#REF!</f>
        <v>#REF!</v>
      </c>
      <c r="DK150" s="28" t="e">
        <f>#REF!*2</f>
        <v>#REF!</v>
      </c>
      <c r="DL150" s="28" t="e">
        <f>#REF!</f>
        <v>#REF!</v>
      </c>
      <c r="DM150" s="28" t="e">
        <f>#REF!*2</f>
        <v>#REF!</v>
      </c>
      <c r="DN150" s="27"/>
      <c r="DO150" s="26" cm="1">
        <f t="array" ref="DO150">_xlfn.IFS(
   OR(CH150="",ISBLANK(CH150),CH150=0),0,
   ISNUMBER(MATCH(CH150,{2,3,5,7,11,13,17,19,23,29,31,37,41,43},0)),"소",
   AND(ISNUMBER(CH150),MOD(CH150,3)=0),"배",
   AND(ISNUMBER(CH150),CH150&gt;0),"자"
)</f>
        <v>0</v>
      </c>
      <c r="DP150" s="26" cm="1">
        <f t="array" ref="DP150">_xlfn.IFS(
   OR(CI150="",ISBLANK(CI150),CI150=0),0,
   ISNUMBER(MATCH(CI150,{2,3,5,7,11,13,17,19,23,29,31,37,41,43},0)),"소",
   AND(ISNUMBER(CI150),MOD(CI150,3)=0),"배",
   AND(ISNUMBER(CI150),CI150&gt;0),"자"
)</f>
        <v>0</v>
      </c>
      <c r="DQ150" s="26" cm="1">
        <f t="array" ref="DQ150">_xlfn.IFS(
   OR(CJ150="",ISBLANK(CJ150),CJ150=0),0,
   ISNUMBER(MATCH(CJ150,{2,3,5,7,11,13,17,19,23,29,31,37,41,43},0)),"소",
   AND(ISNUMBER(CJ150),MOD(CJ150,3)=0),"배",
   AND(ISNUMBER(CJ150),CJ150&gt;0),"자"
)</f>
        <v>0</v>
      </c>
      <c r="DR150" s="26" cm="1">
        <f t="array" ref="DR150">_xlfn.IFS(
   OR(CK150="",ISBLANK(CK150),CK150=0),0,
   ISNUMBER(MATCH(CK150,{2,3,5,7,11,13,17,19,23,29,31,37,41,43},0)),"소",
   AND(ISNUMBER(CK150),MOD(CK150,3)=0),"배",
   AND(ISNUMBER(CK150),CK150&gt;0),"자"
)</f>
        <v>0</v>
      </c>
      <c r="DS150" s="26" cm="1">
        <f t="array" ref="DS150">_xlfn.IFS(
   OR(CL150="",ISBLANK(CL150),CL150=0),0,
   ISNUMBER(MATCH(CL150,{2,3,5,7,11,13,17,19,23,29,31,37,41,43},0)),"소",
   AND(ISNUMBER(CL150),MOD(CL150,3)=0),"배",
   AND(ISNUMBER(CL150),CL150&gt;0),"자"
)</f>
        <v>0</v>
      </c>
      <c r="DT150" s="25"/>
    </row>
    <row r="151" spans="2:124" x14ac:dyDescent="0.3"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2"/>
      <c r="I151" s="3">
        <f t="shared" si="80"/>
        <v>0</v>
      </c>
      <c r="J151" s="3">
        <f t="shared" si="81"/>
        <v>0</v>
      </c>
      <c r="K151" s="3">
        <f t="shared" si="82"/>
        <v>0</v>
      </c>
      <c r="L151" s="3">
        <f t="shared" si="83"/>
        <v>0</v>
      </c>
      <c r="M151" s="3">
        <f t="shared" si="84"/>
        <v>0</v>
      </c>
      <c r="N151" s="3">
        <f t="shared" si="85"/>
        <v>0</v>
      </c>
      <c r="O151" s="32"/>
      <c r="P151" s="3" cm="1">
        <f t="array" ref="P151">SUMPRODUCT(--(MOD(B151:G151,2)=1))</f>
        <v>0</v>
      </c>
      <c r="Q151" s="3">
        <f t="shared" si="86"/>
        <v>6</v>
      </c>
      <c r="R151" s="34"/>
      <c r="S151" s="3">
        <f t="shared" si="87"/>
        <v>0</v>
      </c>
      <c r="T151" s="3">
        <f t="shared" si="88"/>
        <v>6</v>
      </c>
      <c r="U151" s="34"/>
      <c r="V151" s="3" cm="1">
        <f t="array" ref="V151">SUMPRODUCT(--(MOD(B151:G151,10)&gt;=1), --(MOD(B151:G151,10)&lt;=5))</f>
        <v>0</v>
      </c>
      <c r="W151" s="3">
        <f t="shared" si="89"/>
        <v>6</v>
      </c>
      <c r="X151" s="34"/>
      <c r="Y151" s="3" cm="1">
        <f t="array" ref="Y151">IFERROR(COUNT(_xlfn._xlws.FILTER(B151:G151, ISNUMBER(MATCH(B151:G151, {2,3,5,7,11,13,17,19,23,29,31,37,41,43}, 0)))), 0)</f>
        <v>0</v>
      </c>
      <c r="Z151" s="3" cm="1">
        <f t="array" ref="Z151">IFERROR(COUNT(_xlfn._xlws.FILTER(B151:G151, ISNUMBER(MATCH(B151:G151, {1,4,8,10,14,16,20,22,25,26,28,32,34,35,38,40,44}, 0)))), 0)</f>
        <v>0</v>
      </c>
      <c r="AA151" s="3" cm="1">
        <f t="array" ref="AA151">IFERROR(COUNT(_xlfn._xlws.FILTER(B151:G151, ISNUMBER(MATCH(B151:G151, {6,9,12,15,18,21,24,27,30,33,36,39,42,45}, 0)))), 0)</f>
        <v>0</v>
      </c>
      <c r="AB151" s="30"/>
      <c r="AC151" s="26" cm="1">
        <f t="array" ref="AC151">_xlfn.IFS(
   OR(B151="",ISBLANK(B151),B151=0),0,
   ISNUMBER(MATCH(B151,{2,3,5,7,11,13,17,19,23,29,31,37,41,43},0)),"소",
   AND(ISNUMBER(B151),MOD(B151,3)=0),"배",
   AND(ISNUMBER(B151),B151&gt;0),"자"
)</f>
        <v>0</v>
      </c>
      <c r="AD151" s="26" cm="1">
        <f t="array" ref="AD151">_xlfn.IFS(
   OR(C151="",ISBLANK(C151),C151=0),0,
   ISNUMBER(MATCH(C151,{2,3,5,7,11,13,17,19,23,29,31,37,41,43},0)),"소",
   AND(ISNUMBER(C151),MOD(C151,3)=0),"배",
   AND(ISNUMBER(C151),C151&gt;0),"자"
)</f>
        <v>0</v>
      </c>
      <c r="AE151" s="26" cm="1">
        <f t="array" ref="AE151">_xlfn.IFS(
   OR(D151="",ISBLANK(D151),D151=0),0,
   ISNUMBER(MATCH(D151,{2,3,5,7,11,13,17,19,23,29,31,37,41,43},0)),"소",
   AND(ISNUMBER(D151),MOD(D151,3)=0),"배",
   AND(ISNUMBER(D151),D151&gt;0),"자"
)</f>
        <v>0</v>
      </c>
      <c r="AF151" s="26" cm="1">
        <f t="array" ref="AF151">_xlfn.IFS(
   OR(E151="",ISBLANK(E151),E151=0),0,
   ISNUMBER(MATCH(E151,{2,3,5,7,11,13,17,19,23,29,31,37,41,43},0)),"소",
   AND(ISNUMBER(E151),MOD(E151,3)=0),"배",
   AND(ISNUMBER(E151),E151&gt;0),"자"
)</f>
        <v>0</v>
      </c>
      <c r="AG151" s="26" cm="1">
        <f t="array" ref="AG151">_xlfn.IFS(
   OR(F151="",ISBLANK(F151),F151=0),0,
   ISNUMBER(MATCH(F151,{2,3,5,7,11,13,17,19,23,29,31,37,41,43},0)),"소",
   AND(ISNUMBER(F151),MOD(F151,3)=0),"배",
   AND(ISNUMBER(F151),F151&gt;0),"자"
)</f>
        <v>0</v>
      </c>
      <c r="AH151" s="26" cm="1">
        <f t="array" ref="AH151">_xlfn.IFS(
   OR(G151="",ISBLANK(G151),G151=0),0,
   ISNUMBER(MATCH(G151,{2,3,5,7,11,13,17,19,23,29,31,37,41,43},0)),"소",
   AND(ISNUMBER(G151),MOD(G151,3)=0),"배",
   AND(ISNUMBER(G151),G151&gt;0),"자"
)</f>
        <v>0</v>
      </c>
      <c r="AI151" s="30"/>
      <c r="AJ151" s="3">
        <f t="shared" si="90"/>
        <v>0</v>
      </c>
      <c r="AK151" s="3">
        <f t="shared" si="91"/>
        <v>0</v>
      </c>
      <c r="AL151" s="3">
        <f t="shared" si="92"/>
        <v>6</v>
      </c>
      <c r="AM151" s="33"/>
      <c r="AN151" s="3">
        <f t="shared" si="93"/>
        <v>0</v>
      </c>
      <c r="AO151" s="3">
        <f t="shared" si="94"/>
        <v>0</v>
      </c>
      <c r="AP151" s="3">
        <f t="shared" si="95"/>
        <v>0</v>
      </c>
      <c r="AQ151" s="3">
        <f t="shared" si="96"/>
        <v>0</v>
      </c>
      <c r="AR151" s="3">
        <f t="shared" si="97"/>
        <v>0</v>
      </c>
      <c r="AS151" s="28" t="e">
        <f>#REF!</f>
        <v>#REF!</v>
      </c>
      <c r="AT151" s="28" t="e">
        <f>#REF!*2</f>
        <v>#REF!</v>
      </c>
      <c r="AU151" s="28" t="e">
        <f>#REF!</f>
        <v>#REF!</v>
      </c>
      <c r="AV151" s="28" t="e">
        <f>#REF!*2</f>
        <v>#REF!</v>
      </c>
      <c r="AW151" s="28" t="e">
        <f>#REF!</f>
        <v>#REF!</v>
      </c>
      <c r="AX151" s="28" t="e">
        <f>#REF!*2</f>
        <v>#REF!</v>
      </c>
      <c r="AY151" s="28" t="e">
        <f>#REF!</f>
        <v>#REF!</v>
      </c>
      <c r="AZ151" s="28" t="e">
        <f>#REF!*2</f>
        <v>#REF!</v>
      </c>
      <c r="BA151" s="28" t="e">
        <f>#REF!</f>
        <v>#REF!</v>
      </c>
      <c r="BB151" s="28" t="e">
        <f>#REF!*2</f>
        <v>#REF!</v>
      </c>
      <c r="BC151" s="28" t="e">
        <f>#REF!</f>
        <v>#REF!</v>
      </c>
      <c r="BD151" s="28" t="e">
        <f>#REF!*2</f>
        <v>#REF!</v>
      </c>
      <c r="BE151" s="9" t="e">
        <f>#REF!-#REF!</f>
        <v>#REF!</v>
      </c>
      <c r="BF151" s="9" t="e">
        <f>#REF!-#REF!</f>
        <v>#REF!</v>
      </c>
      <c r="BG151" s="9" t="e">
        <f>#REF!-#REF!</f>
        <v>#REF!</v>
      </c>
      <c r="BH151" s="9" t="e">
        <f>#REF!-#REF!</f>
        <v>#REF!</v>
      </c>
      <c r="BI151" s="9" t="e">
        <f>#REF!-#REF!</f>
        <v>#REF!</v>
      </c>
      <c r="BJ151" s="33"/>
      <c r="BK151" s="3">
        <f t="shared" si="98"/>
        <v>0</v>
      </c>
      <c r="BL151" s="3">
        <f t="shared" si="99"/>
        <v>0</v>
      </c>
      <c r="BM151" s="3">
        <f t="shared" si="100"/>
        <v>0</v>
      </c>
      <c r="BN151" s="3">
        <f t="shared" si="101"/>
        <v>0</v>
      </c>
      <c r="BO151" s="3">
        <f t="shared" si="102"/>
        <v>0</v>
      </c>
      <c r="BP151" s="28" t="e">
        <f>#REF!</f>
        <v>#REF!</v>
      </c>
      <c r="BQ151" s="28" t="e">
        <f>#REF!*2</f>
        <v>#REF!</v>
      </c>
      <c r="BR151" s="28" t="e">
        <f>#REF!</f>
        <v>#REF!</v>
      </c>
      <c r="BS151" s="28" t="e">
        <f>#REF!*2</f>
        <v>#REF!</v>
      </c>
      <c r="BT151" s="28" t="e">
        <f>#REF!</f>
        <v>#REF!</v>
      </c>
      <c r="BU151" s="28" t="e">
        <f>#REF!*2</f>
        <v>#REF!</v>
      </c>
      <c r="BV151" s="28" t="e">
        <f>#REF!</f>
        <v>#REF!</v>
      </c>
      <c r="BW151" s="28" t="e">
        <f>#REF!*2</f>
        <v>#REF!</v>
      </c>
      <c r="BX151" s="28" t="e">
        <f>#REF!</f>
        <v>#REF!</v>
      </c>
      <c r="BY151" s="28" t="e">
        <f>#REF!*2</f>
        <v>#REF!</v>
      </c>
      <c r="BZ151" s="28" t="e">
        <f>#REF!</f>
        <v>#REF!</v>
      </c>
      <c r="CA151" s="28" t="e">
        <f>#REF!*2</f>
        <v>#REF!</v>
      </c>
      <c r="CB151" s="9">
        <f t="shared" si="103"/>
        <v>0</v>
      </c>
      <c r="CC151" s="9">
        <f t="shared" si="104"/>
        <v>0</v>
      </c>
      <c r="CD151" s="9">
        <f t="shared" si="105"/>
        <v>0</v>
      </c>
      <c r="CE151" s="9">
        <f t="shared" si="106"/>
        <v>0</v>
      </c>
      <c r="CF151" s="9">
        <f t="shared" si="107"/>
        <v>0</v>
      </c>
      <c r="CG151" s="33"/>
      <c r="CH151" s="9">
        <f t="shared" si="108"/>
        <v>0</v>
      </c>
      <c r="CI151" s="9">
        <f t="shared" si="109"/>
        <v>0</v>
      </c>
      <c r="CJ151" s="9">
        <f t="shared" si="110"/>
        <v>0</v>
      </c>
      <c r="CK151" s="9">
        <f t="shared" si="111"/>
        <v>0</v>
      </c>
      <c r="CL151" s="9">
        <f t="shared" si="112"/>
        <v>0</v>
      </c>
      <c r="CM151" s="32"/>
      <c r="CN151" s="3">
        <f t="shared" si="113"/>
        <v>0</v>
      </c>
      <c r="CO151" s="3">
        <f t="shared" si="114"/>
        <v>0</v>
      </c>
      <c r="CP151" s="3">
        <f t="shared" si="115"/>
        <v>0</v>
      </c>
      <c r="CQ151" s="3">
        <f t="shared" si="116"/>
        <v>0</v>
      </c>
      <c r="CR151" s="3">
        <f t="shared" si="117"/>
        <v>0</v>
      </c>
      <c r="CS151" s="31"/>
      <c r="CT151" s="3" cm="1">
        <f t="array" ref="CT151">SUMPRODUCT(--(MOD(CH151:CL151,2)=1))</f>
        <v>0</v>
      </c>
      <c r="CU151" s="3">
        <f t="shared" si="118"/>
        <v>5</v>
      </c>
      <c r="CV151" s="30"/>
      <c r="CW151" s="3" cm="1">
        <f t="array" ref="CW151">SUMPRODUCT(--(MOD(CH151:CL151,10)&gt;=1), --(MOD(CH151:CL151,10)&lt;=5))</f>
        <v>0</v>
      </c>
      <c r="CX151" s="3">
        <f t="shared" si="119"/>
        <v>5</v>
      </c>
      <c r="CY151" s="30"/>
      <c r="CZ151" s="3" cm="1">
        <f t="array" ref="CZ151">IFERROR(COUNT(_xlfn._xlws.FILTER(CH151:CL151, ISNUMBER(MATCH(CH151:CL151, {2,3,5,7,11,13,17,19,23,29,31,37,41,43}, 0)))), 0)</f>
        <v>0</v>
      </c>
      <c r="DA151" s="3" cm="1">
        <f t="array" ref="DA151">IFERROR(COUNT(_xlfn._xlws.FILTER(CH151:CL151, ISNUMBER(MATCH(CH151:CL151, {1,4,8,10,14,16,20,22,25,26,28,32,34,35,38,40,44}, 0)))), 0)</f>
        <v>0</v>
      </c>
      <c r="DB151" s="3" cm="1">
        <f t="array" ref="DB151">IFERROR(COUNT(_xlfn._xlws.FILTER(CH151:CL151, ISNUMBER(MATCH(CH151:CL151, {6,9,12,15,18,21,24,27,30,33,36,39,42,45}, 0)))), 0)</f>
        <v>0</v>
      </c>
      <c r="DC151" s="29"/>
      <c r="DD151" s="28" t="e">
        <f>#REF!</f>
        <v>#REF!</v>
      </c>
      <c r="DE151" s="28" t="e">
        <f>#REF!*2</f>
        <v>#REF!</v>
      </c>
      <c r="DF151" s="28" t="e">
        <f>#REF!</f>
        <v>#REF!</v>
      </c>
      <c r="DG151" s="28" t="e">
        <f>#REF!*2</f>
        <v>#REF!</v>
      </c>
      <c r="DH151" s="28" t="e">
        <f>#REF!</f>
        <v>#REF!</v>
      </c>
      <c r="DI151" s="28" t="e">
        <f>#REF!*2</f>
        <v>#REF!</v>
      </c>
      <c r="DJ151" s="28" t="e">
        <f>#REF!</f>
        <v>#REF!</v>
      </c>
      <c r="DK151" s="28" t="e">
        <f>#REF!*2</f>
        <v>#REF!</v>
      </c>
      <c r="DL151" s="28" t="e">
        <f>#REF!</f>
        <v>#REF!</v>
      </c>
      <c r="DM151" s="28" t="e">
        <f>#REF!*2</f>
        <v>#REF!</v>
      </c>
      <c r="DN151" s="27"/>
      <c r="DO151" s="26" cm="1">
        <f t="array" ref="DO151">_xlfn.IFS(
   OR(CH151="",ISBLANK(CH151),CH151=0),0,
   ISNUMBER(MATCH(CH151,{2,3,5,7,11,13,17,19,23,29,31,37,41,43},0)),"소",
   AND(ISNUMBER(CH151),MOD(CH151,3)=0),"배",
   AND(ISNUMBER(CH151),CH151&gt;0),"자"
)</f>
        <v>0</v>
      </c>
      <c r="DP151" s="26" cm="1">
        <f t="array" ref="DP151">_xlfn.IFS(
   OR(CI151="",ISBLANK(CI151),CI151=0),0,
   ISNUMBER(MATCH(CI151,{2,3,5,7,11,13,17,19,23,29,31,37,41,43},0)),"소",
   AND(ISNUMBER(CI151),MOD(CI151,3)=0),"배",
   AND(ISNUMBER(CI151),CI151&gt;0),"자"
)</f>
        <v>0</v>
      </c>
      <c r="DQ151" s="26" cm="1">
        <f t="array" ref="DQ151">_xlfn.IFS(
   OR(CJ151="",ISBLANK(CJ151),CJ151=0),0,
   ISNUMBER(MATCH(CJ151,{2,3,5,7,11,13,17,19,23,29,31,37,41,43},0)),"소",
   AND(ISNUMBER(CJ151),MOD(CJ151,3)=0),"배",
   AND(ISNUMBER(CJ151),CJ151&gt;0),"자"
)</f>
        <v>0</v>
      </c>
      <c r="DR151" s="26" cm="1">
        <f t="array" ref="DR151">_xlfn.IFS(
   OR(CK151="",ISBLANK(CK151),CK151=0),0,
   ISNUMBER(MATCH(CK151,{2,3,5,7,11,13,17,19,23,29,31,37,41,43},0)),"소",
   AND(ISNUMBER(CK151),MOD(CK151,3)=0),"배",
   AND(ISNUMBER(CK151),CK151&gt;0),"자"
)</f>
        <v>0</v>
      </c>
      <c r="DS151" s="26" cm="1">
        <f t="array" ref="DS151">_xlfn.IFS(
   OR(CL151="",ISBLANK(CL151),CL151=0),0,
   ISNUMBER(MATCH(CL151,{2,3,5,7,11,13,17,19,23,29,31,37,41,43},0)),"소",
   AND(ISNUMBER(CL151),MOD(CL151,3)=0),"배",
   AND(ISNUMBER(CL151),CL151&gt;0),"자"
)</f>
        <v>0</v>
      </c>
      <c r="DT151" s="25"/>
    </row>
    <row r="152" spans="2:124" x14ac:dyDescent="0.3"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2"/>
      <c r="I152" s="3">
        <f t="shared" si="80"/>
        <v>0</v>
      </c>
      <c r="J152" s="3">
        <f t="shared" si="81"/>
        <v>0</v>
      </c>
      <c r="K152" s="3">
        <f t="shared" si="82"/>
        <v>0</v>
      </c>
      <c r="L152" s="3">
        <f t="shared" si="83"/>
        <v>0</v>
      </c>
      <c r="M152" s="3">
        <f t="shared" si="84"/>
        <v>0</v>
      </c>
      <c r="N152" s="3">
        <f t="shared" si="85"/>
        <v>0</v>
      </c>
      <c r="O152" s="32"/>
      <c r="P152" s="3" cm="1">
        <f t="array" ref="P152">SUMPRODUCT(--(MOD(B152:G152,2)=1))</f>
        <v>0</v>
      </c>
      <c r="Q152" s="3">
        <f t="shared" si="86"/>
        <v>6</v>
      </c>
      <c r="R152" s="34"/>
      <c r="S152" s="3">
        <f t="shared" si="87"/>
        <v>0</v>
      </c>
      <c r="T152" s="3">
        <f t="shared" si="88"/>
        <v>6</v>
      </c>
      <c r="U152" s="34"/>
      <c r="V152" s="3" cm="1">
        <f t="array" ref="V152">SUMPRODUCT(--(MOD(B152:G152,10)&gt;=1), --(MOD(B152:G152,10)&lt;=5))</f>
        <v>0</v>
      </c>
      <c r="W152" s="3">
        <f t="shared" si="89"/>
        <v>6</v>
      </c>
      <c r="X152" s="34"/>
      <c r="Y152" s="3" cm="1">
        <f t="array" ref="Y152">IFERROR(COUNT(_xlfn._xlws.FILTER(B152:G152, ISNUMBER(MATCH(B152:G152, {2,3,5,7,11,13,17,19,23,29,31,37,41,43}, 0)))), 0)</f>
        <v>0</v>
      </c>
      <c r="Z152" s="3" cm="1">
        <f t="array" ref="Z152">IFERROR(COUNT(_xlfn._xlws.FILTER(B152:G152, ISNUMBER(MATCH(B152:G152, {1,4,8,10,14,16,20,22,25,26,28,32,34,35,38,40,44}, 0)))), 0)</f>
        <v>0</v>
      </c>
      <c r="AA152" s="3" cm="1">
        <f t="array" ref="AA152">IFERROR(COUNT(_xlfn._xlws.FILTER(B152:G152, ISNUMBER(MATCH(B152:G152, {6,9,12,15,18,21,24,27,30,33,36,39,42,45}, 0)))), 0)</f>
        <v>0</v>
      </c>
      <c r="AB152" s="30"/>
      <c r="AC152" s="26" cm="1">
        <f t="array" ref="AC152">_xlfn.IFS(
   OR(B152="",ISBLANK(B152),B152=0),0,
   ISNUMBER(MATCH(B152,{2,3,5,7,11,13,17,19,23,29,31,37,41,43},0)),"소",
   AND(ISNUMBER(B152),MOD(B152,3)=0),"배",
   AND(ISNUMBER(B152),B152&gt;0),"자"
)</f>
        <v>0</v>
      </c>
      <c r="AD152" s="26" cm="1">
        <f t="array" ref="AD152">_xlfn.IFS(
   OR(C152="",ISBLANK(C152),C152=0),0,
   ISNUMBER(MATCH(C152,{2,3,5,7,11,13,17,19,23,29,31,37,41,43},0)),"소",
   AND(ISNUMBER(C152),MOD(C152,3)=0),"배",
   AND(ISNUMBER(C152),C152&gt;0),"자"
)</f>
        <v>0</v>
      </c>
      <c r="AE152" s="26" cm="1">
        <f t="array" ref="AE152">_xlfn.IFS(
   OR(D152="",ISBLANK(D152),D152=0),0,
   ISNUMBER(MATCH(D152,{2,3,5,7,11,13,17,19,23,29,31,37,41,43},0)),"소",
   AND(ISNUMBER(D152),MOD(D152,3)=0),"배",
   AND(ISNUMBER(D152),D152&gt;0),"자"
)</f>
        <v>0</v>
      </c>
      <c r="AF152" s="26" cm="1">
        <f t="array" ref="AF152">_xlfn.IFS(
   OR(E152="",ISBLANK(E152),E152=0),0,
   ISNUMBER(MATCH(E152,{2,3,5,7,11,13,17,19,23,29,31,37,41,43},0)),"소",
   AND(ISNUMBER(E152),MOD(E152,3)=0),"배",
   AND(ISNUMBER(E152),E152&gt;0),"자"
)</f>
        <v>0</v>
      </c>
      <c r="AG152" s="26" cm="1">
        <f t="array" ref="AG152">_xlfn.IFS(
   OR(F152="",ISBLANK(F152),F152=0),0,
   ISNUMBER(MATCH(F152,{2,3,5,7,11,13,17,19,23,29,31,37,41,43},0)),"소",
   AND(ISNUMBER(F152),MOD(F152,3)=0),"배",
   AND(ISNUMBER(F152),F152&gt;0),"자"
)</f>
        <v>0</v>
      </c>
      <c r="AH152" s="26" cm="1">
        <f t="array" ref="AH152">_xlfn.IFS(
   OR(G152="",ISBLANK(G152),G152=0),0,
   ISNUMBER(MATCH(G152,{2,3,5,7,11,13,17,19,23,29,31,37,41,43},0)),"소",
   AND(ISNUMBER(G152),MOD(G152,3)=0),"배",
   AND(ISNUMBER(G152),G152&gt;0),"자"
)</f>
        <v>0</v>
      </c>
      <c r="AI152" s="30"/>
      <c r="AJ152" s="3">
        <f t="shared" si="90"/>
        <v>0</v>
      </c>
      <c r="AK152" s="3">
        <f t="shared" si="91"/>
        <v>0</v>
      </c>
      <c r="AL152" s="3">
        <f t="shared" si="92"/>
        <v>6</v>
      </c>
      <c r="AM152" s="33"/>
      <c r="AN152" s="3">
        <f t="shared" si="93"/>
        <v>0</v>
      </c>
      <c r="AO152" s="3">
        <f t="shared" si="94"/>
        <v>0</v>
      </c>
      <c r="AP152" s="3">
        <f t="shared" si="95"/>
        <v>0</v>
      </c>
      <c r="AQ152" s="3">
        <f t="shared" si="96"/>
        <v>0</v>
      </c>
      <c r="AR152" s="3">
        <f t="shared" si="97"/>
        <v>0</v>
      </c>
      <c r="AS152" s="28" t="e">
        <f>#REF!</f>
        <v>#REF!</v>
      </c>
      <c r="AT152" s="28" t="e">
        <f>#REF!*2</f>
        <v>#REF!</v>
      </c>
      <c r="AU152" s="28" t="e">
        <f>#REF!</f>
        <v>#REF!</v>
      </c>
      <c r="AV152" s="28" t="e">
        <f>#REF!*2</f>
        <v>#REF!</v>
      </c>
      <c r="AW152" s="28" t="e">
        <f>#REF!</f>
        <v>#REF!</v>
      </c>
      <c r="AX152" s="28" t="e">
        <f>#REF!*2</f>
        <v>#REF!</v>
      </c>
      <c r="AY152" s="28" t="e">
        <f>#REF!</f>
        <v>#REF!</v>
      </c>
      <c r="AZ152" s="28" t="e">
        <f>#REF!*2</f>
        <v>#REF!</v>
      </c>
      <c r="BA152" s="28" t="e">
        <f>#REF!</f>
        <v>#REF!</v>
      </c>
      <c r="BB152" s="28" t="e">
        <f>#REF!*2</f>
        <v>#REF!</v>
      </c>
      <c r="BC152" s="28" t="e">
        <f>#REF!</f>
        <v>#REF!</v>
      </c>
      <c r="BD152" s="28" t="e">
        <f>#REF!*2</f>
        <v>#REF!</v>
      </c>
      <c r="BE152" s="9" t="e">
        <f>#REF!-#REF!</f>
        <v>#REF!</v>
      </c>
      <c r="BF152" s="9" t="e">
        <f>#REF!-#REF!</f>
        <v>#REF!</v>
      </c>
      <c r="BG152" s="9" t="e">
        <f>#REF!-#REF!</f>
        <v>#REF!</v>
      </c>
      <c r="BH152" s="9" t="e">
        <f>#REF!-#REF!</f>
        <v>#REF!</v>
      </c>
      <c r="BI152" s="9" t="e">
        <f>#REF!-#REF!</f>
        <v>#REF!</v>
      </c>
      <c r="BJ152" s="33"/>
      <c r="BK152" s="3">
        <f t="shared" si="98"/>
        <v>0</v>
      </c>
      <c r="BL152" s="3">
        <f t="shared" si="99"/>
        <v>0</v>
      </c>
      <c r="BM152" s="3">
        <f t="shared" si="100"/>
        <v>0</v>
      </c>
      <c r="BN152" s="3">
        <f t="shared" si="101"/>
        <v>0</v>
      </c>
      <c r="BO152" s="3">
        <f t="shared" si="102"/>
        <v>0</v>
      </c>
      <c r="BP152" s="28" t="e">
        <f>#REF!</f>
        <v>#REF!</v>
      </c>
      <c r="BQ152" s="28" t="e">
        <f>#REF!*2</f>
        <v>#REF!</v>
      </c>
      <c r="BR152" s="28" t="e">
        <f>#REF!</f>
        <v>#REF!</v>
      </c>
      <c r="BS152" s="28" t="e">
        <f>#REF!*2</f>
        <v>#REF!</v>
      </c>
      <c r="BT152" s="28" t="e">
        <f>#REF!</f>
        <v>#REF!</v>
      </c>
      <c r="BU152" s="28" t="e">
        <f>#REF!*2</f>
        <v>#REF!</v>
      </c>
      <c r="BV152" s="28" t="e">
        <f>#REF!</f>
        <v>#REF!</v>
      </c>
      <c r="BW152" s="28" t="e">
        <f>#REF!*2</f>
        <v>#REF!</v>
      </c>
      <c r="BX152" s="28" t="e">
        <f>#REF!</f>
        <v>#REF!</v>
      </c>
      <c r="BY152" s="28" t="e">
        <f>#REF!*2</f>
        <v>#REF!</v>
      </c>
      <c r="BZ152" s="28" t="e">
        <f>#REF!</f>
        <v>#REF!</v>
      </c>
      <c r="CA152" s="28" t="e">
        <f>#REF!*2</f>
        <v>#REF!</v>
      </c>
      <c r="CB152" s="9">
        <f t="shared" si="103"/>
        <v>0</v>
      </c>
      <c r="CC152" s="9">
        <f t="shared" si="104"/>
        <v>0</v>
      </c>
      <c r="CD152" s="9">
        <f t="shared" si="105"/>
        <v>0</v>
      </c>
      <c r="CE152" s="9">
        <f t="shared" si="106"/>
        <v>0</v>
      </c>
      <c r="CF152" s="9">
        <f t="shared" si="107"/>
        <v>0</v>
      </c>
      <c r="CG152" s="33"/>
      <c r="CH152" s="9">
        <f t="shared" si="108"/>
        <v>0</v>
      </c>
      <c r="CI152" s="9">
        <f t="shared" si="109"/>
        <v>0</v>
      </c>
      <c r="CJ152" s="9">
        <f t="shared" si="110"/>
        <v>0</v>
      </c>
      <c r="CK152" s="9">
        <f t="shared" si="111"/>
        <v>0</v>
      </c>
      <c r="CL152" s="9">
        <f t="shared" si="112"/>
        <v>0</v>
      </c>
      <c r="CM152" s="32"/>
      <c r="CN152" s="3">
        <f t="shared" si="113"/>
        <v>0</v>
      </c>
      <c r="CO152" s="3">
        <f t="shared" si="114"/>
        <v>0</v>
      </c>
      <c r="CP152" s="3">
        <f t="shared" si="115"/>
        <v>0</v>
      </c>
      <c r="CQ152" s="3">
        <f t="shared" si="116"/>
        <v>0</v>
      </c>
      <c r="CR152" s="3">
        <f t="shared" si="117"/>
        <v>0</v>
      </c>
      <c r="CS152" s="31"/>
      <c r="CT152" s="3" cm="1">
        <f t="array" ref="CT152">SUMPRODUCT(--(MOD(CH152:CL152,2)=1))</f>
        <v>0</v>
      </c>
      <c r="CU152" s="3">
        <f t="shared" si="118"/>
        <v>5</v>
      </c>
      <c r="CV152" s="30"/>
      <c r="CW152" s="3" cm="1">
        <f t="array" ref="CW152">SUMPRODUCT(--(MOD(CH152:CL152,10)&gt;=1), --(MOD(CH152:CL152,10)&lt;=5))</f>
        <v>0</v>
      </c>
      <c r="CX152" s="3">
        <f t="shared" si="119"/>
        <v>5</v>
      </c>
      <c r="CY152" s="30"/>
      <c r="CZ152" s="3" cm="1">
        <f t="array" ref="CZ152">IFERROR(COUNT(_xlfn._xlws.FILTER(CH152:CL152, ISNUMBER(MATCH(CH152:CL152, {2,3,5,7,11,13,17,19,23,29,31,37,41,43}, 0)))), 0)</f>
        <v>0</v>
      </c>
      <c r="DA152" s="3" cm="1">
        <f t="array" ref="DA152">IFERROR(COUNT(_xlfn._xlws.FILTER(CH152:CL152, ISNUMBER(MATCH(CH152:CL152, {1,4,8,10,14,16,20,22,25,26,28,32,34,35,38,40,44}, 0)))), 0)</f>
        <v>0</v>
      </c>
      <c r="DB152" s="3" cm="1">
        <f t="array" ref="DB152">IFERROR(COUNT(_xlfn._xlws.FILTER(CH152:CL152, ISNUMBER(MATCH(CH152:CL152, {6,9,12,15,18,21,24,27,30,33,36,39,42,45}, 0)))), 0)</f>
        <v>0</v>
      </c>
      <c r="DC152" s="29"/>
      <c r="DD152" s="28" t="e">
        <f>#REF!</f>
        <v>#REF!</v>
      </c>
      <c r="DE152" s="28" t="e">
        <f>#REF!*2</f>
        <v>#REF!</v>
      </c>
      <c r="DF152" s="28" t="e">
        <f>#REF!</f>
        <v>#REF!</v>
      </c>
      <c r="DG152" s="28" t="e">
        <f>#REF!*2</f>
        <v>#REF!</v>
      </c>
      <c r="DH152" s="28" t="e">
        <f>#REF!</f>
        <v>#REF!</v>
      </c>
      <c r="DI152" s="28" t="e">
        <f>#REF!*2</f>
        <v>#REF!</v>
      </c>
      <c r="DJ152" s="28" t="e">
        <f>#REF!</f>
        <v>#REF!</v>
      </c>
      <c r="DK152" s="28" t="e">
        <f>#REF!*2</f>
        <v>#REF!</v>
      </c>
      <c r="DL152" s="28" t="e">
        <f>#REF!</f>
        <v>#REF!</v>
      </c>
      <c r="DM152" s="28" t="e">
        <f>#REF!*2</f>
        <v>#REF!</v>
      </c>
      <c r="DN152" s="27"/>
      <c r="DO152" s="26" cm="1">
        <f t="array" ref="DO152">_xlfn.IFS(
   OR(CH152="",ISBLANK(CH152),CH152=0),0,
   ISNUMBER(MATCH(CH152,{2,3,5,7,11,13,17,19,23,29,31,37,41,43},0)),"소",
   AND(ISNUMBER(CH152),MOD(CH152,3)=0),"배",
   AND(ISNUMBER(CH152),CH152&gt;0),"자"
)</f>
        <v>0</v>
      </c>
      <c r="DP152" s="26" cm="1">
        <f t="array" ref="DP152">_xlfn.IFS(
   OR(CI152="",ISBLANK(CI152),CI152=0),0,
   ISNUMBER(MATCH(CI152,{2,3,5,7,11,13,17,19,23,29,31,37,41,43},0)),"소",
   AND(ISNUMBER(CI152),MOD(CI152,3)=0),"배",
   AND(ISNUMBER(CI152),CI152&gt;0),"자"
)</f>
        <v>0</v>
      </c>
      <c r="DQ152" s="26" cm="1">
        <f t="array" ref="DQ152">_xlfn.IFS(
   OR(CJ152="",ISBLANK(CJ152),CJ152=0),0,
   ISNUMBER(MATCH(CJ152,{2,3,5,7,11,13,17,19,23,29,31,37,41,43},0)),"소",
   AND(ISNUMBER(CJ152),MOD(CJ152,3)=0),"배",
   AND(ISNUMBER(CJ152),CJ152&gt;0),"자"
)</f>
        <v>0</v>
      </c>
      <c r="DR152" s="26" cm="1">
        <f t="array" ref="DR152">_xlfn.IFS(
   OR(CK152="",ISBLANK(CK152),CK152=0),0,
   ISNUMBER(MATCH(CK152,{2,3,5,7,11,13,17,19,23,29,31,37,41,43},0)),"소",
   AND(ISNUMBER(CK152),MOD(CK152,3)=0),"배",
   AND(ISNUMBER(CK152),CK152&gt;0),"자"
)</f>
        <v>0</v>
      </c>
      <c r="DS152" s="26" cm="1">
        <f t="array" ref="DS152">_xlfn.IFS(
   OR(CL152="",ISBLANK(CL152),CL152=0),0,
   ISNUMBER(MATCH(CL152,{2,3,5,7,11,13,17,19,23,29,31,37,41,43},0)),"소",
   AND(ISNUMBER(CL152),MOD(CL152,3)=0),"배",
   AND(ISNUMBER(CL152),CL152&gt;0),"자"
)</f>
        <v>0</v>
      </c>
      <c r="DT152" s="25"/>
    </row>
    <row r="153" spans="2:124" x14ac:dyDescent="0.3"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2"/>
      <c r="I153" s="3">
        <f t="shared" si="80"/>
        <v>0</v>
      </c>
      <c r="J153" s="3">
        <f t="shared" si="81"/>
        <v>0</v>
      </c>
      <c r="K153" s="3">
        <f t="shared" si="82"/>
        <v>0</v>
      </c>
      <c r="L153" s="3">
        <f t="shared" si="83"/>
        <v>0</v>
      </c>
      <c r="M153" s="3">
        <f t="shared" si="84"/>
        <v>0</v>
      </c>
      <c r="N153" s="3">
        <f t="shared" si="85"/>
        <v>0</v>
      </c>
      <c r="O153" s="32"/>
      <c r="P153" s="3" cm="1">
        <f t="array" ref="P153">SUMPRODUCT(--(MOD(B153:G153,2)=1))</f>
        <v>0</v>
      </c>
      <c r="Q153" s="3">
        <f t="shared" si="86"/>
        <v>6</v>
      </c>
      <c r="R153" s="34"/>
      <c r="S153" s="3">
        <f t="shared" si="87"/>
        <v>0</v>
      </c>
      <c r="T153" s="3">
        <f t="shared" si="88"/>
        <v>6</v>
      </c>
      <c r="U153" s="34"/>
      <c r="V153" s="3" cm="1">
        <f t="array" ref="V153">SUMPRODUCT(--(MOD(B153:G153,10)&gt;=1), --(MOD(B153:G153,10)&lt;=5))</f>
        <v>0</v>
      </c>
      <c r="W153" s="3">
        <f t="shared" si="89"/>
        <v>6</v>
      </c>
      <c r="X153" s="34"/>
      <c r="Y153" s="3" cm="1">
        <f t="array" ref="Y153">IFERROR(COUNT(_xlfn._xlws.FILTER(B153:G153, ISNUMBER(MATCH(B153:G153, {2,3,5,7,11,13,17,19,23,29,31,37,41,43}, 0)))), 0)</f>
        <v>0</v>
      </c>
      <c r="Z153" s="3" cm="1">
        <f t="array" ref="Z153">IFERROR(COUNT(_xlfn._xlws.FILTER(B153:G153, ISNUMBER(MATCH(B153:G153, {1,4,8,10,14,16,20,22,25,26,28,32,34,35,38,40,44}, 0)))), 0)</f>
        <v>0</v>
      </c>
      <c r="AA153" s="3" cm="1">
        <f t="array" ref="AA153">IFERROR(COUNT(_xlfn._xlws.FILTER(B153:G153, ISNUMBER(MATCH(B153:G153, {6,9,12,15,18,21,24,27,30,33,36,39,42,45}, 0)))), 0)</f>
        <v>0</v>
      </c>
      <c r="AB153" s="30"/>
      <c r="AC153" s="26" cm="1">
        <f t="array" ref="AC153">_xlfn.IFS(
   OR(B153="",ISBLANK(B153),B153=0),0,
   ISNUMBER(MATCH(B153,{2,3,5,7,11,13,17,19,23,29,31,37,41,43},0)),"소",
   AND(ISNUMBER(B153),MOD(B153,3)=0),"배",
   AND(ISNUMBER(B153),B153&gt;0),"자"
)</f>
        <v>0</v>
      </c>
      <c r="AD153" s="26" cm="1">
        <f t="array" ref="AD153">_xlfn.IFS(
   OR(C153="",ISBLANK(C153),C153=0),0,
   ISNUMBER(MATCH(C153,{2,3,5,7,11,13,17,19,23,29,31,37,41,43},0)),"소",
   AND(ISNUMBER(C153),MOD(C153,3)=0),"배",
   AND(ISNUMBER(C153),C153&gt;0),"자"
)</f>
        <v>0</v>
      </c>
      <c r="AE153" s="26" cm="1">
        <f t="array" ref="AE153">_xlfn.IFS(
   OR(D153="",ISBLANK(D153),D153=0),0,
   ISNUMBER(MATCH(D153,{2,3,5,7,11,13,17,19,23,29,31,37,41,43},0)),"소",
   AND(ISNUMBER(D153),MOD(D153,3)=0),"배",
   AND(ISNUMBER(D153),D153&gt;0),"자"
)</f>
        <v>0</v>
      </c>
      <c r="AF153" s="26" cm="1">
        <f t="array" ref="AF153">_xlfn.IFS(
   OR(E153="",ISBLANK(E153),E153=0),0,
   ISNUMBER(MATCH(E153,{2,3,5,7,11,13,17,19,23,29,31,37,41,43},0)),"소",
   AND(ISNUMBER(E153),MOD(E153,3)=0),"배",
   AND(ISNUMBER(E153),E153&gt;0),"자"
)</f>
        <v>0</v>
      </c>
      <c r="AG153" s="26" cm="1">
        <f t="array" ref="AG153">_xlfn.IFS(
   OR(F153="",ISBLANK(F153),F153=0),0,
   ISNUMBER(MATCH(F153,{2,3,5,7,11,13,17,19,23,29,31,37,41,43},0)),"소",
   AND(ISNUMBER(F153),MOD(F153,3)=0),"배",
   AND(ISNUMBER(F153),F153&gt;0),"자"
)</f>
        <v>0</v>
      </c>
      <c r="AH153" s="26" cm="1">
        <f t="array" ref="AH153">_xlfn.IFS(
   OR(G153="",ISBLANK(G153),G153=0),0,
   ISNUMBER(MATCH(G153,{2,3,5,7,11,13,17,19,23,29,31,37,41,43},0)),"소",
   AND(ISNUMBER(G153),MOD(G153,3)=0),"배",
   AND(ISNUMBER(G153),G153&gt;0),"자"
)</f>
        <v>0</v>
      </c>
      <c r="AI153" s="30"/>
      <c r="AJ153" s="3">
        <f t="shared" si="90"/>
        <v>0</v>
      </c>
      <c r="AK153" s="3">
        <f t="shared" si="91"/>
        <v>0</v>
      </c>
      <c r="AL153" s="3">
        <f t="shared" si="92"/>
        <v>6</v>
      </c>
      <c r="AM153" s="33"/>
      <c r="AN153" s="3">
        <f t="shared" si="93"/>
        <v>0</v>
      </c>
      <c r="AO153" s="3">
        <f t="shared" si="94"/>
        <v>0</v>
      </c>
      <c r="AP153" s="3">
        <f t="shared" si="95"/>
        <v>0</v>
      </c>
      <c r="AQ153" s="3">
        <f t="shared" si="96"/>
        <v>0</v>
      </c>
      <c r="AR153" s="3">
        <f t="shared" si="97"/>
        <v>0</v>
      </c>
      <c r="AS153" s="28" t="e">
        <f>#REF!</f>
        <v>#REF!</v>
      </c>
      <c r="AT153" s="28" t="e">
        <f>#REF!*2</f>
        <v>#REF!</v>
      </c>
      <c r="AU153" s="28" t="e">
        <f>#REF!</f>
        <v>#REF!</v>
      </c>
      <c r="AV153" s="28" t="e">
        <f>#REF!*2</f>
        <v>#REF!</v>
      </c>
      <c r="AW153" s="28" t="e">
        <f>#REF!</f>
        <v>#REF!</v>
      </c>
      <c r="AX153" s="28" t="e">
        <f>#REF!*2</f>
        <v>#REF!</v>
      </c>
      <c r="AY153" s="28" t="e">
        <f>#REF!</f>
        <v>#REF!</v>
      </c>
      <c r="AZ153" s="28" t="e">
        <f>#REF!*2</f>
        <v>#REF!</v>
      </c>
      <c r="BA153" s="28" t="e">
        <f>#REF!</f>
        <v>#REF!</v>
      </c>
      <c r="BB153" s="28" t="e">
        <f>#REF!*2</f>
        <v>#REF!</v>
      </c>
      <c r="BC153" s="28" t="e">
        <f>#REF!</f>
        <v>#REF!</v>
      </c>
      <c r="BD153" s="28" t="e">
        <f>#REF!*2</f>
        <v>#REF!</v>
      </c>
      <c r="BE153" s="9" t="e">
        <f>#REF!-#REF!</f>
        <v>#REF!</v>
      </c>
      <c r="BF153" s="9" t="e">
        <f>#REF!-#REF!</f>
        <v>#REF!</v>
      </c>
      <c r="BG153" s="9" t="e">
        <f>#REF!-#REF!</f>
        <v>#REF!</v>
      </c>
      <c r="BH153" s="9" t="e">
        <f>#REF!-#REF!</f>
        <v>#REF!</v>
      </c>
      <c r="BI153" s="9" t="e">
        <f>#REF!-#REF!</f>
        <v>#REF!</v>
      </c>
      <c r="BJ153" s="33"/>
      <c r="BK153" s="3">
        <f t="shared" si="98"/>
        <v>0</v>
      </c>
      <c r="BL153" s="3">
        <f t="shared" si="99"/>
        <v>0</v>
      </c>
      <c r="BM153" s="3">
        <f t="shared" si="100"/>
        <v>0</v>
      </c>
      <c r="BN153" s="3">
        <f t="shared" si="101"/>
        <v>0</v>
      </c>
      <c r="BO153" s="3">
        <f t="shared" si="102"/>
        <v>0</v>
      </c>
      <c r="BP153" s="28" t="e">
        <f>#REF!</f>
        <v>#REF!</v>
      </c>
      <c r="BQ153" s="28" t="e">
        <f>#REF!*2</f>
        <v>#REF!</v>
      </c>
      <c r="BR153" s="28" t="e">
        <f>#REF!</f>
        <v>#REF!</v>
      </c>
      <c r="BS153" s="28" t="e">
        <f>#REF!*2</f>
        <v>#REF!</v>
      </c>
      <c r="BT153" s="28" t="e">
        <f>#REF!</f>
        <v>#REF!</v>
      </c>
      <c r="BU153" s="28" t="e">
        <f>#REF!*2</f>
        <v>#REF!</v>
      </c>
      <c r="BV153" s="28" t="e">
        <f>#REF!</f>
        <v>#REF!</v>
      </c>
      <c r="BW153" s="28" t="e">
        <f>#REF!*2</f>
        <v>#REF!</v>
      </c>
      <c r="BX153" s="28" t="e">
        <f>#REF!</f>
        <v>#REF!</v>
      </c>
      <c r="BY153" s="28" t="e">
        <f>#REF!*2</f>
        <v>#REF!</v>
      </c>
      <c r="BZ153" s="28" t="e">
        <f>#REF!</f>
        <v>#REF!</v>
      </c>
      <c r="CA153" s="28" t="e">
        <f>#REF!*2</f>
        <v>#REF!</v>
      </c>
      <c r="CB153" s="9">
        <f t="shared" si="103"/>
        <v>0</v>
      </c>
      <c r="CC153" s="9">
        <f t="shared" si="104"/>
        <v>0</v>
      </c>
      <c r="CD153" s="9">
        <f t="shared" si="105"/>
        <v>0</v>
      </c>
      <c r="CE153" s="9">
        <f t="shared" si="106"/>
        <v>0</v>
      </c>
      <c r="CF153" s="9">
        <f t="shared" si="107"/>
        <v>0</v>
      </c>
      <c r="CG153" s="33"/>
      <c r="CH153" s="9">
        <f t="shared" si="108"/>
        <v>0</v>
      </c>
      <c r="CI153" s="9">
        <f t="shared" si="109"/>
        <v>0</v>
      </c>
      <c r="CJ153" s="9">
        <f t="shared" si="110"/>
        <v>0</v>
      </c>
      <c r="CK153" s="9">
        <f t="shared" si="111"/>
        <v>0</v>
      </c>
      <c r="CL153" s="9">
        <f t="shared" si="112"/>
        <v>0</v>
      </c>
      <c r="CM153" s="32"/>
      <c r="CN153" s="3">
        <f t="shared" si="113"/>
        <v>0</v>
      </c>
      <c r="CO153" s="3">
        <f t="shared" si="114"/>
        <v>0</v>
      </c>
      <c r="CP153" s="3">
        <f t="shared" si="115"/>
        <v>0</v>
      </c>
      <c r="CQ153" s="3">
        <f t="shared" si="116"/>
        <v>0</v>
      </c>
      <c r="CR153" s="3">
        <f t="shared" si="117"/>
        <v>0</v>
      </c>
      <c r="CS153" s="31"/>
      <c r="CT153" s="3" cm="1">
        <f t="array" ref="CT153">SUMPRODUCT(--(MOD(CH153:CL153,2)=1))</f>
        <v>0</v>
      </c>
      <c r="CU153" s="3">
        <f t="shared" si="118"/>
        <v>5</v>
      </c>
      <c r="CV153" s="30"/>
      <c r="CW153" s="3" cm="1">
        <f t="array" ref="CW153">SUMPRODUCT(--(MOD(CH153:CL153,10)&gt;=1), --(MOD(CH153:CL153,10)&lt;=5))</f>
        <v>0</v>
      </c>
      <c r="CX153" s="3">
        <f t="shared" si="119"/>
        <v>5</v>
      </c>
      <c r="CY153" s="30"/>
      <c r="CZ153" s="3" cm="1">
        <f t="array" ref="CZ153">IFERROR(COUNT(_xlfn._xlws.FILTER(CH153:CL153, ISNUMBER(MATCH(CH153:CL153, {2,3,5,7,11,13,17,19,23,29,31,37,41,43}, 0)))), 0)</f>
        <v>0</v>
      </c>
      <c r="DA153" s="3" cm="1">
        <f t="array" ref="DA153">IFERROR(COUNT(_xlfn._xlws.FILTER(CH153:CL153, ISNUMBER(MATCH(CH153:CL153, {1,4,8,10,14,16,20,22,25,26,28,32,34,35,38,40,44}, 0)))), 0)</f>
        <v>0</v>
      </c>
      <c r="DB153" s="3" cm="1">
        <f t="array" ref="DB153">IFERROR(COUNT(_xlfn._xlws.FILTER(CH153:CL153, ISNUMBER(MATCH(CH153:CL153, {6,9,12,15,18,21,24,27,30,33,36,39,42,45}, 0)))), 0)</f>
        <v>0</v>
      </c>
      <c r="DC153" s="29"/>
      <c r="DD153" s="28" t="e">
        <f>#REF!</f>
        <v>#REF!</v>
      </c>
      <c r="DE153" s="28" t="e">
        <f>#REF!*2</f>
        <v>#REF!</v>
      </c>
      <c r="DF153" s="28" t="e">
        <f>#REF!</f>
        <v>#REF!</v>
      </c>
      <c r="DG153" s="28" t="e">
        <f>#REF!*2</f>
        <v>#REF!</v>
      </c>
      <c r="DH153" s="28" t="e">
        <f>#REF!</f>
        <v>#REF!</v>
      </c>
      <c r="DI153" s="28" t="e">
        <f>#REF!*2</f>
        <v>#REF!</v>
      </c>
      <c r="DJ153" s="28" t="e">
        <f>#REF!</f>
        <v>#REF!</v>
      </c>
      <c r="DK153" s="28" t="e">
        <f>#REF!*2</f>
        <v>#REF!</v>
      </c>
      <c r="DL153" s="28" t="e">
        <f>#REF!</f>
        <v>#REF!</v>
      </c>
      <c r="DM153" s="28" t="e">
        <f>#REF!*2</f>
        <v>#REF!</v>
      </c>
      <c r="DN153" s="27"/>
      <c r="DO153" s="26"/>
      <c r="DP153" s="26"/>
      <c r="DQ153" s="26"/>
      <c r="DR153" s="26"/>
      <c r="DS153" s="26"/>
      <c r="DT153" s="25"/>
    </row>
    <row r="154" spans="2:124" x14ac:dyDescent="0.3"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2"/>
      <c r="I154" s="3">
        <f t="shared" si="80"/>
        <v>0</v>
      </c>
      <c r="J154" s="3">
        <f t="shared" si="81"/>
        <v>0</v>
      </c>
      <c r="K154" s="3">
        <f t="shared" si="82"/>
        <v>0</v>
      </c>
      <c r="L154" s="3">
        <f t="shared" si="83"/>
        <v>0</v>
      </c>
      <c r="M154" s="3">
        <f t="shared" si="84"/>
        <v>0</v>
      </c>
      <c r="N154" s="3">
        <f t="shared" si="85"/>
        <v>0</v>
      </c>
      <c r="O154" s="32"/>
      <c r="P154" s="3" cm="1">
        <f t="array" ref="P154">SUMPRODUCT(--(MOD(B154:G154,2)=1))</f>
        <v>0</v>
      </c>
      <c r="Q154" s="3">
        <f t="shared" si="86"/>
        <v>6</v>
      </c>
      <c r="R154" s="34"/>
      <c r="S154" s="3">
        <f t="shared" si="87"/>
        <v>0</v>
      </c>
      <c r="T154" s="3">
        <f t="shared" si="88"/>
        <v>6</v>
      </c>
      <c r="U154" s="34"/>
      <c r="V154" s="3" cm="1">
        <f t="array" ref="V154">SUMPRODUCT(--(MOD(B154:G154,10)&gt;=1), --(MOD(B154:G154,10)&lt;=5))</f>
        <v>0</v>
      </c>
      <c r="W154" s="3">
        <f t="shared" si="89"/>
        <v>6</v>
      </c>
      <c r="X154" s="34"/>
      <c r="Y154" s="3" cm="1">
        <f t="array" ref="Y154">IFERROR(COUNT(_xlfn._xlws.FILTER(B154:G154, ISNUMBER(MATCH(B154:G154, {2,3,5,7,11,13,17,19,23,29,31,37,41,43}, 0)))), 0)</f>
        <v>0</v>
      </c>
      <c r="Z154" s="3" cm="1">
        <f t="array" ref="Z154">IFERROR(COUNT(_xlfn._xlws.FILTER(B154:G154, ISNUMBER(MATCH(B154:G154, {1,4,8,10,14,16,20,22,25,26,28,32,34,35,38,40,44}, 0)))), 0)</f>
        <v>0</v>
      </c>
      <c r="AA154" s="3" cm="1">
        <f t="array" ref="AA154">IFERROR(COUNT(_xlfn._xlws.FILTER(B154:G154, ISNUMBER(MATCH(B154:G154, {6,9,12,15,18,21,24,27,30,33,36,39,42,45}, 0)))), 0)</f>
        <v>0</v>
      </c>
      <c r="AB154" s="30"/>
      <c r="AC154" s="26" cm="1">
        <f t="array" ref="AC154">_xlfn.IFS(
   OR(B154="",ISBLANK(B154),B154=0),0,
   ISNUMBER(MATCH(B154,{2,3,5,7,11,13,17,19,23,29,31,37,41,43},0)),"소",
   AND(ISNUMBER(B154),MOD(B154,3)=0),"배",
   AND(ISNUMBER(B154),B154&gt;0),"자"
)</f>
        <v>0</v>
      </c>
      <c r="AD154" s="26" cm="1">
        <f t="array" ref="AD154">_xlfn.IFS(
   OR(C154="",ISBLANK(C154),C154=0),0,
   ISNUMBER(MATCH(C154,{2,3,5,7,11,13,17,19,23,29,31,37,41,43},0)),"소",
   AND(ISNUMBER(C154),MOD(C154,3)=0),"배",
   AND(ISNUMBER(C154),C154&gt;0),"자"
)</f>
        <v>0</v>
      </c>
      <c r="AE154" s="26" cm="1">
        <f t="array" ref="AE154">_xlfn.IFS(
   OR(D154="",ISBLANK(D154),D154=0),0,
   ISNUMBER(MATCH(D154,{2,3,5,7,11,13,17,19,23,29,31,37,41,43},0)),"소",
   AND(ISNUMBER(D154),MOD(D154,3)=0),"배",
   AND(ISNUMBER(D154),D154&gt;0),"자"
)</f>
        <v>0</v>
      </c>
      <c r="AF154" s="26" cm="1">
        <f t="array" ref="AF154">_xlfn.IFS(
   OR(E154="",ISBLANK(E154),E154=0),0,
   ISNUMBER(MATCH(E154,{2,3,5,7,11,13,17,19,23,29,31,37,41,43},0)),"소",
   AND(ISNUMBER(E154),MOD(E154,3)=0),"배",
   AND(ISNUMBER(E154),E154&gt;0),"자"
)</f>
        <v>0</v>
      </c>
      <c r="AG154" s="26" cm="1">
        <f t="array" ref="AG154">_xlfn.IFS(
   OR(F154="",ISBLANK(F154),F154=0),0,
   ISNUMBER(MATCH(F154,{2,3,5,7,11,13,17,19,23,29,31,37,41,43},0)),"소",
   AND(ISNUMBER(F154),MOD(F154,3)=0),"배",
   AND(ISNUMBER(F154),F154&gt;0),"자"
)</f>
        <v>0</v>
      </c>
      <c r="AH154" s="26" cm="1">
        <f t="array" ref="AH154">_xlfn.IFS(
   OR(G154="",ISBLANK(G154),G154=0),0,
   ISNUMBER(MATCH(G154,{2,3,5,7,11,13,17,19,23,29,31,37,41,43},0)),"소",
   AND(ISNUMBER(G154),MOD(G154,3)=0),"배",
   AND(ISNUMBER(G154),G154&gt;0),"자"
)</f>
        <v>0</v>
      </c>
      <c r="AI154" s="30"/>
      <c r="AJ154" s="3">
        <f t="shared" si="90"/>
        <v>0</v>
      </c>
      <c r="AK154" s="3">
        <f t="shared" si="91"/>
        <v>0</v>
      </c>
      <c r="AL154" s="3">
        <f t="shared" si="92"/>
        <v>6</v>
      </c>
      <c r="AM154" s="33"/>
      <c r="AN154" s="3">
        <f t="shared" si="93"/>
        <v>0</v>
      </c>
      <c r="AO154" s="3">
        <f t="shared" si="94"/>
        <v>0</v>
      </c>
      <c r="AP154" s="3">
        <f t="shared" si="95"/>
        <v>0</v>
      </c>
      <c r="AQ154" s="3">
        <f t="shared" si="96"/>
        <v>0</v>
      </c>
      <c r="AR154" s="3">
        <f t="shared" si="97"/>
        <v>0</v>
      </c>
      <c r="AS154" s="28" t="e">
        <f>#REF!</f>
        <v>#REF!</v>
      </c>
      <c r="AT154" s="28" t="e">
        <f>#REF!*2</f>
        <v>#REF!</v>
      </c>
      <c r="AU154" s="28" t="e">
        <f>#REF!</f>
        <v>#REF!</v>
      </c>
      <c r="AV154" s="28" t="e">
        <f>#REF!*2</f>
        <v>#REF!</v>
      </c>
      <c r="AW154" s="28" t="e">
        <f>#REF!</f>
        <v>#REF!</v>
      </c>
      <c r="AX154" s="28" t="e">
        <f>#REF!*2</f>
        <v>#REF!</v>
      </c>
      <c r="AY154" s="28" t="e">
        <f>#REF!</f>
        <v>#REF!</v>
      </c>
      <c r="AZ154" s="28" t="e">
        <f>#REF!*2</f>
        <v>#REF!</v>
      </c>
      <c r="BA154" s="28" t="e">
        <f>#REF!</f>
        <v>#REF!</v>
      </c>
      <c r="BB154" s="28" t="e">
        <f>#REF!*2</f>
        <v>#REF!</v>
      </c>
      <c r="BC154" s="28" t="e">
        <f>#REF!</f>
        <v>#REF!</v>
      </c>
      <c r="BD154" s="28" t="e">
        <f>#REF!*2</f>
        <v>#REF!</v>
      </c>
      <c r="BE154" s="9" t="e">
        <f>#REF!-#REF!</f>
        <v>#REF!</v>
      </c>
      <c r="BF154" s="9" t="e">
        <f>#REF!-#REF!</f>
        <v>#REF!</v>
      </c>
      <c r="BG154" s="9" t="e">
        <f>#REF!-#REF!</f>
        <v>#REF!</v>
      </c>
      <c r="BH154" s="9" t="e">
        <f>#REF!-#REF!</f>
        <v>#REF!</v>
      </c>
      <c r="BI154" s="9" t="e">
        <f>#REF!-#REF!</f>
        <v>#REF!</v>
      </c>
      <c r="BJ154" s="33"/>
      <c r="BK154" s="3">
        <f t="shared" si="98"/>
        <v>0</v>
      </c>
      <c r="BL154" s="3">
        <f t="shared" si="99"/>
        <v>0</v>
      </c>
      <c r="BM154" s="3">
        <f t="shared" si="100"/>
        <v>0</v>
      </c>
      <c r="BN154" s="3">
        <f t="shared" si="101"/>
        <v>0</v>
      </c>
      <c r="BO154" s="3">
        <f t="shared" si="102"/>
        <v>0</v>
      </c>
      <c r="BP154" s="28" t="e">
        <f>#REF!</f>
        <v>#REF!</v>
      </c>
      <c r="BQ154" s="28" t="e">
        <f>#REF!*2</f>
        <v>#REF!</v>
      </c>
      <c r="BR154" s="28" t="e">
        <f>#REF!</f>
        <v>#REF!</v>
      </c>
      <c r="BS154" s="28" t="e">
        <f>#REF!*2</f>
        <v>#REF!</v>
      </c>
      <c r="BT154" s="28" t="e">
        <f>#REF!</f>
        <v>#REF!</v>
      </c>
      <c r="BU154" s="28" t="e">
        <f>#REF!*2</f>
        <v>#REF!</v>
      </c>
      <c r="BV154" s="28" t="e">
        <f>#REF!</f>
        <v>#REF!</v>
      </c>
      <c r="BW154" s="28" t="e">
        <f>#REF!*2</f>
        <v>#REF!</v>
      </c>
      <c r="BX154" s="28" t="e">
        <f>#REF!</f>
        <v>#REF!</v>
      </c>
      <c r="BY154" s="28" t="e">
        <f>#REF!*2</f>
        <v>#REF!</v>
      </c>
      <c r="BZ154" s="28" t="e">
        <f>#REF!</f>
        <v>#REF!</v>
      </c>
      <c r="CA154" s="28" t="e">
        <f>#REF!*2</f>
        <v>#REF!</v>
      </c>
      <c r="CB154" s="9">
        <f t="shared" si="103"/>
        <v>0</v>
      </c>
      <c r="CC154" s="9">
        <f t="shared" si="104"/>
        <v>0</v>
      </c>
      <c r="CD154" s="9">
        <f t="shared" si="105"/>
        <v>0</v>
      </c>
      <c r="CE154" s="9">
        <f t="shared" si="106"/>
        <v>0</v>
      </c>
      <c r="CF154" s="9">
        <f t="shared" si="107"/>
        <v>0</v>
      </c>
      <c r="CG154" s="33"/>
      <c r="CH154" s="9">
        <f t="shared" si="108"/>
        <v>0</v>
      </c>
      <c r="CI154" s="9">
        <f t="shared" si="109"/>
        <v>0</v>
      </c>
      <c r="CJ154" s="9">
        <f t="shared" si="110"/>
        <v>0</v>
      </c>
      <c r="CK154" s="9">
        <f t="shared" si="111"/>
        <v>0</v>
      </c>
      <c r="CL154" s="9">
        <f t="shared" si="112"/>
        <v>0</v>
      </c>
      <c r="CM154" s="32"/>
      <c r="CN154" s="3">
        <f t="shared" si="113"/>
        <v>0</v>
      </c>
      <c r="CO154" s="3">
        <f t="shared" si="114"/>
        <v>0</v>
      </c>
      <c r="CP154" s="3">
        <f t="shared" si="115"/>
        <v>0</v>
      </c>
      <c r="CQ154" s="3">
        <f t="shared" si="116"/>
        <v>0</v>
      </c>
      <c r="CR154" s="3">
        <f t="shared" si="117"/>
        <v>0</v>
      </c>
      <c r="CS154" s="31"/>
      <c r="CT154" s="3" cm="1">
        <f t="array" ref="CT154">SUMPRODUCT(--(MOD(CH154:CL154,2)=1))</f>
        <v>0</v>
      </c>
      <c r="CU154" s="3">
        <f t="shared" si="118"/>
        <v>5</v>
      </c>
      <c r="CV154" s="30"/>
      <c r="CW154" s="3" cm="1">
        <f t="array" ref="CW154">SUMPRODUCT(--(MOD(CH154:CL154,10)&gt;=1), --(MOD(CH154:CL154,10)&lt;=5))</f>
        <v>0</v>
      </c>
      <c r="CX154" s="3">
        <f t="shared" si="119"/>
        <v>5</v>
      </c>
      <c r="CY154" s="30"/>
      <c r="CZ154" s="3" cm="1">
        <f t="array" ref="CZ154">IFERROR(COUNT(_xlfn._xlws.FILTER(CH154:CL154, ISNUMBER(MATCH(CH154:CL154, {2,3,5,7,11,13,17,19,23,29,31,37,41,43}, 0)))), 0)</f>
        <v>0</v>
      </c>
      <c r="DA154" s="3" cm="1">
        <f t="array" ref="DA154">IFERROR(COUNT(_xlfn._xlws.FILTER(CH154:CL154, ISNUMBER(MATCH(CH154:CL154, {1,4,8,10,14,16,20,22,25,26,28,32,34,35,38,40,44}, 0)))), 0)</f>
        <v>0</v>
      </c>
      <c r="DB154" s="3" cm="1">
        <f t="array" ref="DB154">IFERROR(COUNT(_xlfn._xlws.FILTER(CH154:CL154, ISNUMBER(MATCH(CH154:CL154, {6,9,12,15,18,21,24,27,30,33,36,39,42,45}, 0)))), 0)</f>
        <v>0</v>
      </c>
      <c r="DC154" s="29"/>
      <c r="DD154" s="28" t="e">
        <f>#REF!</f>
        <v>#REF!</v>
      </c>
      <c r="DE154" s="28" t="e">
        <f>#REF!*2</f>
        <v>#REF!</v>
      </c>
      <c r="DF154" s="28" t="e">
        <f>#REF!</f>
        <v>#REF!</v>
      </c>
      <c r="DG154" s="28" t="e">
        <f>#REF!*2</f>
        <v>#REF!</v>
      </c>
      <c r="DH154" s="28" t="e">
        <f>#REF!</f>
        <v>#REF!</v>
      </c>
      <c r="DI154" s="28" t="e">
        <f>#REF!*2</f>
        <v>#REF!</v>
      </c>
      <c r="DJ154" s="28" t="e">
        <f>#REF!</f>
        <v>#REF!</v>
      </c>
      <c r="DK154" s="28" t="e">
        <f>#REF!*2</f>
        <v>#REF!</v>
      </c>
      <c r="DL154" s="28" t="e">
        <f>#REF!</f>
        <v>#REF!</v>
      </c>
      <c r="DM154" s="28" t="e">
        <f>#REF!*2</f>
        <v>#REF!</v>
      </c>
      <c r="DN154" s="27"/>
      <c r="DO154" s="26"/>
      <c r="DP154" s="26"/>
      <c r="DQ154" s="26"/>
      <c r="DR154" s="26"/>
      <c r="DS154" s="26"/>
      <c r="DT154" s="25"/>
    </row>
    <row r="155" spans="2:124" x14ac:dyDescent="0.3"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2"/>
      <c r="I155" s="3">
        <f t="shared" si="80"/>
        <v>0</v>
      </c>
      <c r="J155" s="3">
        <f t="shared" si="81"/>
        <v>0</v>
      </c>
      <c r="K155" s="3">
        <f t="shared" si="82"/>
        <v>0</v>
      </c>
      <c r="L155" s="3">
        <f t="shared" si="83"/>
        <v>0</v>
      </c>
      <c r="M155" s="3">
        <f t="shared" si="84"/>
        <v>0</v>
      </c>
      <c r="N155" s="3">
        <f t="shared" si="85"/>
        <v>0</v>
      </c>
      <c r="O155" s="32"/>
      <c r="P155" s="3" cm="1">
        <f t="array" ref="P155">SUMPRODUCT(--(MOD(B155:G155,2)=1))</f>
        <v>0</v>
      </c>
      <c r="Q155" s="3">
        <f t="shared" si="86"/>
        <v>6</v>
      </c>
      <c r="R155" s="34"/>
      <c r="S155" s="3">
        <f t="shared" si="87"/>
        <v>0</v>
      </c>
      <c r="T155" s="3">
        <f t="shared" si="88"/>
        <v>6</v>
      </c>
      <c r="U155" s="34"/>
      <c r="V155" s="3" cm="1">
        <f t="array" ref="V155">SUMPRODUCT(--(MOD(B155:G155,10)&gt;=1), --(MOD(B155:G155,10)&lt;=5))</f>
        <v>0</v>
      </c>
      <c r="W155" s="3">
        <f t="shared" si="89"/>
        <v>6</v>
      </c>
      <c r="X155" s="34"/>
      <c r="Y155" s="3" cm="1">
        <f t="array" ref="Y155">IFERROR(COUNT(_xlfn._xlws.FILTER(B155:G155, ISNUMBER(MATCH(B155:G155, {2,3,5,7,11,13,17,19,23,29,31,37,41,43}, 0)))), 0)</f>
        <v>0</v>
      </c>
      <c r="Z155" s="3" cm="1">
        <f t="array" ref="Z155">IFERROR(COUNT(_xlfn._xlws.FILTER(B155:G155, ISNUMBER(MATCH(B155:G155, {1,4,8,10,14,16,20,22,25,26,28,32,34,35,38,40,44}, 0)))), 0)</f>
        <v>0</v>
      </c>
      <c r="AA155" s="3" cm="1">
        <f t="array" ref="AA155">IFERROR(COUNT(_xlfn._xlws.FILTER(B155:G155, ISNUMBER(MATCH(B155:G155, {6,9,12,15,18,21,24,27,30,33,36,39,42,45}, 0)))), 0)</f>
        <v>0</v>
      </c>
      <c r="AB155" s="30"/>
      <c r="AC155" s="26" cm="1">
        <f t="array" ref="AC155">_xlfn.IFS(
   OR(B155="",ISBLANK(B155),B155=0),0,
   ISNUMBER(MATCH(B155,{2,3,5,7,11,13,17,19,23,29,31,37,41,43},0)),"소",
   AND(ISNUMBER(B155),MOD(B155,3)=0),"배",
   AND(ISNUMBER(B155),B155&gt;0),"자"
)</f>
        <v>0</v>
      </c>
      <c r="AD155" s="26" cm="1">
        <f t="array" ref="AD155">_xlfn.IFS(
   OR(C155="",ISBLANK(C155),C155=0),0,
   ISNUMBER(MATCH(C155,{2,3,5,7,11,13,17,19,23,29,31,37,41,43},0)),"소",
   AND(ISNUMBER(C155),MOD(C155,3)=0),"배",
   AND(ISNUMBER(C155),C155&gt;0),"자"
)</f>
        <v>0</v>
      </c>
      <c r="AE155" s="26" cm="1">
        <f t="array" ref="AE155">_xlfn.IFS(
   OR(D155="",ISBLANK(D155),D155=0),0,
   ISNUMBER(MATCH(D155,{2,3,5,7,11,13,17,19,23,29,31,37,41,43},0)),"소",
   AND(ISNUMBER(D155),MOD(D155,3)=0),"배",
   AND(ISNUMBER(D155),D155&gt;0),"자"
)</f>
        <v>0</v>
      </c>
      <c r="AF155" s="26" cm="1">
        <f t="array" ref="AF155">_xlfn.IFS(
   OR(E155="",ISBLANK(E155),E155=0),0,
   ISNUMBER(MATCH(E155,{2,3,5,7,11,13,17,19,23,29,31,37,41,43},0)),"소",
   AND(ISNUMBER(E155),MOD(E155,3)=0),"배",
   AND(ISNUMBER(E155),E155&gt;0),"자"
)</f>
        <v>0</v>
      </c>
      <c r="AG155" s="26" cm="1">
        <f t="array" ref="AG155">_xlfn.IFS(
   OR(F155="",ISBLANK(F155),F155=0),0,
   ISNUMBER(MATCH(F155,{2,3,5,7,11,13,17,19,23,29,31,37,41,43},0)),"소",
   AND(ISNUMBER(F155),MOD(F155,3)=0),"배",
   AND(ISNUMBER(F155),F155&gt;0),"자"
)</f>
        <v>0</v>
      </c>
      <c r="AH155" s="26" cm="1">
        <f t="array" ref="AH155">_xlfn.IFS(
   OR(G155="",ISBLANK(G155),G155=0),0,
   ISNUMBER(MATCH(G155,{2,3,5,7,11,13,17,19,23,29,31,37,41,43},0)),"소",
   AND(ISNUMBER(G155),MOD(G155,3)=0),"배",
   AND(ISNUMBER(G155),G155&gt;0),"자"
)</f>
        <v>0</v>
      </c>
      <c r="AI155" s="30"/>
      <c r="AJ155" s="3">
        <f t="shared" si="90"/>
        <v>0</v>
      </c>
      <c r="AK155" s="3">
        <f t="shared" si="91"/>
        <v>0</v>
      </c>
      <c r="AL155" s="3">
        <f t="shared" si="92"/>
        <v>6</v>
      </c>
      <c r="AM155" s="33"/>
      <c r="AN155" s="3">
        <f t="shared" si="93"/>
        <v>0</v>
      </c>
      <c r="AO155" s="3">
        <f t="shared" si="94"/>
        <v>0</v>
      </c>
      <c r="AP155" s="3">
        <f t="shared" si="95"/>
        <v>0</v>
      </c>
      <c r="AQ155" s="3">
        <f t="shared" si="96"/>
        <v>0</v>
      </c>
      <c r="AR155" s="3">
        <f t="shared" si="97"/>
        <v>0</v>
      </c>
      <c r="AS155" s="28" t="e">
        <f>#REF!</f>
        <v>#REF!</v>
      </c>
      <c r="AT155" s="28" t="e">
        <f>#REF!*2</f>
        <v>#REF!</v>
      </c>
      <c r="AU155" s="28" t="e">
        <f>#REF!</f>
        <v>#REF!</v>
      </c>
      <c r="AV155" s="28" t="e">
        <f>#REF!*2</f>
        <v>#REF!</v>
      </c>
      <c r="AW155" s="28" t="e">
        <f>#REF!</f>
        <v>#REF!</v>
      </c>
      <c r="AX155" s="28" t="e">
        <f>#REF!*2</f>
        <v>#REF!</v>
      </c>
      <c r="AY155" s="28" t="e">
        <f>#REF!</f>
        <v>#REF!</v>
      </c>
      <c r="AZ155" s="28" t="e">
        <f>#REF!*2</f>
        <v>#REF!</v>
      </c>
      <c r="BA155" s="28" t="e">
        <f>#REF!</f>
        <v>#REF!</v>
      </c>
      <c r="BB155" s="28" t="e">
        <f>#REF!*2</f>
        <v>#REF!</v>
      </c>
      <c r="BC155" s="28" t="e">
        <f>#REF!</f>
        <v>#REF!</v>
      </c>
      <c r="BD155" s="28" t="e">
        <f>#REF!*2</f>
        <v>#REF!</v>
      </c>
      <c r="BE155" s="9" t="e">
        <f>#REF!-#REF!</f>
        <v>#REF!</v>
      </c>
      <c r="BF155" s="9" t="e">
        <f>#REF!-#REF!</f>
        <v>#REF!</v>
      </c>
      <c r="BG155" s="9" t="e">
        <f>#REF!-#REF!</f>
        <v>#REF!</v>
      </c>
      <c r="BH155" s="9" t="e">
        <f>#REF!-#REF!</f>
        <v>#REF!</v>
      </c>
      <c r="BI155" s="9" t="e">
        <f>#REF!-#REF!</f>
        <v>#REF!</v>
      </c>
      <c r="BJ155" s="33"/>
      <c r="BK155" s="3">
        <f t="shared" si="98"/>
        <v>0</v>
      </c>
      <c r="BL155" s="3">
        <f t="shared" si="99"/>
        <v>0</v>
      </c>
      <c r="BM155" s="3">
        <f t="shared" si="100"/>
        <v>0</v>
      </c>
      <c r="BN155" s="3">
        <f t="shared" si="101"/>
        <v>0</v>
      </c>
      <c r="BO155" s="3">
        <f t="shared" si="102"/>
        <v>0</v>
      </c>
      <c r="BP155" s="28" t="e">
        <f>#REF!</f>
        <v>#REF!</v>
      </c>
      <c r="BQ155" s="28" t="e">
        <f>#REF!*2</f>
        <v>#REF!</v>
      </c>
      <c r="BR155" s="28" t="e">
        <f>#REF!</f>
        <v>#REF!</v>
      </c>
      <c r="BS155" s="28" t="e">
        <f>#REF!*2</f>
        <v>#REF!</v>
      </c>
      <c r="BT155" s="28" t="e">
        <f>#REF!</f>
        <v>#REF!</v>
      </c>
      <c r="BU155" s="28" t="e">
        <f>#REF!*2</f>
        <v>#REF!</v>
      </c>
      <c r="BV155" s="28" t="e">
        <f>#REF!</f>
        <v>#REF!</v>
      </c>
      <c r="BW155" s="28" t="e">
        <f>#REF!*2</f>
        <v>#REF!</v>
      </c>
      <c r="BX155" s="28" t="e">
        <f>#REF!</f>
        <v>#REF!</v>
      </c>
      <c r="BY155" s="28" t="e">
        <f>#REF!*2</f>
        <v>#REF!</v>
      </c>
      <c r="BZ155" s="28" t="e">
        <f>#REF!</f>
        <v>#REF!</v>
      </c>
      <c r="CA155" s="28" t="e">
        <f>#REF!*2</f>
        <v>#REF!</v>
      </c>
      <c r="CB155" s="9">
        <f t="shared" si="103"/>
        <v>0</v>
      </c>
      <c r="CC155" s="9">
        <f t="shared" si="104"/>
        <v>0</v>
      </c>
      <c r="CD155" s="9">
        <f t="shared" si="105"/>
        <v>0</v>
      </c>
      <c r="CE155" s="9">
        <f t="shared" si="106"/>
        <v>0</v>
      </c>
      <c r="CF155" s="9">
        <f t="shared" si="107"/>
        <v>0</v>
      </c>
      <c r="CG155" s="33"/>
      <c r="CH155" s="9">
        <f t="shared" si="108"/>
        <v>0</v>
      </c>
      <c r="CI155" s="9">
        <f t="shared" si="109"/>
        <v>0</v>
      </c>
      <c r="CJ155" s="9">
        <f t="shared" si="110"/>
        <v>0</v>
      </c>
      <c r="CK155" s="9">
        <f t="shared" si="111"/>
        <v>0</v>
      </c>
      <c r="CL155" s="9">
        <f t="shared" si="112"/>
        <v>0</v>
      </c>
      <c r="CM155" s="32"/>
      <c r="CN155" s="3">
        <f t="shared" si="113"/>
        <v>0</v>
      </c>
      <c r="CO155" s="3">
        <f t="shared" si="114"/>
        <v>0</v>
      </c>
      <c r="CP155" s="3">
        <f t="shared" si="115"/>
        <v>0</v>
      </c>
      <c r="CQ155" s="3">
        <f t="shared" si="116"/>
        <v>0</v>
      </c>
      <c r="CR155" s="3">
        <f t="shared" si="117"/>
        <v>0</v>
      </c>
      <c r="CS155" s="31"/>
      <c r="CT155" s="3" cm="1">
        <f t="array" ref="CT155">SUMPRODUCT(--(MOD(CH155:CL155,2)=1))</f>
        <v>0</v>
      </c>
      <c r="CU155" s="3">
        <f t="shared" si="118"/>
        <v>5</v>
      </c>
      <c r="CV155" s="30"/>
      <c r="CW155" s="3" cm="1">
        <f t="array" ref="CW155">SUMPRODUCT(--(MOD(CH155:CL155,10)&gt;=1), --(MOD(CH155:CL155,10)&lt;=5))</f>
        <v>0</v>
      </c>
      <c r="CX155" s="3">
        <f t="shared" si="119"/>
        <v>5</v>
      </c>
      <c r="CY155" s="30"/>
      <c r="CZ155" s="3" cm="1">
        <f t="array" ref="CZ155">IFERROR(COUNT(_xlfn._xlws.FILTER(CH155:CL155, ISNUMBER(MATCH(CH155:CL155, {2,3,5,7,11,13,17,19,23,29,31,37,41,43}, 0)))), 0)</f>
        <v>0</v>
      </c>
      <c r="DA155" s="3" cm="1">
        <f t="array" ref="DA155">IFERROR(COUNT(_xlfn._xlws.FILTER(CH155:CL155, ISNUMBER(MATCH(CH155:CL155, {1,4,8,10,14,16,20,22,25,26,28,32,34,35,38,40,44}, 0)))), 0)</f>
        <v>0</v>
      </c>
      <c r="DB155" s="3" cm="1">
        <f t="array" ref="DB155">IFERROR(COUNT(_xlfn._xlws.FILTER(CH155:CL155, ISNUMBER(MATCH(CH155:CL155, {6,9,12,15,18,21,24,27,30,33,36,39,42,45}, 0)))), 0)</f>
        <v>0</v>
      </c>
      <c r="DC155" s="29"/>
      <c r="DD155" s="28" t="e">
        <f>#REF!</f>
        <v>#REF!</v>
      </c>
      <c r="DE155" s="28" t="e">
        <f>#REF!*2</f>
        <v>#REF!</v>
      </c>
      <c r="DF155" s="28" t="e">
        <f>#REF!</f>
        <v>#REF!</v>
      </c>
      <c r="DG155" s="28" t="e">
        <f>#REF!*2</f>
        <v>#REF!</v>
      </c>
      <c r="DH155" s="28" t="e">
        <f>#REF!</f>
        <v>#REF!</v>
      </c>
      <c r="DI155" s="28" t="e">
        <f>#REF!*2</f>
        <v>#REF!</v>
      </c>
      <c r="DJ155" s="28" t="e">
        <f>#REF!</f>
        <v>#REF!</v>
      </c>
      <c r="DK155" s="28" t="e">
        <f>#REF!*2</f>
        <v>#REF!</v>
      </c>
      <c r="DL155" s="28" t="e">
        <f>#REF!</f>
        <v>#REF!</v>
      </c>
      <c r="DM155" s="28" t="e">
        <f>#REF!*2</f>
        <v>#REF!</v>
      </c>
      <c r="DN155" s="27"/>
      <c r="DO155" s="26"/>
      <c r="DP155" s="26"/>
      <c r="DQ155" s="26"/>
      <c r="DR155" s="26"/>
      <c r="DS155" s="26"/>
      <c r="DT155" s="25"/>
    </row>
    <row r="156" spans="2:124" x14ac:dyDescent="0.3"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2"/>
      <c r="I156" s="3">
        <f t="shared" si="80"/>
        <v>0</v>
      </c>
      <c r="J156" s="3">
        <f t="shared" si="81"/>
        <v>0</v>
      </c>
      <c r="K156" s="3">
        <f t="shared" si="82"/>
        <v>0</v>
      </c>
      <c r="L156" s="3">
        <f t="shared" si="83"/>
        <v>0</v>
      </c>
      <c r="M156" s="3">
        <f t="shared" si="84"/>
        <v>0</v>
      </c>
      <c r="N156" s="3">
        <f t="shared" si="85"/>
        <v>0</v>
      </c>
      <c r="O156" s="32"/>
      <c r="P156" s="3" cm="1">
        <f t="array" ref="P156">SUMPRODUCT(--(MOD(B156:G156,2)=1))</f>
        <v>0</v>
      </c>
      <c r="Q156" s="3">
        <f t="shared" si="86"/>
        <v>6</v>
      </c>
      <c r="R156" s="34"/>
      <c r="S156" s="3">
        <f t="shared" si="87"/>
        <v>0</v>
      </c>
      <c r="T156" s="3">
        <f t="shared" si="88"/>
        <v>6</v>
      </c>
      <c r="U156" s="34"/>
      <c r="V156" s="3" cm="1">
        <f t="array" ref="V156">SUMPRODUCT(--(MOD(B156:G156,10)&gt;=1), --(MOD(B156:G156,10)&lt;=5))</f>
        <v>0</v>
      </c>
      <c r="W156" s="3">
        <f t="shared" si="89"/>
        <v>6</v>
      </c>
      <c r="X156" s="34"/>
      <c r="Y156" s="3" cm="1">
        <f t="array" ref="Y156">IFERROR(COUNT(_xlfn._xlws.FILTER(B156:G156, ISNUMBER(MATCH(B156:G156, {2,3,5,7,11,13,17,19,23,29,31,37,41,43}, 0)))), 0)</f>
        <v>0</v>
      </c>
      <c r="Z156" s="3" cm="1">
        <f t="array" ref="Z156">IFERROR(COUNT(_xlfn._xlws.FILTER(B156:G156, ISNUMBER(MATCH(B156:G156, {1,4,8,10,14,16,20,22,25,26,28,32,34,35,38,40,44}, 0)))), 0)</f>
        <v>0</v>
      </c>
      <c r="AA156" s="3" cm="1">
        <f t="array" ref="AA156">IFERROR(COUNT(_xlfn._xlws.FILTER(B156:G156, ISNUMBER(MATCH(B156:G156, {6,9,12,15,18,21,24,27,30,33,36,39,42,45}, 0)))), 0)</f>
        <v>0</v>
      </c>
      <c r="AB156" s="30"/>
      <c r="AC156" s="26" cm="1">
        <f t="array" ref="AC156">_xlfn.IFS(
   OR(B156="",ISBLANK(B156),B156=0),0,
   ISNUMBER(MATCH(B156,{2,3,5,7,11,13,17,19,23,29,31,37,41,43},0)),"소",
   AND(ISNUMBER(B156),MOD(B156,3)=0),"배",
   AND(ISNUMBER(B156),B156&gt;0),"자"
)</f>
        <v>0</v>
      </c>
      <c r="AD156" s="26" cm="1">
        <f t="array" ref="AD156">_xlfn.IFS(
   OR(C156="",ISBLANK(C156),C156=0),0,
   ISNUMBER(MATCH(C156,{2,3,5,7,11,13,17,19,23,29,31,37,41,43},0)),"소",
   AND(ISNUMBER(C156),MOD(C156,3)=0),"배",
   AND(ISNUMBER(C156),C156&gt;0),"자"
)</f>
        <v>0</v>
      </c>
      <c r="AE156" s="26" cm="1">
        <f t="array" ref="AE156">_xlfn.IFS(
   OR(D156="",ISBLANK(D156),D156=0),0,
   ISNUMBER(MATCH(D156,{2,3,5,7,11,13,17,19,23,29,31,37,41,43},0)),"소",
   AND(ISNUMBER(D156),MOD(D156,3)=0),"배",
   AND(ISNUMBER(D156),D156&gt;0),"자"
)</f>
        <v>0</v>
      </c>
      <c r="AF156" s="26" cm="1">
        <f t="array" ref="AF156">_xlfn.IFS(
   OR(E156="",ISBLANK(E156),E156=0),0,
   ISNUMBER(MATCH(E156,{2,3,5,7,11,13,17,19,23,29,31,37,41,43},0)),"소",
   AND(ISNUMBER(E156),MOD(E156,3)=0),"배",
   AND(ISNUMBER(E156),E156&gt;0),"자"
)</f>
        <v>0</v>
      </c>
      <c r="AG156" s="26" cm="1">
        <f t="array" ref="AG156">_xlfn.IFS(
   OR(F156="",ISBLANK(F156),F156=0),0,
   ISNUMBER(MATCH(F156,{2,3,5,7,11,13,17,19,23,29,31,37,41,43},0)),"소",
   AND(ISNUMBER(F156),MOD(F156,3)=0),"배",
   AND(ISNUMBER(F156),F156&gt;0),"자"
)</f>
        <v>0</v>
      </c>
      <c r="AH156" s="26" cm="1">
        <f t="array" ref="AH156">_xlfn.IFS(
   OR(G156="",ISBLANK(G156),G156=0),0,
   ISNUMBER(MATCH(G156,{2,3,5,7,11,13,17,19,23,29,31,37,41,43},0)),"소",
   AND(ISNUMBER(G156),MOD(G156,3)=0),"배",
   AND(ISNUMBER(G156),G156&gt;0),"자"
)</f>
        <v>0</v>
      </c>
      <c r="AI156" s="30"/>
      <c r="AJ156" s="3">
        <f t="shared" si="90"/>
        <v>0</v>
      </c>
      <c r="AK156" s="3">
        <f t="shared" si="91"/>
        <v>0</v>
      </c>
      <c r="AL156" s="3">
        <f t="shared" si="92"/>
        <v>6</v>
      </c>
      <c r="AM156" s="33"/>
      <c r="AN156" s="3">
        <f t="shared" si="93"/>
        <v>0</v>
      </c>
      <c r="AO156" s="3">
        <f t="shared" si="94"/>
        <v>0</v>
      </c>
      <c r="AP156" s="3">
        <f t="shared" si="95"/>
        <v>0</v>
      </c>
      <c r="AQ156" s="3">
        <f t="shared" si="96"/>
        <v>0</v>
      </c>
      <c r="AR156" s="3">
        <f t="shared" si="97"/>
        <v>0</v>
      </c>
      <c r="AS156" s="28" t="e">
        <f>#REF!</f>
        <v>#REF!</v>
      </c>
      <c r="AT156" s="28" t="e">
        <f>#REF!*2</f>
        <v>#REF!</v>
      </c>
      <c r="AU156" s="28" t="e">
        <f>#REF!</f>
        <v>#REF!</v>
      </c>
      <c r="AV156" s="28" t="e">
        <f>#REF!*2</f>
        <v>#REF!</v>
      </c>
      <c r="AW156" s="28" t="e">
        <f>#REF!</f>
        <v>#REF!</v>
      </c>
      <c r="AX156" s="28" t="e">
        <f>#REF!*2</f>
        <v>#REF!</v>
      </c>
      <c r="AY156" s="28" t="e">
        <f>#REF!</f>
        <v>#REF!</v>
      </c>
      <c r="AZ156" s="28" t="e">
        <f>#REF!*2</f>
        <v>#REF!</v>
      </c>
      <c r="BA156" s="28" t="e">
        <f>#REF!</f>
        <v>#REF!</v>
      </c>
      <c r="BB156" s="28" t="e">
        <f>#REF!*2</f>
        <v>#REF!</v>
      </c>
      <c r="BC156" s="28" t="e">
        <f>#REF!</f>
        <v>#REF!</v>
      </c>
      <c r="BD156" s="28" t="e">
        <f>#REF!*2</f>
        <v>#REF!</v>
      </c>
      <c r="BE156" s="9" t="e">
        <f>#REF!-#REF!</f>
        <v>#REF!</v>
      </c>
      <c r="BF156" s="9" t="e">
        <f>#REF!-#REF!</f>
        <v>#REF!</v>
      </c>
      <c r="BG156" s="9" t="e">
        <f>#REF!-#REF!</f>
        <v>#REF!</v>
      </c>
      <c r="BH156" s="9" t="e">
        <f>#REF!-#REF!</f>
        <v>#REF!</v>
      </c>
      <c r="BI156" s="9" t="e">
        <f>#REF!-#REF!</f>
        <v>#REF!</v>
      </c>
      <c r="BJ156" s="33"/>
      <c r="BK156" s="3">
        <f t="shared" si="98"/>
        <v>0</v>
      </c>
      <c r="BL156" s="3">
        <f t="shared" si="99"/>
        <v>0</v>
      </c>
      <c r="BM156" s="3">
        <f t="shared" si="100"/>
        <v>0</v>
      </c>
      <c r="BN156" s="3">
        <f t="shared" si="101"/>
        <v>0</v>
      </c>
      <c r="BO156" s="3">
        <f t="shared" si="102"/>
        <v>0</v>
      </c>
      <c r="BP156" s="28" t="e">
        <f>#REF!</f>
        <v>#REF!</v>
      </c>
      <c r="BQ156" s="28" t="e">
        <f>#REF!*2</f>
        <v>#REF!</v>
      </c>
      <c r="BR156" s="28" t="e">
        <f>#REF!</f>
        <v>#REF!</v>
      </c>
      <c r="BS156" s="28" t="e">
        <f>#REF!*2</f>
        <v>#REF!</v>
      </c>
      <c r="BT156" s="28" t="e">
        <f>#REF!</f>
        <v>#REF!</v>
      </c>
      <c r="BU156" s="28" t="e">
        <f>#REF!*2</f>
        <v>#REF!</v>
      </c>
      <c r="BV156" s="28" t="e">
        <f>#REF!</f>
        <v>#REF!</v>
      </c>
      <c r="BW156" s="28" t="e">
        <f>#REF!*2</f>
        <v>#REF!</v>
      </c>
      <c r="BX156" s="28" t="e">
        <f>#REF!</f>
        <v>#REF!</v>
      </c>
      <c r="BY156" s="28" t="e">
        <f>#REF!*2</f>
        <v>#REF!</v>
      </c>
      <c r="BZ156" s="28" t="e">
        <f>#REF!</f>
        <v>#REF!</v>
      </c>
      <c r="CA156" s="28" t="e">
        <f>#REF!*2</f>
        <v>#REF!</v>
      </c>
      <c r="CB156" s="9">
        <f t="shared" si="103"/>
        <v>0</v>
      </c>
      <c r="CC156" s="9">
        <f t="shared" si="104"/>
        <v>0</v>
      </c>
      <c r="CD156" s="9">
        <f t="shared" si="105"/>
        <v>0</v>
      </c>
      <c r="CE156" s="9">
        <f t="shared" si="106"/>
        <v>0</v>
      </c>
      <c r="CF156" s="9">
        <f t="shared" si="107"/>
        <v>0</v>
      </c>
      <c r="CG156" s="33"/>
      <c r="CH156" s="9">
        <f t="shared" si="108"/>
        <v>0</v>
      </c>
      <c r="CI156" s="9">
        <f t="shared" si="109"/>
        <v>0</v>
      </c>
      <c r="CJ156" s="9">
        <f t="shared" si="110"/>
        <v>0</v>
      </c>
      <c r="CK156" s="9">
        <f t="shared" si="111"/>
        <v>0</v>
      </c>
      <c r="CL156" s="9">
        <f t="shared" si="112"/>
        <v>0</v>
      </c>
      <c r="CM156" s="32"/>
      <c r="CN156" s="3">
        <f t="shared" si="113"/>
        <v>0</v>
      </c>
      <c r="CO156" s="3">
        <f t="shared" si="114"/>
        <v>0</v>
      </c>
      <c r="CP156" s="3">
        <f t="shared" si="115"/>
        <v>0</v>
      </c>
      <c r="CQ156" s="3">
        <f t="shared" si="116"/>
        <v>0</v>
      </c>
      <c r="CR156" s="3">
        <f t="shared" si="117"/>
        <v>0</v>
      </c>
      <c r="CS156" s="31"/>
      <c r="CT156" s="3" cm="1">
        <f t="array" ref="CT156">SUMPRODUCT(--(MOD(CH156:CL156,2)=1))</f>
        <v>0</v>
      </c>
      <c r="CU156" s="3">
        <f t="shared" si="118"/>
        <v>5</v>
      </c>
      <c r="CV156" s="30"/>
      <c r="CW156" s="3" cm="1">
        <f t="array" ref="CW156">SUMPRODUCT(--(MOD(CH156:CL156,10)&gt;=1), --(MOD(CH156:CL156,10)&lt;=5))</f>
        <v>0</v>
      </c>
      <c r="CX156" s="3">
        <f t="shared" si="119"/>
        <v>5</v>
      </c>
      <c r="CY156" s="30"/>
      <c r="CZ156" s="3" cm="1">
        <f t="array" ref="CZ156">IFERROR(COUNT(_xlfn._xlws.FILTER(CH156:CL156, ISNUMBER(MATCH(CH156:CL156, {2,3,5,7,11,13,17,19,23,29,31,37,41,43}, 0)))), 0)</f>
        <v>0</v>
      </c>
      <c r="DA156" s="3" cm="1">
        <f t="array" ref="DA156">IFERROR(COUNT(_xlfn._xlws.FILTER(CH156:CL156, ISNUMBER(MATCH(CH156:CL156, {1,4,8,10,14,16,20,22,25,26,28,32,34,35,38,40,44}, 0)))), 0)</f>
        <v>0</v>
      </c>
      <c r="DB156" s="3" cm="1">
        <f t="array" ref="DB156">IFERROR(COUNT(_xlfn._xlws.FILTER(CH156:CL156, ISNUMBER(MATCH(CH156:CL156, {6,9,12,15,18,21,24,27,30,33,36,39,42,45}, 0)))), 0)</f>
        <v>0</v>
      </c>
      <c r="DC156" s="29"/>
      <c r="DD156" s="28" t="e">
        <f>#REF!</f>
        <v>#REF!</v>
      </c>
      <c r="DE156" s="28" t="e">
        <f>#REF!*2</f>
        <v>#REF!</v>
      </c>
      <c r="DF156" s="28" t="e">
        <f>#REF!</f>
        <v>#REF!</v>
      </c>
      <c r="DG156" s="28" t="e">
        <f>#REF!*2</f>
        <v>#REF!</v>
      </c>
      <c r="DH156" s="28" t="e">
        <f>#REF!</f>
        <v>#REF!</v>
      </c>
      <c r="DI156" s="28" t="e">
        <f>#REF!*2</f>
        <v>#REF!</v>
      </c>
      <c r="DJ156" s="28" t="e">
        <f>#REF!</f>
        <v>#REF!</v>
      </c>
      <c r="DK156" s="28" t="e">
        <f>#REF!*2</f>
        <v>#REF!</v>
      </c>
      <c r="DL156" s="28" t="e">
        <f>#REF!</f>
        <v>#REF!</v>
      </c>
      <c r="DM156" s="28" t="e">
        <f>#REF!*2</f>
        <v>#REF!</v>
      </c>
      <c r="DN156" s="27"/>
      <c r="DO156" s="26"/>
      <c r="DP156" s="26"/>
      <c r="DQ156" s="26"/>
      <c r="DR156" s="26"/>
      <c r="DS156" s="26"/>
      <c r="DT156" s="25"/>
    </row>
    <row r="157" spans="2:124" x14ac:dyDescent="0.3"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2"/>
      <c r="I157" s="3">
        <f t="shared" si="80"/>
        <v>0</v>
      </c>
      <c r="J157" s="3">
        <f t="shared" si="81"/>
        <v>0</v>
      </c>
      <c r="K157" s="3">
        <f t="shared" si="82"/>
        <v>0</v>
      </c>
      <c r="L157" s="3">
        <f t="shared" si="83"/>
        <v>0</v>
      </c>
      <c r="M157" s="3">
        <f t="shared" si="84"/>
        <v>0</v>
      </c>
      <c r="N157" s="3">
        <f t="shared" si="85"/>
        <v>0</v>
      </c>
      <c r="O157" s="32"/>
      <c r="P157" s="3" cm="1">
        <f t="array" ref="P157">SUMPRODUCT(--(MOD(B157:G157,2)=1))</f>
        <v>0</v>
      </c>
      <c r="Q157" s="3">
        <f t="shared" si="86"/>
        <v>6</v>
      </c>
      <c r="R157" s="34"/>
      <c r="S157" s="3">
        <f t="shared" si="87"/>
        <v>0</v>
      </c>
      <c r="T157" s="3">
        <f t="shared" si="88"/>
        <v>6</v>
      </c>
      <c r="U157" s="34"/>
      <c r="V157" s="3" cm="1">
        <f t="array" ref="V157">SUMPRODUCT(--(MOD(B157:G157,10)&gt;=1), --(MOD(B157:G157,10)&lt;=5))</f>
        <v>0</v>
      </c>
      <c r="W157" s="3">
        <f t="shared" si="89"/>
        <v>6</v>
      </c>
      <c r="X157" s="34"/>
      <c r="Y157" s="3" cm="1">
        <f t="array" ref="Y157">IFERROR(COUNT(_xlfn._xlws.FILTER(B157:G157, ISNUMBER(MATCH(B157:G157, {2,3,5,7,11,13,17,19,23,29,31,37,41,43}, 0)))), 0)</f>
        <v>0</v>
      </c>
      <c r="Z157" s="3" cm="1">
        <f t="array" ref="Z157">IFERROR(COUNT(_xlfn._xlws.FILTER(B157:G157, ISNUMBER(MATCH(B157:G157, {1,4,8,10,14,16,20,22,25,26,28,32,34,35,38,40,44}, 0)))), 0)</f>
        <v>0</v>
      </c>
      <c r="AA157" s="3" cm="1">
        <f t="array" ref="AA157">IFERROR(COUNT(_xlfn._xlws.FILTER(B157:G157, ISNUMBER(MATCH(B157:G157, {6,9,12,15,18,21,24,27,30,33,36,39,42,45}, 0)))), 0)</f>
        <v>0</v>
      </c>
      <c r="AB157" s="30"/>
      <c r="AC157" s="26" cm="1">
        <f t="array" ref="AC157">_xlfn.IFS(
   OR(B157="",ISBLANK(B157),B157=0),0,
   ISNUMBER(MATCH(B157,{2,3,5,7,11,13,17,19,23,29,31,37,41,43},0)),"소",
   AND(ISNUMBER(B157),MOD(B157,3)=0),"배",
   AND(ISNUMBER(B157),B157&gt;0),"자"
)</f>
        <v>0</v>
      </c>
      <c r="AD157" s="26" cm="1">
        <f t="array" ref="AD157">_xlfn.IFS(
   OR(C157="",ISBLANK(C157),C157=0),0,
   ISNUMBER(MATCH(C157,{2,3,5,7,11,13,17,19,23,29,31,37,41,43},0)),"소",
   AND(ISNUMBER(C157),MOD(C157,3)=0),"배",
   AND(ISNUMBER(C157),C157&gt;0),"자"
)</f>
        <v>0</v>
      </c>
      <c r="AE157" s="26" cm="1">
        <f t="array" ref="AE157">_xlfn.IFS(
   OR(D157="",ISBLANK(D157),D157=0),0,
   ISNUMBER(MATCH(D157,{2,3,5,7,11,13,17,19,23,29,31,37,41,43},0)),"소",
   AND(ISNUMBER(D157),MOD(D157,3)=0),"배",
   AND(ISNUMBER(D157),D157&gt;0),"자"
)</f>
        <v>0</v>
      </c>
      <c r="AF157" s="26" cm="1">
        <f t="array" ref="AF157">_xlfn.IFS(
   OR(E157="",ISBLANK(E157),E157=0),0,
   ISNUMBER(MATCH(E157,{2,3,5,7,11,13,17,19,23,29,31,37,41,43},0)),"소",
   AND(ISNUMBER(E157),MOD(E157,3)=0),"배",
   AND(ISNUMBER(E157),E157&gt;0),"자"
)</f>
        <v>0</v>
      </c>
      <c r="AG157" s="26" cm="1">
        <f t="array" ref="AG157">_xlfn.IFS(
   OR(F157="",ISBLANK(F157),F157=0),0,
   ISNUMBER(MATCH(F157,{2,3,5,7,11,13,17,19,23,29,31,37,41,43},0)),"소",
   AND(ISNUMBER(F157),MOD(F157,3)=0),"배",
   AND(ISNUMBER(F157),F157&gt;0),"자"
)</f>
        <v>0</v>
      </c>
      <c r="AH157" s="26" cm="1">
        <f t="array" ref="AH157">_xlfn.IFS(
   OR(G157="",ISBLANK(G157),G157=0),0,
   ISNUMBER(MATCH(G157,{2,3,5,7,11,13,17,19,23,29,31,37,41,43},0)),"소",
   AND(ISNUMBER(G157),MOD(G157,3)=0),"배",
   AND(ISNUMBER(G157),G157&gt;0),"자"
)</f>
        <v>0</v>
      </c>
      <c r="AI157" s="30"/>
      <c r="AJ157" s="3">
        <f t="shared" si="90"/>
        <v>0</v>
      </c>
      <c r="AK157" s="3">
        <f t="shared" si="91"/>
        <v>0</v>
      </c>
      <c r="AL157" s="3">
        <f t="shared" si="92"/>
        <v>6</v>
      </c>
      <c r="AM157" s="33"/>
      <c r="AN157" s="3">
        <f t="shared" si="93"/>
        <v>0</v>
      </c>
      <c r="AO157" s="3">
        <f t="shared" si="94"/>
        <v>0</v>
      </c>
      <c r="AP157" s="3">
        <f t="shared" si="95"/>
        <v>0</v>
      </c>
      <c r="AQ157" s="3">
        <f t="shared" si="96"/>
        <v>0</v>
      </c>
      <c r="AR157" s="3">
        <f t="shared" si="97"/>
        <v>0</v>
      </c>
      <c r="AS157" s="28" t="e">
        <f>#REF!</f>
        <v>#REF!</v>
      </c>
      <c r="AT157" s="28" t="e">
        <f>#REF!*2</f>
        <v>#REF!</v>
      </c>
      <c r="AU157" s="28" t="e">
        <f>#REF!</f>
        <v>#REF!</v>
      </c>
      <c r="AV157" s="28" t="e">
        <f>#REF!*2</f>
        <v>#REF!</v>
      </c>
      <c r="AW157" s="28" t="e">
        <f>#REF!</f>
        <v>#REF!</v>
      </c>
      <c r="AX157" s="28" t="e">
        <f>#REF!*2</f>
        <v>#REF!</v>
      </c>
      <c r="AY157" s="28" t="e">
        <f>#REF!</f>
        <v>#REF!</v>
      </c>
      <c r="AZ157" s="28" t="e">
        <f>#REF!*2</f>
        <v>#REF!</v>
      </c>
      <c r="BA157" s="28" t="e">
        <f>#REF!</f>
        <v>#REF!</v>
      </c>
      <c r="BB157" s="28" t="e">
        <f>#REF!*2</f>
        <v>#REF!</v>
      </c>
      <c r="BC157" s="28" t="e">
        <f>#REF!</f>
        <v>#REF!</v>
      </c>
      <c r="BD157" s="28" t="e">
        <f>#REF!*2</f>
        <v>#REF!</v>
      </c>
      <c r="BE157" s="9" t="e">
        <f>#REF!-#REF!</f>
        <v>#REF!</v>
      </c>
      <c r="BF157" s="9" t="e">
        <f>#REF!-#REF!</f>
        <v>#REF!</v>
      </c>
      <c r="BG157" s="9" t="e">
        <f>#REF!-#REF!</f>
        <v>#REF!</v>
      </c>
      <c r="BH157" s="9" t="e">
        <f>#REF!-#REF!</f>
        <v>#REF!</v>
      </c>
      <c r="BI157" s="9" t="e">
        <f>#REF!-#REF!</f>
        <v>#REF!</v>
      </c>
      <c r="BJ157" s="33"/>
      <c r="BK157" s="3">
        <f t="shared" si="98"/>
        <v>0</v>
      </c>
      <c r="BL157" s="3">
        <f t="shared" si="99"/>
        <v>0</v>
      </c>
      <c r="BM157" s="3">
        <f t="shared" si="100"/>
        <v>0</v>
      </c>
      <c r="BN157" s="3">
        <f t="shared" si="101"/>
        <v>0</v>
      </c>
      <c r="BO157" s="3">
        <f t="shared" si="102"/>
        <v>0</v>
      </c>
      <c r="BP157" s="28" t="e">
        <f>#REF!</f>
        <v>#REF!</v>
      </c>
      <c r="BQ157" s="28" t="e">
        <f>#REF!*2</f>
        <v>#REF!</v>
      </c>
      <c r="BR157" s="28" t="e">
        <f>#REF!</f>
        <v>#REF!</v>
      </c>
      <c r="BS157" s="28" t="e">
        <f>#REF!*2</f>
        <v>#REF!</v>
      </c>
      <c r="BT157" s="28" t="e">
        <f>#REF!</f>
        <v>#REF!</v>
      </c>
      <c r="BU157" s="28" t="e">
        <f>#REF!*2</f>
        <v>#REF!</v>
      </c>
      <c r="BV157" s="28" t="e">
        <f>#REF!</f>
        <v>#REF!</v>
      </c>
      <c r="BW157" s="28" t="e">
        <f>#REF!*2</f>
        <v>#REF!</v>
      </c>
      <c r="BX157" s="28" t="e">
        <f>#REF!</f>
        <v>#REF!</v>
      </c>
      <c r="BY157" s="28" t="e">
        <f>#REF!*2</f>
        <v>#REF!</v>
      </c>
      <c r="BZ157" s="28" t="e">
        <f>#REF!</f>
        <v>#REF!</v>
      </c>
      <c r="CA157" s="28" t="e">
        <f>#REF!*2</f>
        <v>#REF!</v>
      </c>
      <c r="CB157" s="9">
        <f t="shared" si="103"/>
        <v>0</v>
      </c>
      <c r="CC157" s="9">
        <f t="shared" si="104"/>
        <v>0</v>
      </c>
      <c r="CD157" s="9">
        <f t="shared" si="105"/>
        <v>0</v>
      </c>
      <c r="CE157" s="9">
        <f t="shared" si="106"/>
        <v>0</v>
      </c>
      <c r="CF157" s="9">
        <f t="shared" si="107"/>
        <v>0</v>
      </c>
      <c r="CG157" s="33"/>
      <c r="CH157" s="9">
        <f t="shared" si="108"/>
        <v>0</v>
      </c>
      <c r="CI157" s="9">
        <f t="shared" si="109"/>
        <v>0</v>
      </c>
      <c r="CJ157" s="9">
        <f t="shared" si="110"/>
        <v>0</v>
      </c>
      <c r="CK157" s="9">
        <f t="shared" si="111"/>
        <v>0</v>
      </c>
      <c r="CL157" s="9">
        <f t="shared" si="112"/>
        <v>0</v>
      </c>
      <c r="CM157" s="32"/>
      <c r="CN157" s="3">
        <f t="shared" si="113"/>
        <v>0</v>
      </c>
      <c r="CO157" s="3">
        <f t="shared" si="114"/>
        <v>0</v>
      </c>
      <c r="CP157" s="3">
        <f t="shared" si="115"/>
        <v>0</v>
      </c>
      <c r="CQ157" s="3">
        <f t="shared" si="116"/>
        <v>0</v>
      </c>
      <c r="CR157" s="3">
        <f t="shared" si="117"/>
        <v>0</v>
      </c>
      <c r="CS157" s="31"/>
      <c r="CT157" s="3" cm="1">
        <f t="array" ref="CT157">SUMPRODUCT(--(MOD(CH157:CL157,2)=1))</f>
        <v>0</v>
      </c>
      <c r="CU157" s="3">
        <f t="shared" si="118"/>
        <v>5</v>
      </c>
      <c r="CV157" s="30"/>
      <c r="CW157" s="3" cm="1">
        <f t="array" ref="CW157">SUMPRODUCT(--(MOD(CH157:CL157,10)&gt;=1), --(MOD(CH157:CL157,10)&lt;=5))</f>
        <v>0</v>
      </c>
      <c r="CX157" s="3">
        <f t="shared" si="119"/>
        <v>5</v>
      </c>
      <c r="CY157" s="30"/>
      <c r="CZ157" s="3" cm="1">
        <f t="array" ref="CZ157">IFERROR(COUNT(_xlfn._xlws.FILTER(CH157:CL157, ISNUMBER(MATCH(CH157:CL157, {2,3,5,7,11,13,17,19,23,29,31,37,41,43}, 0)))), 0)</f>
        <v>0</v>
      </c>
      <c r="DA157" s="3" cm="1">
        <f t="array" ref="DA157">IFERROR(COUNT(_xlfn._xlws.FILTER(CH157:CL157, ISNUMBER(MATCH(CH157:CL157, {1,4,8,10,14,16,20,22,25,26,28,32,34,35,38,40,44}, 0)))), 0)</f>
        <v>0</v>
      </c>
      <c r="DB157" s="3" cm="1">
        <f t="array" ref="DB157">IFERROR(COUNT(_xlfn._xlws.FILTER(CH157:CL157, ISNUMBER(MATCH(CH157:CL157, {6,9,12,15,18,21,24,27,30,33,36,39,42,45}, 0)))), 0)</f>
        <v>0</v>
      </c>
      <c r="DC157" s="29"/>
      <c r="DD157" s="28" t="e">
        <f>#REF!</f>
        <v>#REF!</v>
      </c>
      <c r="DE157" s="28" t="e">
        <f>#REF!*2</f>
        <v>#REF!</v>
      </c>
      <c r="DF157" s="28" t="e">
        <f>#REF!</f>
        <v>#REF!</v>
      </c>
      <c r="DG157" s="28" t="e">
        <f>#REF!*2</f>
        <v>#REF!</v>
      </c>
      <c r="DH157" s="28" t="e">
        <f>#REF!</f>
        <v>#REF!</v>
      </c>
      <c r="DI157" s="28" t="e">
        <f>#REF!*2</f>
        <v>#REF!</v>
      </c>
      <c r="DJ157" s="28" t="e">
        <f>#REF!</f>
        <v>#REF!</v>
      </c>
      <c r="DK157" s="28" t="e">
        <f>#REF!*2</f>
        <v>#REF!</v>
      </c>
      <c r="DL157" s="28" t="e">
        <f>#REF!</f>
        <v>#REF!</v>
      </c>
      <c r="DM157" s="28" t="e">
        <f>#REF!*2</f>
        <v>#REF!</v>
      </c>
      <c r="DN157" s="27"/>
      <c r="DO157" s="26"/>
      <c r="DP157" s="26"/>
      <c r="DQ157" s="26"/>
      <c r="DR157" s="26"/>
      <c r="DS157" s="26"/>
      <c r="DT157" s="25"/>
    </row>
    <row r="158" spans="2:124" x14ac:dyDescent="0.3"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2"/>
      <c r="I158" s="3">
        <f t="shared" si="80"/>
        <v>0</v>
      </c>
      <c r="J158" s="3">
        <f t="shared" si="81"/>
        <v>0</v>
      </c>
      <c r="K158" s="3">
        <f t="shared" si="82"/>
        <v>0</v>
      </c>
      <c r="L158" s="3">
        <f t="shared" si="83"/>
        <v>0</v>
      </c>
      <c r="M158" s="3">
        <f t="shared" si="84"/>
        <v>0</v>
      </c>
      <c r="N158" s="3">
        <f t="shared" si="85"/>
        <v>0</v>
      </c>
      <c r="O158" s="32"/>
      <c r="P158" s="3" cm="1">
        <f t="array" ref="P158">SUMPRODUCT(--(MOD(B158:G158,2)=1))</f>
        <v>0</v>
      </c>
      <c r="Q158" s="3">
        <f t="shared" si="86"/>
        <v>6</v>
      </c>
      <c r="R158" s="34"/>
      <c r="S158" s="3">
        <f t="shared" si="87"/>
        <v>0</v>
      </c>
      <c r="T158" s="3">
        <f t="shared" si="88"/>
        <v>6</v>
      </c>
      <c r="U158" s="34"/>
      <c r="V158" s="3" cm="1">
        <f t="array" ref="V158">SUMPRODUCT(--(MOD(B158:G158,10)&gt;=1), --(MOD(B158:G158,10)&lt;=5))</f>
        <v>0</v>
      </c>
      <c r="W158" s="3">
        <f t="shared" si="89"/>
        <v>6</v>
      </c>
      <c r="X158" s="34"/>
      <c r="Y158" s="3" cm="1">
        <f t="array" ref="Y158">IFERROR(COUNT(_xlfn._xlws.FILTER(B158:G158, ISNUMBER(MATCH(B158:G158, {2,3,5,7,11,13,17,19,23,29,31,37,41,43}, 0)))), 0)</f>
        <v>0</v>
      </c>
      <c r="Z158" s="3" cm="1">
        <f t="array" ref="Z158">IFERROR(COUNT(_xlfn._xlws.FILTER(B158:G158, ISNUMBER(MATCH(B158:G158, {1,4,8,10,14,16,20,22,25,26,28,32,34,35,38,40,44}, 0)))), 0)</f>
        <v>0</v>
      </c>
      <c r="AA158" s="3" cm="1">
        <f t="array" ref="AA158">IFERROR(COUNT(_xlfn._xlws.FILTER(B158:G158, ISNUMBER(MATCH(B158:G158, {6,9,12,15,18,21,24,27,30,33,36,39,42,45}, 0)))), 0)</f>
        <v>0</v>
      </c>
      <c r="AB158" s="30"/>
      <c r="AC158" s="26" cm="1">
        <f t="array" ref="AC158">_xlfn.IFS(
   OR(B158="",ISBLANK(B158),B158=0),0,
   ISNUMBER(MATCH(B158,{2,3,5,7,11,13,17,19,23,29,31,37,41,43},0)),"소",
   AND(ISNUMBER(B158),MOD(B158,3)=0),"배",
   AND(ISNUMBER(B158),B158&gt;0),"자"
)</f>
        <v>0</v>
      </c>
      <c r="AD158" s="26" cm="1">
        <f t="array" ref="AD158">_xlfn.IFS(
   OR(C158="",ISBLANK(C158),C158=0),0,
   ISNUMBER(MATCH(C158,{2,3,5,7,11,13,17,19,23,29,31,37,41,43},0)),"소",
   AND(ISNUMBER(C158),MOD(C158,3)=0),"배",
   AND(ISNUMBER(C158),C158&gt;0),"자"
)</f>
        <v>0</v>
      </c>
      <c r="AE158" s="26" cm="1">
        <f t="array" ref="AE158">_xlfn.IFS(
   OR(D158="",ISBLANK(D158),D158=0),0,
   ISNUMBER(MATCH(D158,{2,3,5,7,11,13,17,19,23,29,31,37,41,43},0)),"소",
   AND(ISNUMBER(D158),MOD(D158,3)=0),"배",
   AND(ISNUMBER(D158),D158&gt;0),"자"
)</f>
        <v>0</v>
      </c>
      <c r="AF158" s="26" cm="1">
        <f t="array" ref="AF158">_xlfn.IFS(
   OR(E158="",ISBLANK(E158),E158=0),0,
   ISNUMBER(MATCH(E158,{2,3,5,7,11,13,17,19,23,29,31,37,41,43},0)),"소",
   AND(ISNUMBER(E158),MOD(E158,3)=0),"배",
   AND(ISNUMBER(E158),E158&gt;0),"자"
)</f>
        <v>0</v>
      </c>
      <c r="AG158" s="26" cm="1">
        <f t="array" ref="AG158">_xlfn.IFS(
   OR(F158="",ISBLANK(F158),F158=0),0,
   ISNUMBER(MATCH(F158,{2,3,5,7,11,13,17,19,23,29,31,37,41,43},0)),"소",
   AND(ISNUMBER(F158),MOD(F158,3)=0),"배",
   AND(ISNUMBER(F158),F158&gt;0),"자"
)</f>
        <v>0</v>
      </c>
      <c r="AH158" s="26" cm="1">
        <f t="array" ref="AH158">_xlfn.IFS(
   OR(G158="",ISBLANK(G158),G158=0),0,
   ISNUMBER(MATCH(G158,{2,3,5,7,11,13,17,19,23,29,31,37,41,43},0)),"소",
   AND(ISNUMBER(G158),MOD(G158,3)=0),"배",
   AND(ISNUMBER(G158),G158&gt;0),"자"
)</f>
        <v>0</v>
      </c>
      <c r="AI158" s="30"/>
      <c r="AJ158" s="3">
        <f t="shared" si="90"/>
        <v>0</v>
      </c>
      <c r="AK158" s="3">
        <f t="shared" si="91"/>
        <v>0</v>
      </c>
      <c r="AL158" s="3">
        <f t="shared" si="92"/>
        <v>6</v>
      </c>
      <c r="AM158" s="33"/>
      <c r="AN158" s="3">
        <f t="shared" si="93"/>
        <v>0</v>
      </c>
      <c r="AO158" s="3">
        <f t="shared" si="94"/>
        <v>0</v>
      </c>
      <c r="AP158" s="3">
        <f t="shared" si="95"/>
        <v>0</v>
      </c>
      <c r="AQ158" s="3">
        <f t="shared" si="96"/>
        <v>0</v>
      </c>
      <c r="AR158" s="3">
        <f t="shared" si="97"/>
        <v>0</v>
      </c>
      <c r="AS158" s="28" t="e">
        <f>#REF!</f>
        <v>#REF!</v>
      </c>
      <c r="AT158" s="28" t="e">
        <f>#REF!*2</f>
        <v>#REF!</v>
      </c>
      <c r="AU158" s="28" t="e">
        <f>#REF!</f>
        <v>#REF!</v>
      </c>
      <c r="AV158" s="28" t="e">
        <f>#REF!*2</f>
        <v>#REF!</v>
      </c>
      <c r="AW158" s="28" t="e">
        <f>#REF!</f>
        <v>#REF!</v>
      </c>
      <c r="AX158" s="28" t="e">
        <f>#REF!*2</f>
        <v>#REF!</v>
      </c>
      <c r="AY158" s="28" t="e">
        <f>#REF!</f>
        <v>#REF!</v>
      </c>
      <c r="AZ158" s="28" t="e">
        <f>#REF!*2</f>
        <v>#REF!</v>
      </c>
      <c r="BA158" s="28" t="e">
        <f>#REF!</f>
        <v>#REF!</v>
      </c>
      <c r="BB158" s="28" t="e">
        <f>#REF!*2</f>
        <v>#REF!</v>
      </c>
      <c r="BC158" s="28" t="e">
        <f>#REF!</f>
        <v>#REF!</v>
      </c>
      <c r="BD158" s="28" t="e">
        <f>#REF!*2</f>
        <v>#REF!</v>
      </c>
      <c r="BE158" s="9" t="e">
        <f>#REF!-#REF!</f>
        <v>#REF!</v>
      </c>
      <c r="BF158" s="9" t="e">
        <f>#REF!-#REF!</f>
        <v>#REF!</v>
      </c>
      <c r="BG158" s="9" t="e">
        <f>#REF!-#REF!</f>
        <v>#REF!</v>
      </c>
      <c r="BH158" s="9" t="e">
        <f>#REF!-#REF!</f>
        <v>#REF!</v>
      </c>
      <c r="BI158" s="9" t="e">
        <f>#REF!-#REF!</f>
        <v>#REF!</v>
      </c>
      <c r="BJ158" s="33"/>
      <c r="BK158" s="3">
        <f t="shared" si="98"/>
        <v>0</v>
      </c>
      <c r="BL158" s="3">
        <f t="shared" si="99"/>
        <v>0</v>
      </c>
      <c r="BM158" s="3">
        <f t="shared" si="100"/>
        <v>0</v>
      </c>
      <c r="BN158" s="3">
        <f t="shared" si="101"/>
        <v>0</v>
      </c>
      <c r="BO158" s="3">
        <f t="shared" si="102"/>
        <v>0</v>
      </c>
      <c r="BP158" s="28" t="e">
        <f>#REF!</f>
        <v>#REF!</v>
      </c>
      <c r="BQ158" s="28" t="e">
        <f>#REF!*2</f>
        <v>#REF!</v>
      </c>
      <c r="BR158" s="28" t="e">
        <f>#REF!</f>
        <v>#REF!</v>
      </c>
      <c r="BS158" s="28" t="e">
        <f>#REF!*2</f>
        <v>#REF!</v>
      </c>
      <c r="BT158" s="28" t="e">
        <f>#REF!</f>
        <v>#REF!</v>
      </c>
      <c r="BU158" s="28" t="e">
        <f>#REF!*2</f>
        <v>#REF!</v>
      </c>
      <c r="BV158" s="28" t="e">
        <f>#REF!</f>
        <v>#REF!</v>
      </c>
      <c r="BW158" s="28" t="e">
        <f>#REF!*2</f>
        <v>#REF!</v>
      </c>
      <c r="BX158" s="28" t="e">
        <f>#REF!</f>
        <v>#REF!</v>
      </c>
      <c r="BY158" s="28" t="e">
        <f>#REF!*2</f>
        <v>#REF!</v>
      </c>
      <c r="BZ158" s="28" t="e">
        <f>#REF!</f>
        <v>#REF!</v>
      </c>
      <c r="CA158" s="28" t="e">
        <f>#REF!*2</f>
        <v>#REF!</v>
      </c>
      <c r="CB158" s="9">
        <f t="shared" si="103"/>
        <v>0</v>
      </c>
      <c r="CC158" s="9">
        <f t="shared" si="104"/>
        <v>0</v>
      </c>
      <c r="CD158" s="9">
        <f t="shared" si="105"/>
        <v>0</v>
      </c>
      <c r="CE158" s="9">
        <f t="shared" si="106"/>
        <v>0</v>
      </c>
      <c r="CF158" s="9">
        <f t="shared" si="107"/>
        <v>0</v>
      </c>
      <c r="CG158" s="33"/>
      <c r="CH158" s="9">
        <f t="shared" si="108"/>
        <v>0</v>
      </c>
      <c r="CI158" s="9">
        <f t="shared" si="109"/>
        <v>0</v>
      </c>
      <c r="CJ158" s="9">
        <f t="shared" si="110"/>
        <v>0</v>
      </c>
      <c r="CK158" s="9">
        <f t="shared" si="111"/>
        <v>0</v>
      </c>
      <c r="CL158" s="9">
        <f t="shared" si="112"/>
        <v>0</v>
      </c>
      <c r="CM158" s="32"/>
      <c r="CN158" s="3">
        <f t="shared" si="113"/>
        <v>0</v>
      </c>
      <c r="CO158" s="3">
        <f t="shared" si="114"/>
        <v>0</v>
      </c>
      <c r="CP158" s="3">
        <f t="shared" si="115"/>
        <v>0</v>
      </c>
      <c r="CQ158" s="3">
        <f t="shared" si="116"/>
        <v>0</v>
      </c>
      <c r="CR158" s="3">
        <f t="shared" si="117"/>
        <v>0</v>
      </c>
      <c r="CS158" s="31"/>
      <c r="CT158" s="3" cm="1">
        <f t="array" ref="CT158">SUMPRODUCT(--(MOD(CH158:CL158,2)=1))</f>
        <v>0</v>
      </c>
      <c r="CU158" s="3">
        <f t="shared" si="118"/>
        <v>5</v>
      </c>
      <c r="CV158" s="30"/>
      <c r="CW158" s="3" cm="1">
        <f t="array" ref="CW158">SUMPRODUCT(--(MOD(CH158:CL158,10)&gt;=1), --(MOD(CH158:CL158,10)&lt;=5))</f>
        <v>0</v>
      </c>
      <c r="CX158" s="3">
        <f t="shared" si="119"/>
        <v>5</v>
      </c>
      <c r="CY158" s="30"/>
      <c r="CZ158" s="3" cm="1">
        <f t="array" ref="CZ158">IFERROR(COUNT(_xlfn._xlws.FILTER(CH158:CL158, ISNUMBER(MATCH(CH158:CL158, {2,3,5,7,11,13,17,19,23,29,31,37,41,43}, 0)))), 0)</f>
        <v>0</v>
      </c>
      <c r="DA158" s="3" cm="1">
        <f t="array" ref="DA158">IFERROR(COUNT(_xlfn._xlws.FILTER(CH158:CL158, ISNUMBER(MATCH(CH158:CL158, {1,4,8,10,14,16,20,22,25,26,28,32,34,35,38,40,44}, 0)))), 0)</f>
        <v>0</v>
      </c>
      <c r="DB158" s="3" cm="1">
        <f t="array" ref="DB158">IFERROR(COUNT(_xlfn._xlws.FILTER(CH158:CL158, ISNUMBER(MATCH(CH158:CL158, {6,9,12,15,18,21,24,27,30,33,36,39,42,45}, 0)))), 0)</f>
        <v>0</v>
      </c>
      <c r="DC158" s="29"/>
      <c r="DD158" s="28" t="e">
        <f>#REF!</f>
        <v>#REF!</v>
      </c>
      <c r="DE158" s="28" t="e">
        <f>#REF!*2</f>
        <v>#REF!</v>
      </c>
      <c r="DF158" s="28" t="e">
        <f>#REF!</f>
        <v>#REF!</v>
      </c>
      <c r="DG158" s="28" t="e">
        <f>#REF!*2</f>
        <v>#REF!</v>
      </c>
      <c r="DH158" s="28" t="e">
        <f>#REF!</f>
        <v>#REF!</v>
      </c>
      <c r="DI158" s="28" t="e">
        <f>#REF!*2</f>
        <v>#REF!</v>
      </c>
      <c r="DJ158" s="28" t="e">
        <f>#REF!</f>
        <v>#REF!</v>
      </c>
      <c r="DK158" s="28" t="e">
        <f>#REF!*2</f>
        <v>#REF!</v>
      </c>
      <c r="DL158" s="28" t="e">
        <f>#REF!</f>
        <v>#REF!</v>
      </c>
      <c r="DM158" s="28" t="e">
        <f>#REF!*2</f>
        <v>#REF!</v>
      </c>
      <c r="DN158" s="27"/>
      <c r="DO158" s="26"/>
      <c r="DP158" s="26"/>
      <c r="DQ158" s="26"/>
      <c r="DR158" s="26"/>
      <c r="DS158" s="26"/>
      <c r="DT158" s="25"/>
    </row>
    <row r="159" spans="2:124" x14ac:dyDescent="0.3"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2"/>
      <c r="I159" s="3">
        <f t="shared" si="80"/>
        <v>0</v>
      </c>
      <c r="J159" s="3">
        <f t="shared" si="81"/>
        <v>0</v>
      </c>
      <c r="K159" s="3">
        <f t="shared" si="82"/>
        <v>0</v>
      </c>
      <c r="L159" s="3">
        <f t="shared" si="83"/>
        <v>0</v>
      </c>
      <c r="M159" s="3">
        <f t="shared" si="84"/>
        <v>0</v>
      </c>
      <c r="N159" s="3">
        <f t="shared" si="85"/>
        <v>0</v>
      </c>
      <c r="O159" s="32"/>
      <c r="P159" s="3" cm="1">
        <f t="array" ref="P159">SUMPRODUCT(--(MOD(B159:G159,2)=1))</f>
        <v>0</v>
      </c>
      <c r="Q159" s="3">
        <f t="shared" si="86"/>
        <v>6</v>
      </c>
      <c r="R159" s="34"/>
      <c r="S159" s="3">
        <f t="shared" si="87"/>
        <v>0</v>
      </c>
      <c r="T159" s="3">
        <f t="shared" si="88"/>
        <v>6</v>
      </c>
      <c r="U159" s="34"/>
      <c r="V159" s="3" cm="1">
        <f t="array" ref="V159">SUMPRODUCT(--(MOD(B159:G159,10)&gt;=1), --(MOD(B159:G159,10)&lt;=5))</f>
        <v>0</v>
      </c>
      <c r="W159" s="3">
        <f t="shared" si="89"/>
        <v>6</v>
      </c>
      <c r="X159" s="34"/>
      <c r="Y159" s="3" cm="1">
        <f t="array" ref="Y159">IFERROR(COUNT(_xlfn._xlws.FILTER(B159:G159, ISNUMBER(MATCH(B159:G159, {2,3,5,7,11,13,17,19,23,29,31,37,41,43}, 0)))), 0)</f>
        <v>0</v>
      </c>
      <c r="Z159" s="3" cm="1">
        <f t="array" ref="Z159">IFERROR(COUNT(_xlfn._xlws.FILTER(B159:G159, ISNUMBER(MATCH(B159:G159, {1,4,8,10,14,16,20,22,25,26,28,32,34,35,38,40,44}, 0)))), 0)</f>
        <v>0</v>
      </c>
      <c r="AA159" s="3" cm="1">
        <f t="array" ref="AA159">IFERROR(COUNT(_xlfn._xlws.FILTER(B159:G159, ISNUMBER(MATCH(B159:G159, {6,9,12,15,18,21,24,27,30,33,36,39,42,45}, 0)))), 0)</f>
        <v>0</v>
      </c>
      <c r="AB159" s="30"/>
      <c r="AC159" s="26" cm="1">
        <f t="array" ref="AC159">_xlfn.IFS(
   OR(B159="",ISBLANK(B159),B159=0),0,
   ISNUMBER(MATCH(B159,{2,3,5,7,11,13,17,19,23,29,31,37,41,43},0)),"소",
   AND(ISNUMBER(B159),MOD(B159,3)=0),"배",
   AND(ISNUMBER(B159),B159&gt;0),"자"
)</f>
        <v>0</v>
      </c>
      <c r="AD159" s="26" cm="1">
        <f t="array" ref="AD159">_xlfn.IFS(
   OR(C159="",ISBLANK(C159),C159=0),0,
   ISNUMBER(MATCH(C159,{2,3,5,7,11,13,17,19,23,29,31,37,41,43},0)),"소",
   AND(ISNUMBER(C159),MOD(C159,3)=0),"배",
   AND(ISNUMBER(C159),C159&gt;0),"자"
)</f>
        <v>0</v>
      </c>
      <c r="AE159" s="26" cm="1">
        <f t="array" ref="AE159">_xlfn.IFS(
   OR(D159="",ISBLANK(D159),D159=0),0,
   ISNUMBER(MATCH(D159,{2,3,5,7,11,13,17,19,23,29,31,37,41,43},0)),"소",
   AND(ISNUMBER(D159),MOD(D159,3)=0),"배",
   AND(ISNUMBER(D159),D159&gt;0),"자"
)</f>
        <v>0</v>
      </c>
      <c r="AF159" s="26" cm="1">
        <f t="array" ref="AF159">_xlfn.IFS(
   OR(E159="",ISBLANK(E159),E159=0),0,
   ISNUMBER(MATCH(E159,{2,3,5,7,11,13,17,19,23,29,31,37,41,43},0)),"소",
   AND(ISNUMBER(E159),MOD(E159,3)=0),"배",
   AND(ISNUMBER(E159),E159&gt;0),"자"
)</f>
        <v>0</v>
      </c>
      <c r="AG159" s="26" cm="1">
        <f t="array" ref="AG159">_xlfn.IFS(
   OR(F159="",ISBLANK(F159),F159=0),0,
   ISNUMBER(MATCH(F159,{2,3,5,7,11,13,17,19,23,29,31,37,41,43},0)),"소",
   AND(ISNUMBER(F159),MOD(F159,3)=0),"배",
   AND(ISNUMBER(F159),F159&gt;0),"자"
)</f>
        <v>0</v>
      </c>
      <c r="AH159" s="26" cm="1">
        <f t="array" ref="AH159">_xlfn.IFS(
   OR(G159="",ISBLANK(G159),G159=0),0,
   ISNUMBER(MATCH(G159,{2,3,5,7,11,13,17,19,23,29,31,37,41,43},0)),"소",
   AND(ISNUMBER(G159),MOD(G159,3)=0),"배",
   AND(ISNUMBER(G159),G159&gt;0),"자"
)</f>
        <v>0</v>
      </c>
      <c r="AI159" s="30"/>
      <c r="AJ159" s="3">
        <f t="shared" si="90"/>
        <v>0</v>
      </c>
      <c r="AK159" s="3">
        <f t="shared" si="91"/>
        <v>0</v>
      </c>
      <c r="AL159" s="3">
        <f t="shared" si="92"/>
        <v>6</v>
      </c>
      <c r="AM159" s="33"/>
      <c r="AN159" s="3">
        <f t="shared" si="93"/>
        <v>0</v>
      </c>
      <c r="AO159" s="3">
        <f t="shared" si="94"/>
        <v>0</v>
      </c>
      <c r="AP159" s="3">
        <f t="shared" si="95"/>
        <v>0</v>
      </c>
      <c r="AQ159" s="3">
        <f t="shared" si="96"/>
        <v>0</v>
      </c>
      <c r="AR159" s="3">
        <f t="shared" si="97"/>
        <v>0</v>
      </c>
      <c r="AS159" s="28" t="e">
        <f>#REF!</f>
        <v>#REF!</v>
      </c>
      <c r="AT159" s="28" t="e">
        <f>#REF!*2</f>
        <v>#REF!</v>
      </c>
      <c r="AU159" s="28" t="e">
        <f>#REF!</f>
        <v>#REF!</v>
      </c>
      <c r="AV159" s="28" t="e">
        <f>#REF!*2</f>
        <v>#REF!</v>
      </c>
      <c r="AW159" s="28" t="e">
        <f>#REF!</f>
        <v>#REF!</v>
      </c>
      <c r="AX159" s="28" t="e">
        <f>#REF!*2</f>
        <v>#REF!</v>
      </c>
      <c r="AY159" s="28" t="e">
        <f>#REF!</f>
        <v>#REF!</v>
      </c>
      <c r="AZ159" s="28" t="e">
        <f>#REF!*2</f>
        <v>#REF!</v>
      </c>
      <c r="BA159" s="28" t="e">
        <f>#REF!</f>
        <v>#REF!</v>
      </c>
      <c r="BB159" s="28" t="e">
        <f>#REF!*2</f>
        <v>#REF!</v>
      </c>
      <c r="BC159" s="28" t="e">
        <f>#REF!</f>
        <v>#REF!</v>
      </c>
      <c r="BD159" s="28" t="e">
        <f>#REF!*2</f>
        <v>#REF!</v>
      </c>
      <c r="BE159" s="9" t="e">
        <f>#REF!-#REF!</f>
        <v>#REF!</v>
      </c>
      <c r="BF159" s="9" t="e">
        <f>#REF!-#REF!</f>
        <v>#REF!</v>
      </c>
      <c r="BG159" s="9" t="e">
        <f>#REF!-#REF!</f>
        <v>#REF!</v>
      </c>
      <c r="BH159" s="9" t="e">
        <f>#REF!-#REF!</f>
        <v>#REF!</v>
      </c>
      <c r="BI159" s="9" t="e">
        <f>#REF!-#REF!</f>
        <v>#REF!</v>
      </c>
      <c r="BJ159" s="33"/>
      <c r="BK159" s="3">
        <f t="shared" si="98"/>
        <v>0</v>
      </c>
      <c r="BL159" s="3">
        <f t="shared" si="99"/>
        <v>0</v>
      </c>
      <c r="BM159" s="3">
        <f t="shared" si="100"/>
        <v>0</v>
      </c>
      <c r="BN159" s="3">
        <f t="shared" si="101"/>
        <v>0</v>
      </c>
      <c r="BO159" s="3">
        <f t="shared" si="102"/>
        <v>0</v>
      </c>
      <c r="BP159" s="28" t="e">
        <f>#REF!</f>
        <v>#REF!</v>
      </c>
      <c r="BQ159" s="28" t="e">
        <f>#REF!*2</f>
        <v>#REF!</v>
      </c>
      <c r="BR159" s="28" t="e">
        <f>#REF!</f>
        <v>#REF!</v>
      </c>
      <c r="BS159" s="28" t="e">
        <f>#REF!*2</f>
        <v>#REF!</v>
      </c>
      <c r="BT159" s="28" t="e">
        <f>#REF!</f>
        <v>#REF!</v>
      </c>
      <c r="BU159" s="28" t="e">
        <f>#REF!*2</f>
        <v>#REF!</v>
      </c>
      <c r="BV159" s="28" t="e">
        <f>#REF!</f>
        <v>#REF!</v>
      </c>
      <c r="BW159" s="28" t="e">
        <f>#REF!*2</f>
        <v>#REF!</v>
      </c>
      <c r="BX159" s="28" t="e">
        <f>#REF!</f>
        <v>#REF!</v>
      </c>
      <c r="BY159" s="28" t="e">
        <f>#REF!*2</f>
        <v>#REF!</v>
      </c>
      <c r="BZ159" s="28" t="e">
        <f>#REF!</f>
        <v>#REF!</v>
      </c>
      <c r="CA159" s="28" t="e">
        <f>#REF!*2</f>
        <v>#REF!</v>
      </c>
      <c r="CB159" s="9">
        <f t="shared" si="103"/>
        <v>0</v>
      </c>
      <c r="CC159" s="9">
        <f t="shared" si="104"/>
        <v>0</v>
      </c>
      <c r="CD159" s="9">
        <f t="shared" si="105"/>
        <v>0</v>
      </c>
      <c r="CE159" s="9">
        <f t="shared" si="106"/>
        <v>0</v>
      </c>
      <c r="CF159" s="9">
        <f t="shared" si="107"/>
        <v>0</v>
      </c>
      <c r="CG159" s="33"/>
      <c r="CH159" s="9">
        <f t="shared" si="108"/>
        <v>0</v>
      </c>
      <c r="CI159" s="9">
        <f t="shared" si="109"/>
        <v>0</v>
      </c>
      <c r="CJ159" s="9">
        <f t="shared" si="110"/>
        <v>0</v>
      </c>
      <c r="CK159" s="9">
        <f t="shared" si="111"/>
        <v>0</v>
      </c>
      <c r="CL159" s="9">
        <f t="shared" si="112"/>
        <v>0</v>
      </c>
      <c r="CM159" s="32"/>
      <c r="CN159" s="3">
        <f t="shared" si="113"/>
        <v>0</v>
      </c>
      <c r="CO159" s="3">
        <f t="shared" si="114"/>
        <v>0</v>
      </c>
      <c r="CP159" s="3">
        <f t="shared" si="115"/>
        <v>0</v>
      </c>
      <c r="CQ159" s="3">
        <f t="shared" si="116"/>
        <v>0</v>
      </c>
      <c r="CR159" s="3">
        <f t="shared" si="117"/>
        <v>0</v>
      </c>
      <c r="CS159" s="31"/>
      <c r="CT159" s="3" cm="1">
        <f t="array" ref="CT159">SUMPRODUCT(--(MOD(CH159:CL159,2)=1))</f>
        <v>0</v>
      </c>
      <c r="CU159" s="3">
        <f t="shared" si="118"/>
        <v>5</v>
      </c>
      <c r="CV159" s="30"/>
      <c r="CW159" s="3" cm="1">
        <f t="array" ref="CW159">SUMPRODUCT(--(MOD(CH159:CL159,10)&gt;=1), --(MOD(CH159:CL159,10)&lt;=5))</f>
        <v>0</v>
      </c>
      <c r="CX159" s="3">
        <f t="shared" si="119"/>
        <v>5</v>
      </c>
      <c r="CY159" s="30"/>
      <c r="CZ159" s="3" cm="1">
        <f t="array" ref="CZ159">IFERROR(COUNT(_xlfn._xlws.FILTER(CH159:CL159, ISNUMBER(MATCH(CH159:CL159, {2,3,5,7,11,13,17,19,23,29,31,37,41,43}, 0)))), 0)</f>
        <v>0</v>
      </c>
      <c r="DA159" s="3" cm="1">
        <f t="array" ref="DA159">IFERROR(COUNT(_xlfn._xlws.FILTER(CH159:CL159, ISNUMBER(MATCH(CH159:CL159, {1,4,8,10,14,16,20,22,25,26,28,32,34,35,38,40,44}, 0)))), 0)</f>
        <v>0</v>
      </c>
      <c r="DB159" s="3" cm="1">
        <f t="array" ref="DB159">IFERROR(COUNT(_xlfn._xlws.FILTER(CH159:CL159, ISNUMBER(MATCH(CH159:CL159, {6,9,12,15,18,21,24,27,30,33,36,39,42,45}, 0)))), 0)</f>
        <v>0</v>
      </c>
      <c r="DC159" s="29"/>
      <c r="DD159" s="28" t="e">
        <f>#REF!</f>
        <v>#REF!</v>
      </c>
      <c r="DE159" s="28" t="e">
        <f>#REF!*2</f>
        <v>#REF!</v>
      </c>
      <c r="DF159" s="28" t="e">
        <f>#REF!</f>
        <v>#REF!</v>
      </c>
      <c r="DG159" s="28" t="e">
        <f>#REF!*2</f>
        <v>#REF!</v>
      </c>
      <c r="DH159" s="28" t="e">
        <f>#REF!</f>
        <v>#REF!</v>
      </c>
      <c r="DI159" s="28" t="e">
        <f>#REF!*2</f>
        <v>#REF!</v>
      </c>
      <c r="DJ159" s="28" t="e">
        <f>#REF!</f>
        <v>#REF!</v>
      </c>
      <c r="DK159" s="28" t="e">
        <f>#REF!*2</f>
        <v>#REF!</v>
      </c>
      <c r="DL159" s="28" t="e">
        <f>#REF!</f>
        <v>#REF!</v>
      </c>
      <c r="DM159" s="28" t="e">
        <f>#REF!*2</f>
        <v>#REF!</v>
      </c>
      <c r="DN159" s="27"/>
      <c r="DO159" s="26"/>
      <c r="DP159" s="26"/>
      <c r="DQ159" s="26"/>
      <c r="DR159" s="26"/>
      <c r="DS159" s="26"/>
      <c r="DT159" s="25"/>
    </row>
    <row r="160" spans="2:124" x14ac:dyDescent="0.3"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2"/>
      <c r="I160" s="3">
        <f t="shared" si="80"/>
        <v>0</v>
      </c>
      <c r="J160" s="3">
        <f t="shared" si="81"/>
        <v>0</v>
      </c>
      <c r="K160" s="3">
        <f t="shared" si="82"/>
        <v>0</v>
      </c>
      <c r="L160" s="3">
        <f t="shared" si="83"/>
        <v>0</v>
      </c>
      <c r="M160" s="3">
        <f t="shared" si="84"/>
        <v>0</v>
      </c>
      <c r="N160" s="3">
        <f t="shared" si="85"/>
        <v>0</v>
      </c>
      <c r="O160" s="32"/>
      <c r="P160" s="3" cm="1">
        <f t="array" ref="P160">SUMPRODUCT(--(MOD(B160:G160,2)=1))</f>
        <v>0</v>
      </c>
      <c r="Q160" s="3">
        <f t="shared" si="86"/>
        <v>6</v>
      </c>
      <c r="R160" s="34"/>
      <c r="S160" s="3">
        <f t="shared" si="87"/>
        <v>0</v>
      </c>
      <c r="T160" s="3">
        <f t="shared" si="88"/>
        <v>6</v>
      </c>
      <c r="U160" s="34"/>
      <c r="V160" s="3" cm="1">
        <f t="array" ref="V160">SUMPRODUCT(--(MOD(B160:G160,10)&gt;=1), --(MOD(B160:G160,10)&lt;=5))</f>
        <v>0</v>
      </c>
      <c r="W160" s="3">
        <f t="shared" si="89"/>
        <v>6</v>
      </c>
      <c r="X160" s="34"/>
      <c r="Y160" s="3" cm="1">
        <f t="array" ref="Y160">IFERROR(COUNT(_xlfn._xlws.FILTER(B160:G160, ISNUMBER(MATCH(B160:G160, {2,3,5,7,11,13,17,19,23,29,31,37,41,43}, 0)))), 0)</f>
        <v>0</v>
      </c>
      <c r="Z160" s="3" cm="1">
        <f t="array" ref="Z160">IFERROR(COUNT(_xlfn._xlws.FILTER(B160:G160, ISNUMBER(MATCH(B160:G160, {1,4,8,10,14,16,20,22,25,26,28,32,34,35,38,40,44}, 0)))), 0)</f>
        <v>0</v>
      </c>
      <c r="AA160" s="3" cm="1">
        <f t="array" ref="AA160">IFERROR(COUNT(_xlfn._xlws.FILTER(B160:G160, ISNUMBER(MATCH(B160:G160, {6,9,12,15,18,21,24,27,30,33,36,39,42,45}, 0)))), 0)</f>
        <v>0</v>
      </c>
      <c r="AB160" s="30"/>
      <c r="AC160" s="26" cm="1">
        <f t="array" ref="AC160">_xlfn.IFS(
   OR(B160="",ISBLANK(B160),B160=0),0,
   ISNUMBER(MATCH(B160,{2,3,5,7,11,13,17,19,23,29,31,37,41,43},0)),"소",
   AND(ISNUMBER(B160),MOD(B160,3)=0),"배",
   AND(ISNUMBER(B160),B160&gt;0),"자"
)</f>
        <v>0</v>
      </c>
      <c r="AD160" s="26" cm="1">
        <f t="array" ref="AD160">_xlfn.IFS(
   OR(C160="",ISBLANK(C160),C160=0),0,
   ISNUMBER(MATCH(C160,{2,3,5,7,11,13,17,19,23,29,31,37,41,43},0)),"소",
   AND(ISNUMBER(C160),MOD(C160,3)=0),"배",
   AND(ISNUMBER(C160),C160&gt;0),"자"
)</f>
        <v>0</v>
      </c>
      <c r="AE160" s="26" cm="1">
        <f t="array" ref="AE160">_xlfn.IFS(
   OR(D160="",ISBLANK(D160),D160=0),0,
   ISNUMBER(MATCH(D160,{2,3,5,7,11,13,17,19,23,29,31,37,41,43},0)),"소",
   AND(ISNUMBER(D160),MOD(D160,3)=0),"배",
   AND(ISNUMBER(D160),D160&gt;0),"자"
)</f>
        <v>0</v>
      </c>
      <c r="AF160" s="26" cm="1">
        <f t="array" ref="AF160">_xlfn.IFS(
   OR(E160="",ISBLANK(E160),E160=0),0,
   ISNUMBER(MATCH(E160,{2,3,5,7,11,13,17,19,23,29,31,37,41,43},0)),"소",
   AND(ISNUMBER(E160),MOD(E160,3)=0),"배",
   AND(ISNUMBER(E160),E160&gt;0),"자"
)</f>
        <v>0</v>
      </c>
      <c r="AG160" s="26" cm="1">
        <f t="array" ref="AG160">_xlfn.IFS(
   OR(F160="",ISBLANK(F160),F160=0),0,
   ISNUMBER(MATCH(F160,{2,3,5,7,11,13,17,19,23,29,31,37,41,43},0)),"소",
   AND(ISNUMBER(F160),MOD(F160,3)=0),"배",
   AND(ISNUMBER(F160),F160&gt;0),"자"
)</f>
        <v>0</v>
      </c>
      <c r="AH160" s="26" cm="1">
        <f t="array" ref="AH160">_xlfn.IFS(
   OR(G160="",ISBLANK(G160),G160=0),0,
   ISNUMBER(MATCH(G160,{2,3,5,7,11,13,17,19,23,29,31,37,41,43},0)),"소",
   AND(ISNUMBER(G160),MOD(G160,3)=0),"배",
   AND(ISNUMBER(G160),G160&gt;0),"자"
)</f>
        <v>0</v>
      </c>
      <c r="AI160" s="30"/>
      <c r="AJ160" s="3">
        <f t="shared" si="90"/>
        <v>0</v>
      </c>
      <c r="AK160" s="3">
        <f t="shared" si="91"/>
        <v>0</v>
      </c>
      <c r="AL160" s="3">
        <f t="shared" si="92"/>
        <v>6</v>
      </c>
      <c r="AM160" s="33"/>
      <c r="AN160" s="3">
        <f t="shared" si="93"/>
        <v>0</v>
      </c>
      <c r="AO160" s="3">
        <f t="shared" si="94"/>
        <v>0</v>
      </c>
      <c r="AP160" s="3">
        <f t="shared" si="95"/>
        <v>0</v>
      </c>
      <c r="AQ160" s="3">
        <f t="shared" si="96"/>
        <v>0</v>
      </c>
      <c r="AR160" s="3">
        <f t="shared" si="97"/>
        <v>0</v>
      </c>
      <c r="AS160" s="28" t="e">
        <f>#REF!</f>
        <v>#REF!</v>
      </c>
      <c r="AT160" s="28" t="e">
        <f>#REF!*2</f>
        <v>#REF!</v>
      </c>
      <c r="AU160" s="28" t="e">
        <f>#REF!</f>
        <v>#REF!</v>
      </c>
      <c r="AV160" s="28" t="e">
        <f>#REF!*2</f>
        <v>#REF!</v>
      </c>
      <c r="AW160" s="28" t="e">
        <f>#REF!</f>
        <v>#REF!</v>
      </c>
      <c r="AX160" s="28" t="e">
        <f>#REF!*2</f>
        <v>#REF!</v>
      </c>
      <c r="AY160" s="28" t="e">
        <f>#REF!</f>
        <v>#REF!</v>
      </c>
      <c r="AZ160" s="28" t="e">
        <f>#REF!*2</f>
        <v>#REF!</v>
      </c>
      <c r="BA160" s="28" t="e">
        <f>#REF!</f>
        <v>#REF!</v>
      </c>
      <c r="BB160" s="28" t="e">
        <f>#REF!*2</f>
        <v>#REF!</v>
      </c>
      <c r="BC160" s="28" t="e">
        <f>#REF!</f>
        <v>#REF!</v>
      </c>
      <c r="BD160" s="28" t="e">
        <f>#REF!*2</f>
        <v>#REF!</v>
      </c>
      <c r="BE160" s="9" t="e">
        <f>#REF!-#REF!</f>
        <v>#REF!</v>
      </c>
      <c r="BF160" s="9" t="e">
        <f>#REF!-#REF!</f>
        <v>#REF!</v>
      </c>
      <c r="BG160" s="9" t="e">
        <f>#REF!-#REF!</f>
        <v>#REF!</v>
      </c>
      <c r="BH160" s="9" t="e">
        <f>#REF!-#REF!</f>
        <v>#REF!</v>
      </c>
      <c r="BI160" s="9" t="e">
        <f>#REF!-#REF!</f>
        <v>#REF!</v>
      </c>
      <c r="BJ160" s="33"/>
      <c r="BK160" s="3">
        <f t="shared" si="98"/>
        <v>0</v>
      </c>
      <c r="BL160" s="3">
        <f t="shared" si="99"/>
        <v>0</v>
      </c>
      <c r="BM160" s="3">
        <f t="shared" si="100"/>
        <v>0</v>
      </c>
      <c r="BN160" s="3">
        <f t="shared" si="101"/>
        <v>0</v>
      </c>
      <c r="BO160" s="3">
        <f t="shared" si="102"/>
        <v>0</v>
      </c>
      <c r="BP160" s="28" t="e">
        <f>#REF!</f>
        <v>#REF!</v>
      </c>
      <c r="BQ160" s="28" t="e">
        <f>#REF!*2</f>
        <v>#REF!</v>
      </c>
      <c r="BR160" s="28" t="e">
        <f>#REF!</f>
        <v>#REF!</v>
      </c>
      <c r="BS160" s="28" t="e">
        <f>#REF!*2</f>
        <v>#REF!</v>
      </c>
      <c r="BT160" s="28" t="e">
        <f>#REF!</f>
        <v>#REF!</v>
      </c>
      <c r="BU160" s="28" t="e">
        <f>#REF!*2</f>
        <v>#REF!</v>
      </c>
      <c r="BV160" s="28" t="e">
        <f>#REF!</f>
        <v>#REF!</v>
      </c>
      <c r="BW160" s="28" t="e">
        <f>#REF!*2</f>
        <v>#REF!</v>
      </c>
      <c r="BX160" s="28" t="e">
        <f>#REF!</f>
        <v>#REF!</v>
      </c>
      <c r="BY160" s="28" t="e">
        <f>#REF!*2</f>
        <v>#REF!</v>
      </c>
      <c r="BZ160" s="28" t="e">
        <f>#REF!</f>
        <v>#REF!</v>
      </c>
      <c r="CA160" s="28" t="e">
        <f>#REF!*2</f>
        <v>#REF!</v>
      </c>
      <c r="CB160" s="9">
        <f t="shared" si="103"/>
        <v>0</v>
      </c>
      <c r="CC160" s="9">
        <f t="shared" si="104"/>
        <v>0</v>
      </c>
      <c r="CD160" s="9">
        <f t="shared" si="105"/>
        <v>0</v>
      </c>
      <c r="CE160" s="9">
        <f t="shared" si="106"/>
        <v>0</v>
      </c>
      <c r="CF160" s="9">
        <f t="shared" si="107"/>
        <v>0</v>
      </c>
      <c r="CG160" s="33"/>
      <c r="CH160" s="9">
        <f t="shared" si="108"/>
        <v>0</v>
      </c>
      <c r="CI160" s="9">
        <f t="shared" si="109"/>
        <v>0</v>
      </c>
      <c r="CJ160" s="9">
        <f t="shared" si="110"/>
        <v>0</v>
      </c>
      <c r="CK160" s="9">
        <f t="shared" si="111"/>
        <v>0</v>
      </c>
      <c r="CL160" s="9">
        <f t="shared" si="112"/>
        <v>0</v>
      </c>
      <c r="CM160" s="32"/>
      <c r="CN160" s="3">
        <f t="shared" si="113"/>
        <v>0</v>
      </c>
      <c r="CO160" s="3">
        <f t="shared" si="114"/>
        <v>0</v>
      </c>
      <c r="CP160" s="3">
        <f t="shared" si="115"/>
        <v>0</v>
      </c>
      <c r="CQ160" s="3">
        <f t="shared" si="116"/>
        <v>0</v>
      </c>
      <c r="CR160" s="3">
        <f t="shared" si="117"/>
        <v>0</v>
      </c>
      <c r="CS160" s="31"/>
      <c r="CT160" s="3" cm="1">
        <f t="array" ref="CT160">SUMPRODUCT(--(MOD(CH160:CL160,2)=1))</f>
        <v>0</v>
      </c>
      <c r="CU160" s="3">
        <f t="shared" si="118"/>
        <v>5</v>
      </c>
      <c r="CV160" s="30"/>
      <c r="CW160" s="3" cm="1">
        <f t="array" ref="CW160">SUMPRODUCT(--(MOD(CH160:CL160,10)&gt;=1), --(MOD(CH160:CL160,10)&lt;=5))</f>
        <v>0</v>
      </c>
      <c r="CX160" s="3">
        <f t="shared" si="119"/>
        <v>5</v>
      </c>
      <c r="CY160" s="30"/>
      <c r="CZ160" s="3" cm="1">
        <f t="array" ref="CZ160">IFERROR(COUNT(_xlfn._xlws.FILTER(CH160:CL160, ISNUMBER(MATCH(CH160:CL160, {2,3,5,7,11,13,17,19,23,29,31,37,41,43}, 0)))), 0)</f>
        <v>0</v>
      </c>
      <c r="DA160" s="3" cm="1">
        <f t="array" ref="DA160">IFERROR(COUNT(_xlfn._xlws.FILTER(CH160:CL160, ISNUMBER(MATCH(CH160:CL160, {1,4,8,10,14,16,20,22,25,26,28,32,34,35,38,40,44}, 0)))), 0)</f>
        <v>0</v>
      </c>
      <c r="DB160" s="3" cm="1">
        <f t="array" ref="DB160">IFERROR(COUNT(_xlfn._xlws.FILTER(CH160:CL160, ISNUMBER(MATCH(CH160:CL160, {6,9,12,15,18,21,24,27,30,33,36,39,42,45}, 0)))), 0)</f>
        <v>0</v>
      </c>
      <c r="DC160" s="29"/>
      <c r="DD160" s="28" t="e">
        <f>#REF!</f>
        <v>#REF!</v>
      </c>
      <c r="DE160" s="28" t="e">
        <f>#REF!*2</f>
        <v>#REF!</v>
      </c>
      <c r="DF160" s="28" t="e">
        <f>#REF!</f>
        <v>#REF!</v>
      </c>
      <c r="DG160" s="28" t="e">
        <f>#REF!*2</f>
        <v>#REF!</v>
      </c>
      <c r="DH160" s="28" t="e">
        <f>#REF!</f>
        <v>#REF!</v>
      </c>
      <c r="DI160" s="28" t="e">
        <f>#REF!*2</f>
        <v>#REF!</v>
      </c>
      <c r="DJ160" s="28" t="e">
        <f>#REF!</f>
        <v>#REF!</v>
      </c>
      <c r="DK160" s="28" t="e">
        <f>#REF!*2</f>
        <v>#REF!</v>
      </c>
      <c r="DL160" s="28" t="e">
        <f>#REF!</f>
        <v>#REF!</v>
      </c>
      <c r="DM160" s="28" t="e">
        <f>#REF!*2</f>
        <v>#REF!</v>
      </c>
      <c r="DN160" s="27"/>
      <c r="DO160" s="26"/>
      <c r="DP160" s="26"/>
      <c r="DQ160" s="26"/>
      <c r="DR160" s="26"/>
      <c r="DS160" s="26"/>
      <c r="DT160" s="25"/>
    </row>
    <row r="161" spans="2:124" x14ac:dyDescent="0.3"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2"/>
      <c r="I161" s="3">
        <f t="shared" si="80"/>
        <v>0</v>
      </c>
      <c r="J161" s="3">
        <f t="shared" si="81"/>
        <v>0</v>
      </c>
      <c r="K161" s="3">
        <f t="shared" si="82"/>
        <v>0</v>
      </c>
      <c r="L161" s="3">
        <f t="shared" si="83"/>
        <v>0</v>
      </c>
      <c r="M161" s="3">
        <f t="shared" si="84"/>
        <v>0</v>
      </c>
      <c r="N161" s="3">
        <f t="shared" si="85"/>
        <v>0</v>
      </c>
      <c r="O161" s="32"/>
      <c r="P161" s="3" cm="1">
        <f t="array" ref="P161">SUMPRODUCT(--(MOD(B161:G161,2)=1))</f>
        <v>0</v>
      </c>
      <c r="Q161" s="3">
        <f t="shared" si="86"/>
        <v>6</v>
      </c>
      <c r="R161" s="34"/>
      <c r="S161" s="3">
        <f t="shared" si="87"/>
        <v>0</v>
      </c>
      <c r="T161" s="3">
        <f t="shared" si="88"/>
        <v>6</v>
      </c>
      <c r="U161" s="34"/>
      <c r="V161" s="3" cm="1">
        <f t="array" ref="V161">SUMPRODUCT(--(MOD(B161:G161,10)&gt;=1), --(MOD(B161:G161,10)&lt;=5))</f>
        <v>0</v>
      </c>
      <c r="W161" s="3">
        <f t="shared" si="89"/>
        <v>6</v>
      </c>
      <c r="X161" s="34"/>
      <c r="Y161" s="3" cm="1">
        <f t="array" ref="Y161">IFERROR(COUNT(_xlfn._xlws.FILTER(B161:G161, ISNUMBER(MATCH(B161:G161, {2,3,5,7,11,13,17,19,23,29,31,37,41,43}, 0)))), 0)</f>
        <v>0</v>
      </c>
      <c r="Z161" s="3" cm="1">
        <f t="array" ref="Z161">IFERROR(COUNT(_xlfn._xlws.FILTER(B161:G161, ISNUMBER(MATCH(B161:G161, {1,4,8,10,14,16,20,22,25,26,28,32,34,35,38,40,44}, 0)))), 0)</f>
        <v>0</v>
      </c>
      <c r="AA161" s="3" cm="1">
        <f t="array" ref="AA161">IFERROR(COUNT(_xlfn._xlws.FILTER(B161:G161, ISNUMBER(MATCH(B161:G161, {6,9,12,15,18,21,24,27,30,33,36,39,42,45}, 0)))), 0)</f>
        <v>0</v>
      </c>
      <c r="AB161" s="30"/>
      <c r="AC161" s="26" cm="1">
        <f t="array" ref="AC161">_xlfn.IFS(
   OR(B161="",ISBLANK(B161),B161=0),0,
   ISNUMBER(MATCH(B161,{2,3,5,7,11,13,17,19,23,29,31,37,41,43},0)),"소",
   AND(ISNUMBER(B161),MOD(B161,3)=0),"배",
   AND(ISNUMBER(B161),B161&gt;0),"자"
)</f>
        <v>0</v>
      </c>
      <c r="AD161" s="26" cm="1">
        <f t="array" ref="AD161">_xlfn.IFS(
   OR(C161="",ISBLANK(C161),C161=0),0,
   ISNUMBER(MATCH(C161,{2,3,5,7,11,13,17,19,23,29,31,37,41,43},0)),"소",
   AND(ISNUMBER(C161),MOD(C161,3)=0),"배",
   AND(ISNUMBER(C161),C161&gt;0),"자"
)</f>
        <v>0</v>
      </c>
      <c r="AE161" s="26" cm="1">
        <f t="array" ref="AE161">_xlfn.IFS(
   OR(D161="",ISBLANK(D161),D161=0),0,
   ISNUMBER(MATCH(D161,{2,3,5,7,11,13,17,19,23,29,31,37,41,43},0)),"소",
   AND(ISNUMBER(D161),MOD(D161,3)=0),"배",
   AND(ISNUMBER(D161),D161&gt;0),"자"
)</f>
        <v>0</v>
      </c>
      <c r="AF161" s="26" cm="1">
        <f t="array" ref="AF161">_xlfn.IFS(
   OR(E161="",ISBLANK(E161),E161=0),0,
   ISNUMBER(MATCH(E161,{2,3,5,7,11,13,17,19,23,29,31,37,41,43},0)),"소",
   AND(ISNUMBER(E161),MOD(E161,3)=0),"배",
   AND(ISNUMBER(E161),E161&gt;0),"자"
)</f>
        <v>0</v>
      </c>
      <c r="AG161" s="26" cm="1">
        <f t="array" ref="AG161">_xlfn.IFS(
   OR(F161="",ISBLANK(F161),F161=0),0,
   ISNUMBER(MATCH(F161,{2,3,5,7,11,13,17,19,23,29,31,37,41,43},0)),"소",
   AND(ISNUMBER(F161),MOD(F161,3)=0),"배",
   AND(ISNUMBER(F161),F161&gt;0),"자"
)</f>
        <v>0</v>
      </c>
      <c r="AH161" s="26" cm="1">
        <f t="array" ref="AH161">_xlfn.IFS(
   OR(G161="",ISBLANK(G161),G161=0),0,
   ISNUMBER(MATCH(G161,{2,3,5,7,11,13,17,19,23,29,31,37,41,43},0)),"소",
   AND(ISNUMBER(G161),MOD(G161,3)=0),"배",
   AND(ISNUMBER(G161),G161&gt;0),"자"
)</f>
        <v>0</v>
      </c>
      <c r="AI161" s="30"/>
      <c r="AJ161" s="3">
        <f t="shared" si="90"/>
        <v>0</v>
      </c>
      <c r="AK161" s="3">
        <f t="shared" si="91"/>
        <v>0</v>
      </c>
      <c r="AL161" s="3">
        <f t="shared" si="92"/>
        <v>6</v>
      </c>
      <c r="AM161" s="33"/>
      <c r="AN161" s="3">
        <f t="shared" si="93"/>
        <v>0</v>
      </c>
      <c r="AO161" s="3">
        <f t="shared" si="94"/>
        <v>0</v>
      </c>
      <c r="AP161" s="3">
        <f t="shared" si="95"/>
        <v>0</v>
      </c>
      <c r="AQ161" s="3">
        <f t="shared" si="96"/>
        <v>0</v>
      </c>
      <c r="AR161" s="3">
        <f t="shared" si="97"/>
        <v>0</v>
      </c>
      <c r="AS161" s="28" t="e">
        <f>#REF!</f>
        <v>#REF!</v>
      </c>
      <c r="AT161" s="28" t="e">
        <f>#REF!*2</f>
        <v>#REF!</v>
      </c>
      <c r="AU161" s="28" t="e">
        <f>#REF!</f>
        <v>#REF!</v>
      </c>
      <c r="AV161" s="28" t="e">
        <f>#REF!*2</f>
        <v>#REF!</v>
      </c>
      <c r="AW161" s="28" t="e">
        <f>#REF!</f>
        <v>#REF!</v>
      </c>
      <c r="AX161" s="28" t="e">
        <f>#REF!*2</f>
        <v>#REF!</v>
      </c>
      <c r="AY161" s="28" t="e">
        <f>#REF!</f>
        <v>#REF!</v>
      </c>
      <c r="AZ161" s="28" t="e">
        <f>#REF!*2</f>
        <v>#REF!</v>
      </c>
      <c r="BA161" s="28" t="e">
        <f>#REF!</f>
        <v>#REF!</v>
      </c>
      <c r="BB161" s="28" t="e">
        <f>#REF!*2</f>
        <v>#REF!</v>
      </c>
      <c r="BC161" s="28" t="e">
        <f>#REF!</f>
        <v>#REF!</v>
      </c>
      <c r="BD161" s="28" t="e">
        <f>#REF!*2</f>
        <v>#REF!</v>
      </c>
      <c r="BE161" s="9" t="e">
        <f>#REF!-#REF!</f>
        <v>#REF!</v>
      </c>
      <c r="BF161" s="9" t="e">
        <f>#REF!-#REF!</f>
        <v>#REF!</v>
      </c>
      <c r="BG161" s="9" t="e">
        <f>#REF!-#REF!</f>
        <v>#REF!</v>
      </c>
      <c r="BH161" s="9" t="e">
        <f>#REF!-#REF!</f>
        <v>#REF!</v>
      </c>
      <c r="BI161" s="9" t="e">
        <f>#REF!-#REF!</f>
        <v>#REF!</v>
      </c>
      <c r="BJ161" s="33"/>
      <c r="BK161" s="3">
        <f t="shared" si="98"/>
        <v>0</v>
      </c>
      <c r="BL161" s="3">
        <f t="shared" si="99"/>
        <v>0</v>
      </c>
      <c r="BM161" s="3">
        <f t="shared" si="100"/>
        <v>0</v>
      </c>
      <c r="BN161" s="3">
        <f t="shared" si="101"/>
        <v>0</v>
      </c>
      <c r="BO161" s="3">
        <f t="shared" si="102"/>
        <v>0</v>
      </c>
      <c r="BP161" s="28" t="e">
        <f>#REF!</f>
        <v>#REF!</v>
      </c>
      <c r="BQ161" s="28" t="e">
        <f>#REF!*2</f>
        <v>#REF!</v>
      </c>
      <c r="BR161" s="28" t="e">
        <f>#REF!</f>
        <v>#REF!</v>
      </c>
      <c r="BS161" s="28" t="e">
        <f>#REF!*2</f>
        <v>#REF!</v>
      </c>
      <c r="BT161" s="28" t="e">
        <f>#REF!</f>
        <v>#REF!</v>
      </c>
      <c r="BU161" s="28" t="e">
        <f>#REF!*2</f>
        <v>#REF!</v>
      </c>
      <c r="BV161" s="28" t="e">
        <f>#REF!</f>
        <v>#REF!</v>
      </c>
      <c r="BW161" s="28" t="e">
        <f>#REF!*2</f>
        <v>#REF!</v>
      </c>
      <c r="BX161" s="28" t="e">
        <f>#REF!</f>
        <v>#REF!</v>
      </c>
      <c r="BY161" s="28" t="e">
        <f>#REF!*2</f>
        <v>#REF!</v>
      </c>
      <c r="BZ161" s="28" t="e">
        <f>#REF!</f>
        <v>#REF!</v>
      </c>
      <c r="CA161" s="28" t="e">
        <f>#REF!*2</f>
        <v>#REF!</v>
      </c>
      <c r="CB161" s="9">
        <f t="shared" si="103"/>
        <v>0</v>
      </c>
      <c r="CC161" s="9">
        <f t="shared" si="104"/>
        <v>0</v>
      </c>
      <c r="CD161" s="9">
        <f t="shared" si="105"/>
        <v>0</v>
      </c>
      <c r="CE161" s="9">
        <f t="shared" si="106"/>
        <v>0</v>
      </c>
      <c r="CF161" s="9">
        <f t="shared" si="107"/>
        <v>0</v>
      </c>
      <c r="CG161" s="33"/>
      <c r="CH161" s="9">
        <f t="shared" si="108"/>
        <v>0</v>
      </c>
      <c r="CI161" s="9">
        <f t="shared" si="109"/>
        <v>0</v>
      </c>
      <c r="CJ161" s="9">
        <f t="shared" si="110"/>
        <v>0</v>
      </c>
      <c r="CK161" s="9">
        <f t="shared" si="111"/>
        <v>0</v>
      </c>
      <c r="CL161" s="9">
        <f t="shared" si="112"/>
        <v>0</v>
      </c>
      <c r="CM161" s="32"/>
      <c r="CN161" s="3">
        <f t="shared" si="113"/>
        <v>0</v>
      </c>
      <c r="CO161" s="3">
        <f t="shared" si="114"/>
        <v>0</v>
      </c>
      <c r="CP161" s="3">
        <f t="shared" si="115"/>
        <v>0</v>
      </c>
      <c r="CQ161" s="3">
        <f t="shared" si="116"/>
        <v>0</v>
      </c>
      <c r="CR161" s="3">
        <f t="shared" si="117"/>
        <v>0</v>
      </c>
      <c r="CS161" s="31"/>
      <c r="CT161" s="3" cm="1">
        <f t="array" ref="CT161">SUMPRODUCT(--(MOD(CH161:CL161,2)=1))</f>
        <v>0</v>
      </c>
      <c r="CU161" s="3">
        <f t="shared" si="118"/>
        <v>5</v>
      </c>
      <c r="CV161" s="30"/>
      <c r="CW161" s="3" cm="1">
        <f t="array" ref="CW161">SUMPRODUCT(--(MOD(CH161:CL161,10)&gt;=1), --(MOD(CH161:CL161,10)&lt;=5))</f>
        <v>0</v>
      </c>
      <c r="CX161" s="3">
        <f t="shared" si="119"/>
        <v>5</v>
      </c>
      <c r="CY161" s="30"/>
      <c r="CZ161" s="3" cm="1">
        <f t="array" ref="CZ161">IFERROR(COUNT(_xlfn._xlws.FILTER(CH161:CL161, ISNUMBER(MATCH(CH161:CL161, {2,3,5,7,11,13,17,19,23,29,31,37,41,43}, 0)))), 0)</f>
        <v>0</v>
      </c>
      <c r="DA161" s="3" cm="1">
        <f t="array" ref="DA161">IFERROR(COUNT(_xlfn._xlws.FILTER(CH161:CL161, ISNUMBER(MATCH(CH161:CL161, {1,4,8,10,14,16,20,22,25,26,28,32,34,35,38,40,44}, 0)))), 0)</f>
        <v>0</v>
      </c>
      <c r="DB161" s="3" cm="1">
        <f t="array" ref="DB161">IFERROR(COUNT(_xlfn._xlws.FILTER(CH161:CL161, ISNUMBER(MATCH(CH161:CL161, {6,9,12,15,18,21,24,27,30,33,36,39,42,45}, 0)))), 0)</f>
        <v>0</v>
      </c>
      <c r="DC161" s="29"/>
      <c r="DD161" s="28" t="e">
        <f>#REF!</f>
        <v>#REF!</v>
      </c>
      <c r="DE161" s="28" t="e">
        <f>#REF!*2</f>
        <v>#REF!</v>
      </c>
      <c r="DF161" s="28" t="e">
        <f>#REF!</f>
        <v>#REF!</v>
      </c>
      <c r="DG161" s="28" t="e">
        <f>#REF!*2</f>
        <v>#REF!</v>
      </c>
      <c r="DH161" s="28" t="e">
        <f>#REF!</f>
        <v>#REF!</v>
      </c>
      <c r="DI161" s="28" t="e">
        <f>#REF!*2</f>
        <v>#REF!</v>
      </c>
      <c r="DJ161" s="28" t="e">
        <f>#REF!</f>
        <v>#REF!</v>
      </c>
      <c r="DK161" s="28" t="e">
        <f>#REF!*2</f>
        <v>#REF!</v>
      </c>
      <c r="DL161" s="28" t="e">
        <f>#REF!</f>
        <v>#REF!</v>
      </c>
      <c r="DM161" s="28" t="e">
        <f>#REF!*2</f>
        <v>#REF!</v>
      </c>
      <c r="DN161" s="27"/>
      <c r="DO161" s="26"/>
      <c r="DP161" s="26"/>
      <c r="DQ161" s="26"/>
      <c r="DR161" s="26"/>
      <c r="DS161" s="26"/>
      <c r="DT161" s="25"/>
    </row>
    <row r="162" spans="2:124" x14ac:dyDescent="0.3"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2"/>
      <c r="I162" s="3">
        <f t="shared" si="80"/>
        <v>0</v>
      </c>
      <c r="J162" s="3">
        <f t="shared" si="81"/>
        <v>0</v>
      </c>
      <c r="K162" s="3">
        <f t="shared" si="82"/>
        <v>0</v>
      </c>
      <c r="L162" s="3">
        <f t="shared" si="83"/>
        <v>0</v>
      </c>
      <c r="M162" s="3">
        <f t="shared" si="84"/>
        <v>0</v>
      </c>
      <c r="N162" s="3">
        <f t="shared" si="85"/>
        <v>0</v>
      </c>
      <c r="O162" s="32"/>
      <c r="P162" s="3" cm="1">
        <f t="array" ref="P162">SUMPRODUCT(--(MOD(B162:G162,2)=1))</f>
        <v>0</v>
      </c>
      <c r="Q162" s="3">
        <f t="shared" si="86"/>
        <v>6</v>
      </c>
      <c r="R162" s="34"/>
      <c r="S162" s="3">
        <f t="shared" si="87"/>
        <v>0</v>
      </c>
      <c r="T162" s="3">
        <f t="shared" si="88"/>
        <v>6</v>
      </c>
      <c r="U162" s="34"/>
      <c r="V162" s="3" cm="1">
        <f t="array" ref="V162">SUMPRODUCT(--(MOD(B162:G162,10)&gt;=1), --(MOD(B162:G162,10)&lt;=5))</f>
        <v>0</v>
      </c>
      <c r="W162" s="3">
        <f t="shared" si="89"/>
        <v>6</v>
      </c>
      <c r="X162" s="34"/>
      <c r="Y162" s="3" cm="1">
        <f t="array" ref="Y162">IFERROR(COUNT(_xlfn._xlws.FILTER(B162:G162, ISNUMBER(MATCH(B162:G162, {2,3,5,7,11,13,17,19,23,29,31,37,41,43}, 0)))), 0)</f>
        <v>0</v>
      </c>
      <c r="Z162" s="3" cm="1">
        <f t="array" ref="Z162">IFERROR(COUNT(_xlfn._xlws.FILTER(B162:G162, ISNUMBER(MATCH(B162:G162, {1,4,8,10,14,16,20,22,25,26,28,32,34,35,38,40,44}, 0)))), 0)</f>
        <v>0</v>
      </c>
      <c r="AA162" s="3" cm="1">
        <f t="array" ref="AA162">IFERROR(COUNT(_xlfn._xlws.FILTER(B162:G162, ISNUMBER(MATCH(B162:G162, {6,9,12,15,18,21,24,27,30,33,36,39,42,45}, 0)))), 0)</f>
        <v>0</v>
      </c>
      <c r="AB162" s="30"/>
      <c r="AC162" s="26" cm="1">
        <f t="array" ref="AC162">_xlfn.IFS(
   OR(B162="",ISBLANK(B162),B162=0),0,
   ISNUMBER(MATCH(B162,{2,3,5,7,11,13,17,19,23,29,31,37,41,43},0)),"소",
   AND(ISNUMBER(B162),MOD(B162,3)=0),"배",
   AND(ISNUMBER(B162),B162&gt;0),"자"
)</f>
        <v>0</v>
      </c>
      <c r="AD162" s="26" cm="1">
        <f t="array" ref="AD162">_xlfn.IFS(
   OR(C162="",ISBLANK(C162),C162=0),0,
   ISNUMBER(MATCH(C162,{2,3,5,7,11,13,17,19,23,29,31,37,41,43},0)),"소",
   AND(ISNUMBER(C162),MOD(C162,3)=0),"배",
   AND(ISNUMBER(C162),C162&gt;0),"자"
)</f>
        <v>0</v>
      </c>
      <c r="AE162" s="26" cm="1">
        <f t="array" ref="AE162">_xlfn.IFS(
   OR(D162="",ISBLANK(D162),D162=0),0,
   ISNUMBER(MATCH(D162,{2,3,5,7,11,13,17,19,23,29,31,37,41,43},0)),"소",
   AND(ISNUMBER(D162),MOD(D162,3)=0),"배",
   AND(ISNUMBER(D162),D162&gt;0),"자"
)</f>
        <v>0</v>
      </c>
      <c r="AF162" s="26" cm="1">
        <f t="array" ref="AF162">_xlfn.IFS(
   OR(E162="",ISBLANK(E162),E162=0),0,
   ISNUMBER(MATCH(E162,{2,3,5,7,11,13,17,19,23,29,31,37,41,43},0)),"소",
   AND(ISNUMBER(E162),MOD(E162,3)=0),"배",
   AND(ISNUMBER(E162),E162&gt;0),"자"
)</f>
        <v>0</v>
      </c>
      <c r="AG162" s="26" cm="1">
        <f t="array" ref="AG162">_xlfn.IFS(
   OR(F162="",ISBLANK(F162),F162=0),0,
   ISNUMBER(MATCH(F162,{2,3,5,7,11,13,17,19,23,29,31,37,41,43},0)),"소",
   AND(ISNUMBER(F162),MOD(F162,3)=0),"배",
   AND(ISNUMBER(F162),F162&gt;0),"자"
)</f>
        <v>0</v>
      </c>
      <c r="AH162" s="26" cm="1">
        <f t="array" ref="AH162">_xlfn.IFS(
   OR(G162="",ISBLANK(G162),G162=0),0,
   ISNUMBER(MATCH(G162,{2,3,5,7,11,13,17,19,23,29,31,37,41,43},0)),"소",
   AND(ISNUMBER(G162),MOD(G162,3)=0),"배",
   AND(ISNUMBER(G162),G162&gt;0),"자"
)</f>
        <v>0</v>
      </c>
      <c r="AI162" s="30"/>
      <c r="AJ162" s="3">
        <f t="shared" si="90"/>
        <v>0</v>
      </c>
      <c r="AK162" s="3">
        <f t="shared" si="91"/>
        <v>0</v>
      </c>
      <c r="AL162" s="3">
        <f t="shared" si="92"/>
        <v>6</v>
      </c>
      <c r="AM162" s="33"/>
      <c r="AN162" s="3">
        <f t="shared" si="93"/>
        <v>0</v>
      </c>
      <c r="AO162" s="3">
        <f t="shared" si="94"/>
        <v>0</v>
      </c>
      <c r="AP162" s="3">
        <f t="shared" si="95"/>
        <v>0</v>
      </c>
      <c r="AQ162" s="3">
        <f t="shared" si="96"/>
        <v>0</v>
      </c>
      <c r="AR162" s="3">
        <f t="shared" si="97"/>
        <v>0</v>
      </c>
      <c r="AS162" s="28" t="e">
        <f>#REF!</f>
        <v>#REF!</v>
      </c>
      <c r="AT162" s="28" t="e">
        <f>#REF!*2</f>
        <v>#REF!</v>
      </c>
      <c r="AU162" s="28" t="e">
        <f>#REF!</f>
        <v>#REF!</v>
      </c>
      <c r="AV162" s="28" t="e">
        <f>#REF!*2</f>
        <v>#REF!</v>
      </c>
      <c r="AW162" s="28" t="e">
        <f>#REF!</f>
        <v>#REF!</v>
      </c>
      <c r="AX162" s="28" t="e">
        <f>#REF!*2</f>
        <v>#REF!</v>
      </c>
      <c r="AY162" s="28" t="e">
        <f>#REF!</f>
        <v>#REF!</v>
      </c>
      <c r="AZ162" s="28" t="e">
        <f>#REF!*2</f>
        <v>#REF!</v>
      </c>
      <c r="BA162" s="28" t="e">
        <f>#REF!</f>
        <v>#REF!</v>
      </c>
      <c r="BB162" s="28" t="e">
        <f>#REF!*2</f>
        <v>#REF!</v>
      </c>
      <c r="BC162" s="28" t="e">
        <f>#REF!</f>
        <v>#REF!</v>
      </c>
      <c r="BD162" s="28" t="e">
        <f>#REF!*2</f>
        <v>#REF!</v>
      </c>
      <c r="BE162" s="9" t="e">
        <f>#REF!-#REF!</f>
        <v>#REF!</v>
      </c>
      <c r="BF162" s="9" t="e">
        <f>#REF!-#REF!</f>
        <v>#REF!</v>
      </c>
      <c r="BG162" s="9" t="e">
        <f>#REF!-#REF!</f>
        <v>#REF!</v>
      </c>
      <c r="BH162" s="9" t="e">
        <f>#REF!-#REF!</f>
        <v>#REF!</v>
      </c>
      <c r="BI162" s="9" t="e">
        <f>#REF!-#REF!</f>
        <v>#REF!</v>
      </c>
      <c r="BJ162" s="33"/>
      <c r="BK162" s="3">
        <f t="shared" si="98"/>
        <v>0</v>
      </c>
      <c r="BL162" s="3">
        <f t="shared" si="99"/>
        <v>0</v>
      </c>
      <c r="BM162" s="3">
        <f t="shared" si="100"/>
        <v>0</v>
      </c>
      <c r="BN162" s="3">
        <f t="shared" si="101"/>
        <v>0</v>
      </c>
      <c r="BO162" s="3">
        <f t="shared" si="102"/>
        <v>0</v>
      </c>
      <c r="BP162" s="28" t="e">
        <f>#REF!</f>
        <v>#REF!</v>
      </c>
      <c r="BQ162" s="28" t="e">
        <f>#REF!*2</f>
        <v>#REF!</v>
      </c>
      <c r="BR162" s="28" t="e">
        <f>#REF!</f>
        <v>#REF!</v>
      </c>
      <c r="BS162" s="28" t="e">
        <f>#REF!*2</f>
        <v>#REF!</v>
      </c>
      <c r="BT162" s="28" t="e">
        <f>#REF!</f>
        <v>#REF!</v>
      </c>
      <c r="BU162" s="28" t="e">
        <f>#REF!*2</f>
        <v>#REF!</v>
      </c>
      <c r="BV162" s="28" t="e">
        <f>#REF!</f>
        <v>#REF!</v>
      </c>
      <c r="BW162" s="28" t="e">
        <f>#REF!*2</f>
        <v>#REF!</v>
      </c>
      <c r="BX162" s="28" t="e">
        <f>#REF!</f>
        <v>#REF!</v>
      </c>
      <c r="BY162" s="28" t="e">
        <f>#REF!*2</f>
        <v>#REF!</v>
      </c>
      <c r="BZ162" s="28" t="e">
        <f>#REF!</f>
        <v>#REF!</v>
      </c>
      <c r="CA162" s="28" t="e">
        <f>#REF!*2</f>
        <v>#REF!</v>
      </c>
      <c r="CB162" s="9">
        <f t="shared" si="103"/>
        <v>0</v>
      </c>
      <c r="CC162" s="9">
        <f t="shared" si="104"/>
        <v>0</v>
      </c>
      <c r="CD162" s="9">
        <f t="shared" si="105"/>
        <v>0</v>
      </c>
      <c r="CE162" s="9">
        <f t="shared" si="106"/>
        <v>0</v>
      </c>
      <c r="CF162" s="9">
        <f t="shared" si="107"/>
        <v>0</v>
      </c>
      <c r="CG162" s="33"/>
      <c r="CH162" s="9">
        <f t="shared" si="108"/>
        <v>0</v>
      </c>
      <c r="CI162" s="9">
        <f t="shared" si="109"/>
        <v>0</v>
      </c>
      <c r="CJ162" s="9">
        <f t="shared" si="110"/>
        <v>0</v>
      </c>
      <c r="CK162" s="9">
        <f t="shared" si="111"/>
        <v>0</v>
      </c>
      <c r="CL162" s="9">
        <f t="shared" si="112"/>
        <v>0</v>
      </c>
      <c r="CM162" s="32"/>
      <c r="CN162" s="3">
        <f t="shared" si="113"/>
        <v>0</v>
      </c>
      <c r="CO162" s="3">
        <f t="shared" si="114"/>
        <v>0</v>
      </c>
      <c r="CP162" s="3">
        <f t="shared" si="115"/>
        <v>0</v>
      </c>
      <c r="CQ162" s="3">
        <f t="shared" si="116"/>
        <v>0</v>
      </c>
      <c r="CR162" s="3">
        <f t="shared" si="117"/>
        <v>0</v>
      </c>
      <c r="CS162" s="31"/>
      <c r="CT162" s="3" cm="1">
        <f t="array" ref="CT162">SUMPRODUCT(--(MOD(CH162:CL162,2)=1))</f>
        <v>0</v>
      </c>
      <c r="CU162" s="3">
        <f t="shared" si="118"/>
        <v>5</v>
      </c>
      <c r="CV162" s="30"/>
      <c r="CW162" s="3" cm="1">
        <f t="array" ref="CW162">SUMPRODUCT(--(MOD(CH162:CL162,10)&gt;=1), --(MOD(CH162:CL162,10)&lt;=5))</f>
        <v>0</v>
      </c>
      <c r="CX162" s="3">
        <f t="shared" si="119"/>
        <v>5</v>
      </c>
      <c r="CY162" s="30"/>
      <c r="CZ162" s="3" cm="1">
        <f t="array" ref="CZ162">IFERROR(COUNT(_xlfn._xlws.FILTER(CH162:CL162, ISNUMBER(MATCH(CH162:CL162, {2,3,5,7,11,13,17,19,23,29,31,37,41,43}, 0)))), 0)</f>
        <v>0</v>
      </c>
      <c r="DA162" s="3" cm="1">
        <f t="array" ref="DA162">IFERROR(COUNT(_xlfn._xlws.FILTER(CH162:CL162, ISNUMBER(MATCH(CH162:CL162, {1,4,8,10,14,16,20,22,25,26,28,32,34,35,38,40,44}, 0)))), 0)</f>
        <v>0</v>
      </c>
      <c r="DB162" s="3" cm="1">
        <f t="array" ref="DB162">IFERROR(COUNT(_xlfn._xlws.FILTER(CH162:CL162, ISNUMBER(MATCH(CH162:CL162, {6,9,12,15,18,21,24,27,30,33,36,39,42,45}, 0)))), 0)</f>
        <v>0</v>
      </c>
      <c r="DC162" s="29"/>
      <c r="DD162" s="28" t="e">
        <f>#REF!</f>
        <v>#REF!</v>
      </c>
      <c r="DE162" s="28" t="e">
        <f>#REF!*2</f>
        <v>#REF!</v>
      </c>
      <c r="DF162" s="28" t="e">
        <f>#REF!</f>
        <v>#REF!</v>
      </c>
      <c r="DG162" s="28" t="e">
        <f>#REF!*2</f>
        <v>#REF!</v>
      </c>
      <c r="DH162" s="28" t="e">
        <f>#REF!</f>
        <v>#REF!</v>
      </c>
      <c r="DI162" s="28" t="e">
        <f>#REF!*2</f>
        <v>#REF!</v>
      </c>
      <c r="DJ162" s="28" t="e">
        <f>#REF!</f>
        <v>#REF!</v>
      </c>
      <c r="DK162" s="28" t="e">
        <f>#REF!*2</f>
        <v>#REF!</v>
      </c>
      <c r="DL162" s="28" t="e">
        <f>#REF!</f>
        <v>#REF!</v>
      </c>
      <c r="DM162" s="28" t="e">
        <f>#REF!*2</f>
        <v>#REF!</v>
      </c>
      <c r="DN162" s="27"/>
      <c r="DO162" s="26"/>
      <c r="DP162" s="26"/>
      <c r="DQ162" s="26"/>
      <c r="DR162" s="26"/>
      <c r="DS162" s="26"/>
      <c r="DT162" s="25"/>
    </row>
    <row r="163" spans="2:124" x14ac:dyDescent="0.3"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2"/>
      <c r="I163" s="3">
        <f t="shared" si="80"/>
        <v>0</v>
      </c>
      <c r="J163" s="3">
        <f t="shared" si="81"/>
        <v>0</v>
      </c>
      <c r="K163" s="3">
        <f t="shared" si="82"/>
        <v>0</v>
      </c>
      <c r="L163" s="3">
        <f t="shared" si="83"/>
        <v>0</v>
      </c>
      <c r="M163" s="3">
        <f t="shared" si="84"/>
        <v>0</v>
      </c>
      <c r="N163" s="3">
        <f t="shared" si="85"/>
        <v>0</v>
      </c>
      <c r="O163" s="32"/>
      <c r="P163" s="3" cm="1">
        <f t="array" ref="P163">SUMPRODUCT(--(MOD(B163:G163,2)=1))</f>
        <v>0</v>
      </c>
      <c r="Q163" s="3">
        <f t="shared" si="86"/>
        <v>6</v>
      </c>
      <c r="R163" s="34"/>
      <c r="S163" s="3">
        <f t="shared" si="87"/>
        <v>0</v>
      </c>
      <c r="T163" s="3">
        <f t="shared" si="88"/>
        <v>6</v>
      </c>
      <c r="U163" s="34"/>
      <c r="V163" s="3" cm="1">
        <f t="array" ref="V163">SUMPRODUCT(--(MOD(B163:G163,10)&gt;=1), --(MOD(B163:G163,10)&lt;=5))</f>
        <v>0</v>
      </c>
      <c r="W163" s="3">
        <f t="shared" si="89"/>
        <v>6</v>
      </c>
      <c r="X163" s="34"/>
      <c r="Y163" s="3" cm="1">
        <f t="array" ref="Y163">IFERROR(COUNT(_xlfn._xlws.FILTER(B163:G163, ISNUMBER(MATCH(B163:G163, {2,3,5,7,11,13,17,19,23,29,31,37,41,43}, 0)))), 0)</f>
        <v>0</v>
      </c>
      <c r="Z163" s="3" cm="1">
        <f t="array" ref="Z163">IFERROR(COUNT(_xlfn._xlws.FILTER(B163:G163, ISNUMBER(MATCH(B163:G163, {1,4,8,10,14,16,20,22,25,26,28,32,34,35,38,40,44}, 0)))), 0)</f>
        <v>0</v>
      </c>
      <c r="AA163" s="3" cm="1">
        <f t="array" ref="AA163">IFERROR(COUNT(_xlfn._xlws.FILTER(B163:G163, ISNUMBER(MATCH(B163:G163, {6,9,12,15,18,21,24,27,30,33,36,39,42,45}, 0)))), 0)</f>
        <v>0</v>
      </c>
      <c r="AB163" s="30"/>
      <c r="AC163" s="26" cm="1">
        <f t="array" ref="AC163">_xlfn.IFS(
   OR(B163="",ISBLANK(B163),B163=0),0,
   ISNUMBER(MATCH(B163,{2,3,5,7,11,13,17,19,23,29,31,37,41,43},0)),"소",
   AND(ISNUMBER(B163),MOD(B163,3)=0),"배",
   AND(ISNUMBER(B163),B163&gt;0),"자"
)</f>
        <v>0</v>
      </c>
      <c r="AD163" s="26" cm="1">
        <f t="array" ref="AD163">_xlfn.IFS(
   OR(C163="",ISBLANK(C163),C163=0),0,
   ISNUMBER(MATCH(C163,{2,3,5,7,11,13,17,19,23,29,31,37,41,43},0)),"소",
   AND(ISNUMBER(C163),MOD(C163,3)=0),"배",
   AND(ISNUMBER(C163),C163&gt;0),"자"
)</f>
        <v>0</v>
      </c>
      <c r="AE163" s="26" cm="1">
        <f t="array" ref="AE163">_xlfn.IFS(
   OR(D163="",ISBLANK(D163),D163=0),0,
   ISNUMBER(MATCH(D163,{2,3,5,7,11,13,17,19,23,29,31,37,41,43},0)),"소",
   AND(ISNUMBER(D163),MOD(D163,3)=0),"배",
   AND(ISNUMBER(D163),D163&gt;0),"자"
)</f>
        <v>0</v>
      </c>
      <c r="AF163" s="26" cm="1">
        <f t="array" ref="AF163">_xlfn.IFS(
   OR(E163="",ISBLANK(E163),E163=0),0,
   ISNUMBER(MATCH(E163,{2,3,5,7,11,13,17,19,23,29,31,37,41,43},0)),"소",
   AND(ISNUMBER(E163),MOD(E163,3)=0),"배",
   AND(ISNUMBER(E163),E163&gt;0),"자"
)</f>
        <v>0</v>
      </c>
      <c r="AG163" s="26" cm="1">
        <f t="array" ref="AG163">_xlfn.IFS(
   OR(F163="",ISBLANK(F163),F163=0),0,
   ISNUMBER(MATCH(F163,{2,3,5,7,11,13,17,19,23,29,31,37,41,43},0)),"소",
   AND(ISNUMBER(F163),MOD(F163,3)=0),"배",
   AND(ISNUMBER(F163),F163&gt;0),"자"
)</f>
        <v>0</v>
      </c>
      <c r="AH163" s="26" cm="1">
        <f t="array" ref="AH163">_xlfn.IFS(
   OR(G163="",ISBLANK(G163),G163=0),0,
   ISNUMBER(MATCH(G163,{2,3,5,7,11,13,17,19,23,29,31,37,41,43},0)),"소",
   AND(ISNUMBER(G163),MOD(G163,3)=0),"배",
   AND(ISNUMBER(G163),G163&gt;0),"자"
)</f>
        <v>0</v>
      </c>
      <c r="AI163" s="30"/>
      <c r="AJ163" s="3">
        <f t="shared" si="90"/>
        <v>0</v>
      </c>
      <c r="AK163" s="3">
        <f t="shared" si="91"/>
        <v>0</v>
      </c>
      <c r="AL163" s="3">
        <f t="shared" si="92"/>
        <v>6</v>
      </c>
      <c r="AM163" s="33"/>
      <c r="AN163" s="3">
        <f t="shared" si="93"/>
        <v>0</v>
      </c>
      <c r="AO163" s="3">
        <f t="shared" si="94"/>
        <v>0</v>
      </c>
      <c r="AP163" s="3">
        <f t="shared" si="95"/>
        <v>0</v>
      </c>
      <c r="AQ163" s="3">
        <f t="shared" si="96"/>
        <v>0</v>
      </c>
      <c r="AR163" s="3">
        <f t="shared" si="97"/>
        <v>0</v>
      </c>
      <c r="AS163" s="28" t="e">
        <f>#REF!</f>
        <v>#REF!</v>
      </c>
      <c r="AT163" s="28" t="e">
        <f>#REF!*2</f>
        <v>#REF!</v>
      </c>
      <c r="AU163" s="28" t="e">
        <f>#REF!</f>
        <v>#REF!</v>
      </c>
      <c r="AV163" s="28" t="e">
        <f>#REF!*2</f>
        <v>#REF!</v>
      </c>
      <c r="AW163" s="28" t="e">
        <f>#REF!</f>
        <v>#REF!</v>
      </c>
      <c r="AX163" s="28" t="e">
        <f>#REF!*2</f>
        <v>#REF!</v>
      </c>
      <c r="AY163" s="28" t="e">
        <f>#REF!</f>
        <v>#REF!</v>
      </c>
      <c r="AZ163" s="28" t="e">
        <f>#REF!*2</f>
        <v>#REF!</v>
      </c>
      <c r="BA163" s="28" t="e">
        <f>#REF!</f>
        <v>#REF!</v>
      </c>
      <c r="BB163" s="28" t="e">
        <f>#REF!*2</f>
        <v>#REF!</v>
      </c>
      <c r="BC163" s="28" t="e">
        <f>#REF!</f>
        <v>#REF!</v>
      </c>
      <c r="BD163" s="28" t="e">
        <f>#REF!*2</f>
        <v>#REF!</v>
      </c>
      <c r="BE163" s="9" t="e">
        <f>#REF!-#REF!</f>
        <v>#REF!</v>
      </c>
      <c r="BF163" s="9" t="e">
        <f>#REF!-#REF!</f>
        <v>#REF!</v>
      </c>
      <c r="BG163" s="9" t="e">
        <f>#REF!-#REF!</f>
        <v>#REF!</v>
      </c>
      <c r="BH163" s="9" t="e">
        <f>#REF!-#REF!</f>
        <v>#REF!</v>
      </c>
      <c r="BI163" s="9" t="e">
        <f>#REF!-#REF!</f>
        <v>#REF!</v>
      </c>
      <c r="BJ163" s="33"/>
      <c r="BK163" s="3">
        <f t="shared" si="98"/>
        <v>0</v>
      </c>
      <c r="BL163" s="3">
        <f t="shared" si="99"/>
        <v>0</v>
      </c>
      <c r="BM163" s="3">
        <f t="shared" si="100"/>
        <v>0</v>
      </c>
      <c r="BN163" s="3">
        <f t="shared" si="101"/>
        <v>0</v>
      </c>
      <c r="BO163" s="3">
        <f t="shared" si="102"/>
        <v>0</v>
      </c>
      <c r="BP163" s="28" t="e">
        <f>#REF!</f>
        <v>#REF!</v>
      </c>
      <c r="BQ163" s="28" t="e">
        <f>#REF!*2</f>
        <v>#REF!</v>
      </c>
      <c r="BR163" s="28" t="e">
        <f>#REF!</f>
        <v>#REF!</v>
      </c>
      <c r="BS163" s="28" t="e">
        <f>#REF!*2</f>
        <v>#REF!</v>
      </c>
      <c r="BT163" s="28" t="e">
        <f>#REF!</f>
        <v>#REF!</v>
      </c>
      <c r="BU163" s="28" t="e">
        <f>#REF!*2</f>
        <v>#REF!</v>
      </c>
      <c r="BV163" s="28" t="e">
        <f>#REF!</f>
        <v>#REF!</v>
      </c>
      <c r="BW163" s="28" t="e">
        <f>#REF!*2</f>
        <v>#REF!</v>
      </c>
      <c r="BX163" s="28" t="e">
        <f>#REF!</f>
        <v>#REF!</v>
      </c>
      <c r="BY163" s="28" t="e">
        <f>#REF!*2</f>
        <v>#REF!</v>
      </c>
      <c r="BZ163" s="28" t="e">
        <f>#REF!</f>
        <v>#REF!</v>
      </c>
      <c r="CA163" s="28" t="e">
        <f>#REF!*2</f>
        <v>#REF!</v>
      </c>
      <c r="CB163" s="9">
        <f t="shared" si="103"/>
        <v>0</v>
      </c>
      <c r="CC163" s="9">
        <f t="shared" si="104"/>
        <v>0</v>
      </c>
      <c r="CD163" s="9">
        <f t="shared" si="105"/>
        <v>0</v>
      </c>
      <c r="CE163" s="9">
        <f t="shared" si="106"/>
        <v>0</v>
      </c>
      <c r="CF163" s="9">
        <f t="shared" si="107"/>
        <v>0</v>
      </c>
      <c r="CG163" s="33"/>
      <c r="CH163" s="9">
        <f t="shared" si="108"/>
        <v>0</v>
      </c>
      <c r="CI163" s="9">
        <f t="shared" si="109"/>
        <v>0</v>
      </c>
      <c r="CJ163" s="9">
        <f t="shared" si="110"/>
        <v>0</v>
      </c>
      <c r="CK163" s="9">
        <f t="shared" si="111"/>
        <v>0</v>
      </c>
      <c r="CL163" s="9">
        <f t="shared" si="112"/>
        <v>0</v>
      </c>
      <c r="CM163" s="32"/>
      <c r="CN163" s="3">
        <f t="shared" si="113"/>
        <v>0</v>
      </c>
      <c r="CO163" s="3">
        <f t="shared" si="114"/>
        <v>0</v>
      </c>
      <c r="CP163" s="3">
        <f t="shared" si="115"/>
        <v>0</v>
      </c>
      <c r="CQ163" s="3">
        <f t="shared" si="116"/>
        <v>0</v>
      </c>
      <c r="CR163" s="3">
        <f t="shared" si="117"/>
        <v>0</v>
      </c>
      <c r="CS163" s="31"/>
      <c r="CT163" s="3" cm="1">
        <f t="array" ref="CT163">SUMPRODUCT(--(MOD(CH163:CL163,2)=1))</f>
        <v>0</v>
      </c>
      <c r="CU163" s="3">
        <f t="shared" si="118"/>
        <v>5</v>
      </c>
      <c r="CV163" s="30"/>
      <c r="CW163" s="3" cm="1">
        <f t="array" ref="CW163">SUMPRODUCT(--(MOD(CH163:CL163,10)&gt;=1), --(MOD(CH163:CL163,10)&lt;=5))</f>
        <v>0</v>
      </c>
      <c r="CX163" s="3">
        <f t="shared" si="119"/>
        <v>5</v>
      </c>
      <c r="CY163" s="30"/>
      <c r="CZ163" s="3" cm="1">
        <f t="array" ref="CZ163">IFERROR(COUNT(_xlfn._xlws.FILTER(CH163:CL163, ISNUMBER(MATCH(CH163:CL163, {2,3,5,7,11,13,17,19,23,29,31,37,41,43}, 0)))), 0)</f>
        <v>0</v>
      </c>
      <c r="DA163" s="3" cm="1">
        <f t="array" ref="DA163">IFERROR(COUNT(_xlfn._xlws.FILTER(CH163:CL163, ISNUMBER(MATCH(CH163:CL163, {1,4,8,10,14,16,20,22,25,26,28,32,34,35,38,40,44}, 0)))), 0)</f>
        <v>0</v>
      </c>
      <c r="DB163" s="3" cm="1">
        <f t="array" ref="DB163">IFERROR(COUNT(_xlfn._xlws.FILTER(CH163:CL163, ISNUMBER(MATCH(CH163:CL163, {6,9,12,15,18,21,24,27,30,33,36,39,42,45}, 0)))), 0)</f>
        <v>0</v>
      </c>
      <c r="DC163" s="29"/>
      <c r="DD163" s="28" t="e">
        <f>#REF!</f>
        <v>#REF!</v>
      </c>
      <c r="DE163" s="28" t="e">
        <f>#REF!*2</f>
        <v>#REF!</v>
      </c>
      <c r="DF163" s="28" t="e">
        <f>#REF!</f>
        <v>#REF!</v>
      </c>
      <c r="DG163" s="28" t="e">
        <f>#REF!*2</f>
        <v>#REF!</v>
      </c>
      <c r="DH163" s="28" t="e">
        <f>#REF!</f>
        <v>#REF!</v>
      </c>
      <c r="DI163" s="28" t="e">
        <f>#REF!*2</f>
        <v>#REF!</v>
      </c>
      <c r="DJ163" s="28" t="e">
        <f>#REF!</f>
        <v>#REF!</v>
      </c>
      <c r="DK163" s="28" t="e">
        <f>#REF!*2</f>
        <v>#REF!</v>
      </c>
      <c r="DL163" s="28" t="e">
        <f>#REF!</f>
        <v>#REF!</v>
      </c>
      <c r="DM163" s="28" t="e">
        <f>#REF!*2</f>
        <v>#REF!</v>
      </c>
      <c r="DN163" s="27"/>
      <c r="DO163" s="26"/>
      <c r="DP163" s="26"/>
      <c r="DQ163" s="26"/>
      <c r="DR163" s="26"/>
      <c r="DS163" s="26"/>
      <c r="DT163" s="25"/>
    </row>
    <row r="164" spans="2:124" x14ac:dyDescent="0.3"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2"/>
      <c r="I164" s="3">
        <f t="shared" si="80"/>
        <v>0</v>
      </c>
      <c r="J164" s="3">
        <f t="shared" si="81"/>
        <v>0</v>
      </c>
      <c r="K164" s="3">
        <f t="shared" si="82"/>
        <v>0</v>
      </c>
      <c r="L164" s="3">
        <f t="shared" si="83"/>
        <v>0</v>
      </c>
      <c r="M164" s="3">
        <f t="shared" si="84"/>
        <v>0</v>
      </c>
      <c r="N164" s="3">
        <f t="shared" si="85"/>
        <v>0</v>
      </c>
      <c r="O164" s="32"/>
      <c r="P164" s="3" cm="1">
        <f t="array" ref="P164">SUMPRODUCT(--(MOD(B164:G164,2)=1))</f>
        <v>0</v>
      </c>
      <c r="Q164" s="3">
        <f t="shared" si="86"/>
        <v>6</v>
      </c>
      <c r="R164" s="34"/>
      <c r="S164" s="3">
        <f t="shared" si="87"/>
        <v>0</v>
      </c>
      <c r="T164" s="3">
        <f t="shared" si="88"/>
        <v>6</v>
      </c>
      <c r="U164" s="34"/>
      <c r="V164" s="3" cm="1">
        <f t="array" ref="V164">SUMPRODUCT(--(MOD(B164:G164,10)&gt;=1), --(MOD(B164:G164,10)&lt;=5))</f>
        <v>0</v>
      </c>
      <c r="W164" s="3">
        <f t="shared" si="89"/>
        <v>6</v>
      </c>
      <c r="X164" s="34"/>
      <c r="Y164" s="3" cm="1">
        <f t="array" ref="Y164">IFERROR(COUNT(_xlfn._xlws.FILTER(B164:G164, ISNUMBER(MATCH(B164:G164, {2,3,5,7,11,13,17,19,23,29,31,37,41,43}, 0)))), 0)</f>
        <v>0</v>
      </c>
      <c r="Z164" s="3" cm="1">
        <f t="array" ref="Z164">IFERROR(COUNT(_xlfn._xlws.FILTER(B164:G164, ISNUMBER(MATCH(B164:G164, {1,4,8,10,14,16,20,22,25,26,28,32,34,35,38,40,44}, 0)))), 0)</f>
        <v>0</v>
      </c>
      <c r="AA164" s="3" cm="1">
        <f t="array" ref="AA164">IFERROR(COUNT(_xlfn._xlws.FILTER(B164:G164, ISNUMBER(MATCH(B164:G164, {6,9,12,15,18,21,24,27,30,33,36,39,42,45}, 0)))), 0)</f>
        <v>0</v>
      </c>
      <c r="AB164" s="30"/>
      <c r="AC164" s="26" cm="1">
        <f t="array" ref="AC164">_xlfn.IFS(
   OR(B164="",ISBLANK(B164),B164=0),0,
   ISNUMBER(MATCH(B164,{2,3,5,7,11,13,17,19,23,29,31,37,41,43},0)),"소",
   AND(ISNUMBER(B164),MOD(B164,3)=0),"배",
   AND(ISNUMBER(B164),B164&gt;0),"자"
)</f>
        <v>0</v>
      </c>
      <c r="AD164" s="26" cm="1">
        <f t="array" ref="AD164">_xlfn.IFS(
   OR(C164="",ISBLANK(C164),C164=0),0,
   ISNUMBER(MATCH(C164,{2,3,5,7,11,13,17,19,23,29,31,37,41,43},0)),"소",
   AND(ISNUMBER(C164),MOD(C164,3)=0),"배",
   AND(ISNUMBER(C164),C164&gt;0),"자"
)</f>
        <v>0</v>
      </c>
      <c r="AE164" s="26" cm="1">
        <f t="array" ref="AE164">_xlfn.IFS(
   OR(D164="",ISBLANK(D164),D164=0),0,
   ISNUMBER(MATCH(D164,{2,3,5,7,11,13,17,19,23,29,31,37,41,43},0)),"소",
   AND(ISNUMBER(D164),MOD(D164,3)=0),"배",
   AND(ISNUMBER(D164),D164&gt;0),"자"
)</f>
        <v>0</v>
      </c>
      <c r="AF164" s="26" cm="1">
        <f t="array" ref="AF164">_xlfn.IFS(
   OR(E164="",ISBLANK(E164),E164=0),0,
   ISNUMBER(MATCH(E164,{2,3,5,7,11,13,17,19,23,29,31,37,41,43},0)),"소",
   AND(ISNUMBER(E164),MOD(E164,3)=0),"배",
   AND(ISNUMBER(E164),E164&gt;0),"자"
)</f>
        <v>0</v>
      </c>
      <c r="AG164" s="26" cm="1">
        <f t="array" ref="AG164">_xlfn.IFS(
   OR(F164="",ISBLANK(F164),F164=0),0,
   ISNUMBER(MATCH(F164,{2,3,5,7,11,13,17,19,23,29,31,37,41,43},0)),"소",
   AND(ISNUMBER(F164),MOD(F164,3)=0),"배",
   AND(ISNUMBER(F164),F164&gt;0),"자"
)</f>
        <v>0</v>
      </c>
      <c r="AH164" s="26" cm="1">
        <f t="array" ref="AH164">_xlfn.IFS(
   OR(G164="",ISBLANK(G164),G164=0),0,
   ISNUMBER(MATCH(G164,{2,3,5,7,11,13,17,19,23,29,31,37,41,43},0)),"소",
   AND(ISNUMBER(G164),MOD(G164,3)=0),"배",
   AND(ISNUMBER(G164),G164&gt;0),"자"
)</f>
        <v>0</v>
      </c>
      <c r="AI164" s="30"/>
      <c r="AJ164" s="3">
        <f t="shared" si="90"/>
        <v>0</v>
      </c>
      <c r="AK164" s="3">
        <f t="shared" si="91"/>
        <v>0</v>
      </c>
      <c r="AL164" s="3">
        <f t="shared" si="92"/>
        <v>6</v>
      </c>
      <c r="AM164" s="33"/>
      <c r="AN164" s="3">
        <f t="shared" si="93"/>
        <v>0</v>
      </c>
      <c r="AO164" s="3">
        <f t="shared" si="94"/>
        <v>0</v>
      </c>
      <c r="AP164" s="3">
        <f t="shared" si="95"/>
        <v>0</v>
      </c>
      <c r="AQ164" s="3">
        <f t="shared" si="96"/>
        <v>0</v>
      </c>
      <c r="AR164" s="3">
        <f t="shared" si="97"/>
        <v>0</v>
      </c>
      <c r="AS164" s="28" t="e">
        <f>#REF!</f>
        <v>#REF!</v>
      </c>
      <c r="AT164" s="28" t="e">
        <f>#REF!*2</f>
        <v>#REF!</v>
      </c>
      <c r="AU164" s="28" t="e">
        <f>#REF!</f>
        <v>#REF!</v>
      </c>
      <c r="AV164" s="28" t="e">
        <f>#REF!*2</f>
        <v>#REF!</v>
      </c>
      <c r="AW164" s="28" t="e">
        <f>#REF!</f>
        <v>#REF!</v>
      </c>
      <c r="AX164" s="28" t="e">
        <f>#REF!*2</f>
        <v>#REF!</v>
      </c>
      <c r="AY164" s="28" t="e">
        <f>#REF!</f>
        <v>#REF!</v>
      </c>
      <c r="AZ164" s="28" t="e">
        <f>#REF!*2</f>
        <v>#REF!</v>
      </c>
      <c r="BA164" s="28" t="e">
        <f>#REF!</f>
        <v>#REF!</v>
      </c>
      <c r="BB164" s="28" t="e">
        <f>#REF!*2</f>
        <v>#REF!</v>
      </c>
      <c r="BC164" s="28" t="e">
        <f>#REF!</f>
        <v>#REF!</v>
      </c>
      <c r="BD164" s="28" t="e">
        <f>#REF!*2</f>
        <v>#REF!</v>
      </c>
      <c r="BE164" s="9" t="e">
        <f>#REF!-#REF!</f>
        <v>#REF!</v>
      </c>
      <c r="BF164" s="9" t="e">
        <f>#REF!-#REF!</f>
        <v>#REF!</v>
      </c>
      <c r="BG164" s="9" t="e">
        <f>#REF!-#REF!</f>
        <v>#REF!</v>
      </c>
      <c r="BH164" s="9" t="e">
        <f>#REF!-#REF!</f>
        <v>#REF!</v>
      </c>
      <c r="BI164" s="9" t="e">
        <f>#REF!-#REF!</f>
        <v>#REF!</v>
      </c>
      <c r="BJ164" s="33"/>
      <c r="BK164" s="3">
        <f t="shared" si="98"/>
        <v>0</v>
      </c>
      <c r="BL164" s="3">
        <f t="shared" si="99"/>
        <v>0</v>
      </c>
      <c r="BM164" s="3">
        <f t="shared" si="100"/>
        <v>0</v>
      </c>
      <c r="BN164" s="3">
        <f t="shared" si="101"/>
        <v>0</v>
      </c>
      <c r="BO164" s="3">
        <f t="shared" si="102"/>
        <v>0</v>
      </c>
      <c r="BP164" s="28" t="e">
        <f>#REF!</f>
        <v>#REF!</v>
      </c>
      <c r="BQ164" s="28" t="e">
        <f>#REF!*2</f>
        <v>#REF!</v>
      </c>
      <c r="BR164" s="28" t="e">
        <f>#REF!</f>
        <v>#REF!</v>
      </c>
      <c r="BS164" s="28" t="e">
        <f>#REF!*2</f>
        <v>#REF!</v>
      </c>
      <c r="BT164" s="28" t="e">
        <f>#REF!</f>
        <v>#REF!</v>
      </c>
      <c r="BU164" s="28" t="e">
        <f>#REF!*2</f>
        <v>#REF!</v>
      </c>
      <c r="BV164" s="28" t="e">
        <f>#REF!</f>
        <v>#REF!</v>
      </c>
      <c r="BW164" s="28" t="e">
        <f>#REF!*2</f>
        <v>#REF!</v>
      </c>
      <c r="BX164" s="28" t="e">
        <f>#REF!</f>
        <v>#REF!</v>
      </c>
      <c r="BY164" s="28" t="e">
        <f>#REF!*2</f>
        <v>#REF!</v>
      </c>
      <c r="BZ164" s="28" t="e">
        <f>#REF!</f>
        <v>#REF!</v>
      </c>
      <c r="CA164" s="28" t="e">
        <f>#REF!*2</f>
        <v>#REF!</v>
      </c>
      <c r="CB164" s="9">
        <f t="shared" si="103"/>
        <v>0</v>
      </c>
      <c r="CC164" s="9">
        <f t="shared" si="104"/>
        <v>0</v>
      </c>
      <c r="CD164" s="9">
        <f t="shared" si="105"/>
        <v>0</v>
      </c>
      <c r="CE164" s="9">
        <f t="shared" si="106"/>
        <v>0</v>
      </c>
      <c r="CF164" s="9">
        <f t="shared" si="107"/>
        <v>0</v>
      </c>
      <c r="CG164" s="33"/>
      <c r="CH164" s="9">
        <f t="shared" si="108"/>
        <v>0</v>
      </c>
      <c r="CI164" s="9">
        <f t="shared" si="109"/>
        <v>0</v>
      </c>
      <c r="CJ164" s="9">
        <f t="shared" si="110"/>
        <v>0</v>
      </c>
      <c r="CK164" s="9">
        <f t="shared" si="111"/>
        <v>0</v>
      </c>
      <c r="CL164" s="9">
        <f t="shared" si="112"/>
        <v>0</v>
      </c>
      <c r="CM164" s="32"/>
      <c r="CN164" s="3">
        <f t="shared" si="113"/>
        <v>0</v>
      </c>
      <c r="CO164" s="3">
        <f t="shared" si="114"/>
        <v>0</v>
      </c>
      <c r="CP164" s="3">
        <f t="shared" si="115"/>
        <v>0</v>
      </c>
      <c r="CQ164" s="3">
        <f t="shared" si="116"/>
        <v>0</v>
      </c>
      <c r="CR164" s="3">
        <f t="shared" si="117"/>
        <v>0</v>
      </c>
      <c r="CS164" s="31"/>
      <c r="CT164" s="3" cm="1">
        <f t="array" ref="CT164">SUMPRODUCT(--(MOD(CH164:CL164,2)=1))</f>
        <v>0</v>
      </c>
      <c r="CU164" s="3">
        <f t="shared" si="118"/>
        <v>5</v>
      </c>
      <c r="CV164" s="30"/>
      <c r="CW164" s="3" cm="1">
        <f t="array" ref="CW164">SUMPRODUCT(--(MOD(CH164:CL164,10)&gt;=1), --(MOD(CH164:CL164,10)&lt;=5))</f>
        <v>0</v>
      </c>
      <c r="CX164" s="3">
        <f t="shared" si="119"/>
        <v>5</v>
      </c>
      <c r="CY164" s="30"/>
      <c r="CZ164" s="3" cm="1">
        <f t="array" ref="CZ164">IFERROR(COUNT(_xlfn._xlws.FILTER(CH164:CL164, ISNUMBER(MATCH(CH164:CL164, {2,3,5,7,11,13,17,19,23,29,31,37,41,43}, 0)))), 0)</f>
        <v>0</v>
      </c>
      <c r="DA164" s="3" cm="1">
        <f t="array" ref="DA164">IFERROR(COUNT(_xlfn._xlws.FILTER(CH164:CL164, ISNUMBER(MATCH(CH164:CL164, {1,4,8,10,14,16,20,22,25,26,28,32,34,35,38,40,44}, 0)))), 0)</f>
        <v>0</v>
      </c>
      <c r="DB164" s="3" cm="1">
        <f t="array" ref="DB164">IFERROR(COUNT(_xlfn._xlws.FILTER(CH164:CL164, ISNUMBER(MATCH(CH164:CL164, {6,9,12,15,18,21,24,27,30,33,36,39,42,45}, 0)))), 0)</f>
        <v>0</v>
      </c>
      <c r="DC164" s="29"/>
      <c r="DD164" s="28" t="e">
        <f>#REF!</f>
        <v>#REF!</v>
      </c>
      <c r="DE164" s="28" t="e">
        <f>#REF!*2</f>
        <v>#REF!</v>
      </c>
      <c r="DF164" s="28" t="e">
        <f>#REF!</f>
        <v>#REF!</v>
      </c>
      <c r="DG164" s="28" t="e">
        <f>#REF!*2</f>
        <v>#REF!</v>
      </c>
      <c r="DH164" s="28" t="e">
        <f>#REF!</f>
        <v>#REF!</v>
      </c>
      <c r="DI164" s="28" t="e">
        <f>#REF!*2</f>
        <v>#REF!</v>
      </c>
      <c r="DJ164" s="28" t="e">
        <f>#REF!</f>
        <v>#REF!</v>
      </c>
      <c r="DK164" s="28" t="e">
        <f>#REF!*2</f>
        <v>#REF!</v>
      </c>
      <c r="DL164" s="28" t="e">
        <f>#REF!</f>
        <v>#REF!</v>
      </c>
      <c r="DM164" s="28" t="e">
        <f>#REF!*2</f>
        <v>#REF!</v>
      </c>
      <c r="DN164" s="27"/>
      <c r="DO164" s="26"/>
      <c r="DP164" s="26"/>
      <c r="DQ164" s="26"/>
      <c r="DR164" s="26"/>
      <c r="DS164" s="26"/>
      <c r="DT164" s="25"/>
    </row>
    <row r="165" spans="2:124" x14ac:dyDescent="0.3"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2"/>
      <c r="I165" s="3">
        <f t="shared" si="80"/>
        <v>0</v>
      </c>
      <c r="J165" s="3">
        <f t="shared" si="81"/>
        <v>0</v>
      </c>
      <c r="K165" s="3">
        <f t="shared" si="82"/>
        <v>0</v>
      </c>
      <c r="L165" s="3">
        <f t="shared" si="83"/>
        <v>0</v>
      </c>
      <c r="M165" s="3">
        <f t="shared" si="84"/>
        <v>0</v>
      </c>
      <c r="N165" s="3">
        <f t="shared" si="85"/>
        <v>0</v>
      </c>
      <c r="O165" s="32"/>
      <c r="P165" s="3" cm="1">
        <f t="array" ref="P165">SUMPRODUCT(--(MOD(B165:G165,2)=1))</f>
        <v>0</v>
      </c>
      <c r="Q165" s="3">
        <f t="shared" si="86"/>
        <v>6</v>
      </c>
      <c r="R165" s="34"/>
      <c r="S165" s="3">
        <f t="shared" si="87"/>
        <v>0</v>
      </c>
      <c r="T165" s="3">
        <f t="shared" si="88"/>
        <v>6</v>
      </c>
      <c r="U165" s="34"/>
      <c r="V165" s="3" cm="1">
        <f t="array" ref="V165">SUMPRODUCT(--(MOD(B165:G165,10)&gt;=1), --(MOD(B165:G165,10)&lt;=5))</f>
        <v>0</v>
      </c>
      <c r="W165" s="3">
        <f t="shared" si="89"/>
        <v>6</v>
      </c>
      <c r="X165" s="34"/>
      <c r="Y165" s="3" cm="1">
        <f t="array" ref="Y165">IFERROR(COUNT(_xlfn._xlws.FILTER(B165:G165, ISNUMBER(MATCH(B165:G165, {2,3,5,7,11,13,17,19,23,29,31,37,41,43}, 0)))), 0)</f>
        <v>0</v>
      </c>
      <c r="Z165" s="3" cm="1">
        <f t="array" ref="Z165">IFERROR(COUNT(_xlfn._xlws.FILTER(B165:G165, ISNUMBER(MATCH(B165:G165, {1,4,8,10,14,16,20,22,25,26,28,32,34,35,38,40,44}, 0)))), 0)</f>
        <v>0</v>
      </c>
      <c r="AA165" s="3" cm="1">
        <f t="array" ref="AA165">IFERROR(COUNT(_xlfn._xlws.FILTER(B165:G165, ISNUMBER(MATCH(B165:G165, {6,9,12,15,18,21,24,27,30,33,36,39,42,45}, 0)))), 0)</f>
        <v>0</v>
      </c>
      <c r="AB165" s="30"/>
      <c r="AC165" s="26" cm="1">
        <f t="array" ref="AC165">_xlfn.IFS(
   OR(B165="",ISBLANK(B165),B165=0),0,
   ISNUMBER(MATCH(B165,{2,3,5,7,11,13,17,19,23,29,31,37,41,43},0)),"소",
   AND(ISNUMBER(B165),MOD(B165,3)=0),"배",
   AND(ISNUMBER(B165),B165&gt;0),"자"
)</f>
        <v>0</v>
      </c>
      <c r="AD165" s="26" cm="1">
        <f t="array" ref="AD165">_xlfn.IFS(
   OR(C165="",ISBLANK(C165),C165=0),0,
   ISNUMBER(MATCH(C165,{2,3,5,7,11,13,17,19,23,29,31,37,41,43},0)),"소",
   AND(ISNUMBER(C165),MOD(C165,3)=0),"배",
   AND(ISNUMBER(C165),C165&gt;0),"자"
)</f>
        <v>0</v>
      </c>
      <c r="AE165" s="26" cm="1">
        <f t="array" ref="AE165">_xlfn.IFS(
   OR(D165="",ISBLANK(D165),D165=0),0,
   ISNUMBER(MATCH(D165,{2,3,5,7,11,13,17,19,23,29,31,37,41,43},0)),"소",
   AND(ISNUMBER(D165),MOD(D165,3)=0),"배",
   AND(ISNUMBER(D165),D165&gt;0),"자"
)</f>
        <v>0</v>
      </c>
      <c r="AF165" s="26" cm="1">
        <f t="array" ref="AF165">_xlfn.IFS(
   OR(E165="",ISBLANK(E165),E165=0),0,
   ISNUMBER(MATCH(E165,{2,3,5,7,11,13,17,19,23,29,31,37,41,43},0)),"소",
   AND(ISNUMBER(E165),MOD(E165,3)=0),"배",
   AND(ISNUMBER(E165),E165&gt;0),"자"
)</f>
        <v>0</v>
      </c>
      <c r="AG165" s="26" cm="1">
        <f t="array" ref="AG165">_xlfn.IFS(
   OR(F165="",ISBLANK(F165),F165=0),0,
   ISNUMBER(MATCH(F165,{2,3,5,7,11,13,17,19,23,29,31,37,41,43},0)),"소",
   AND(ISNUMBER(F165),MOD(F165,3)=0),"배",
   AND(ISNUMBER(F165),F165&gt;0),"자"
)</f>
        <v>0</v>
      </c>
      <c r="AH165" s="26" cm="1">
        <f t="array" ref="AH165">_xlfn.IFS(
   OR(G165="",ISBLANK(G165),G165=0),0,
   ISNUMBER(MATCH(G165,{2,3,5,7,11,13,17,19,23,29,31,37,41,43},0)),"소",
   AND(ISNUMBER(G165),MOD(G165,3)=0),"배",
   AND(ISNUMBER(G165),G165&gt;0),"자"
)</f>
        <v>0</v>
      </c>
      <c r="AI165" s="30"/>
      <c r="AJ165" s="3">
        <f t="shared" si="90"/>
        <v>0</v>
      </c>
      <c r="AK165" s="3">
        <f t="shared" si="91"/>
        <v>0</v>
      </c>
      <c r="AL165" s="3">
        <f t="shared" si="92"/>
        <v>6</v>
      </c>
      <c r="AM165" s="33"/>
      <c r="AN165" s="3">
        <f t="shared" si="93"/>
        <v>0</v>
      </c>
      <c r="AO165" s="3">
        <f t="shared" si="94"/>
        <v>0</v>
      </c>
      <c r="AP165" s="3">
        <f t="shared" si="95"/>
        <v>0</v>
      </c>
      <c r="AQ165" s="3">
        <f t="shared" si="96"/>
        <v>0</v>
      </c>
      <c r="AR165" s="3">
        <f t="shared" si="97"/>
        <v>0</v>
      </c>
      <c r="AS165" s="28" t="e">
        <f>#REF!</f>
        <v>#REF!</v>
      </c>
      <c r="AT165" s="28" t="e">
        <f>#REF!*2</f>
        <v>#REF!</v>
      </c>
      <c r="AU165" s="28" t="e">
        <f>#REF!</f>
        <v>#REF!</v>
      </c>
      <c r="AV165" s="28" t="e">
        <f>#REF!*2</f>
        <v>#REF!</v>
      </c>
      <c r="AW165" s="28" t="e">
        <f>#REF!</f>
        <v>#REF!</v>
      </c>
      <c r="AX165" s="28" t="e">
        <f>#REF!*2</f>
        <v>#REF!</v>
      </c>
      <c r="AY165" s="28" t="e">
        <f>#REF!</f>
        <v>#REF!</v>
      </c>
      <c r="AZ165" s="28" t="e">
        <f>#REF!*2</f>
        <v>#REF!</v>
      </c>
      <c r="BA165" s="28" t="e">
        <f>#REF!</f>
        <v>#REF!</v>
      </c>
      <c r="BB165" s="28" t="e">
        <f>#REF!*2</f>
        <v>#REF!</v>
      </c>
      <c r="BC165" s="28" t="e">
        <f>#REF!</f>
        <v>#REF!</v>
      </c>
      <c r="BD165" s="28" t="e">
        <f>#REF!*2</f>
        <v>#REF!</v>
      </c>
      <c r="BE165" s="9" t="e">
        <f>#REF!-#REF!</f>
        <v>#REF!</v>
      </c>
      <c r="BF165" s="9" t="e">
        <f>#REF!-#REF!</f>
        <v>#REF!</v>
      </c>
      <c r="BG165" s="9" t="e">
        <f>#REF!-#REF!</f>
        <v>#REF!</v>
      </c>
      <c r="BH165" s="9" t="e">
        <f>#REF!-#REF!</f>
        <v>#REF!</v>
      </c>
      <c r="BI165" s="9" t="e">
        <f>#REF!-#REF!</f>
        <v>#REF!</v>
      </c>
      <c r="BJ165" s="33"/>
      <c r="BK165" s="3">
        <f t="shared" si="98"/>
        <v>0</v>
      </c>
      <c r="BL165" s="3">
        <f t="shared" si="99"/>
        <v>0</v>
      </c>
      <c r="BM165" s="3">
        <f t="shared" si="100"/>
        <v>0</v>
      </c>
      <c r="BN165" s="3">
        <f t="shared" si="101"/>
        <v>0</v>
      </c>
      <c r="BO165" s="3">
        <f t="shared" si="102"/>
        <v>0</v>
      </c>
      <c r="BP165" s="28" t="e">
        <f>#REF!</f>
        <v>#REF!</v>
      </c>
      <c r="BQ165" s="28" t="e">
        <f>#REF!*2</f>
        <v>#REF!</v>
      </c>
      <c r="BR165" s="28" t="e">
        <f>#REF!</f>
        <v>#REF!</v>
      </c>
      <c r="BS165" s="28" t="e">
        <f>#REF!*2</f>
        <v>#REF!</v>
      </c>
      <c r="BT165" s="28" t="e">
        <f>#REF!</f>
        <v>#REF!</v>
      </c>
      <c r="BU165" s="28" t="e">
        <f>#REF!*2</f>
        <v>#REF!</v>
      </c>
      <c r="BV165" s="28" t="e">
        <f>#REF!</f>
        <v>#REF!</v>
      </c>
      <c r="BW165" s="28" t="e">
        <f>#REF!*2</f>
        <v>#REF!</v>
      </c>
      <c r="BX165" s="28" t="e">
        <f>#REF!</f>
        <v>#REF!</v>
      </c>
      <c r="BY165" s="28" t="e">
        <f>#REF!*2</f>
        <v>#REF!</v>
      </c>
      <c r="BZ165" s="28" t="e">
        <f>#REF!</f>
        <v>#REF!</v>
      </c>
      <c r="CA165" s="28" t="e">
        <f>#REF!*2</f>
        <v>#REF!</v>
      </c>
      <c r="CB165" s="9">
        <f t="shared" si="103"/>
        <v>0</v>
      </c>
      <c r="CC165" s="9">
        <f t="shared" si="104"/>
        <v>0</v>
      </c>
      <c r="CD165" s="9">
        <f t="shared" si="105"/>
        <v>0</v>
      </c>
      <c r="CE165" s="9">
        <f t="shared" si="106"/>
        <v>0</v>
      </c>
      <c r="CF165" s="9">
        <f t="shared" si="107"/>
        <v>0</v>
      </c>
      <c r="CG165" s="33"/>
      <c r="CH165" s="9">
        <f t="shared" si="108"/>
        <v>0</v>
      </c>
      <c r="CI165" s="9">
        <f t="shared" si="109"/>
        <v>0</v>
      </c>
      <c r="CJ165" s="9">
        <f t="shared" si="110"/>
        <v>0</v>
      </c>
      <c r="CK165" s="9">
        <f t="shared" si="111"/>
        <v>0</v>
      </c>
      <c r="CL165" s="9">
        <f t="shared" si="112"/>
        <v>0</v>
      </c>
      <c r="CM165" s="32"/>
      <c r="CN165" s="3">
        <f t="shared" si="113"/>
        <v>0</v>
      </c>
      <c r="CO165" s="3">
        <f t="shared" si="114"/>
        <v>0</v>
      </c>
      <c r="CP165" s="3">
        <f t="shared" si="115"/>
        <v>0</v>
      </c>
      <c r="CQ165" s="3">
        <f t="shared" si="116"/>
        <v>0</v>
      </c>
      <c r="CR165" s="3">
        <f t="shared" si="117"/>
        <v>0</v>
      </c>
      <c r="CS165" s="31"/>
      <c r="CT165" s="3" cm="1">
        <f t="array" ref="CT165">SUMPRODUCT(--(MOD(CH165:CL165,2)=1))</f>
        <v>0</v>
      </c>
      <c r="CU165" s="3">
        <f t="shared" si="118"/>
        <v>5</v>
      </c>
      <c r="CV165" s="30"/>
      <c r="CW165" s="3" cm="1">
        <f t="array" ref="CW165">SUMPRODUCT(--(MOD(CH165:CL165,10)&gt;=1), --(MOD(CH165:CL165,10)&lt;=5))</f>
        <v>0</v>
      </c>
      <c r="CX165" s="3">
        <f t="shared" si="119"/>
        <v>5</v>
      </c>
      <c r="CY165" s="30"/>
      <c r="CZ165" s="3" cm="1">
        <f t="array" ref="CZ165">IFERROR(COUNT(_xlfn._xlws.FILTER(CH165:CL165, ISNUMBER(MATCH(CH165:CL165, {2,3,5,7,11,13,17,19,23,29,31,37,41,43}, 0)))), 0)</f>
        <v>0</v>
      </c>
      <c r="DA165" s="3" cm="1">
        <f t="array" ref="DA165">IFERROR(COUNT(_xlfn._xlws.FILTER(CH165:CL165, ISNUMBER(MATCH(CH165:CL165, {1,4,8,10,14,16,20,22,25,26,28,32,34,35,38,40,44}, 0)))), 0)</f>
        <v>0</v>
      </c>
      <c r="DB165" s="3" cm="1">
        <f t="array" ref="DB165">IFERROR(COUNT(_xlfn._xlws.FILTER(CH165:CL165, ISNUMBER(MATCH(CH165:CL165, {6,9,12,15,18,21,24,27,30,33,36,39,42,45}, 0)))), 0)</f>
        <v>0</v>
      </c>
      <c r="DC165" s="29"/>
      <c r="DD165" s="28" t="e">
        <f>#REF!</f>
        <v>#REF!</v>
      </c>
      <c r="DE165" s="28" t="e">
        <f>#REF!*2</f>
        <v>#REF!</v>
      </c>
      <c r="DF165" s="28" t="e">
        <f>#REF!</f>
        <v>#REF!</v>
      </c>
      <c r="DG165" s="28" t="e">
        <f>#REF!*2</f>
        <v>#REF!</v>
      </c>
      <c r="DH165" s="28" t="e">
        <f>#REF!</f>
        <v>#REF!</v>
      </c>
      <c r="DI165" s="28" t="e">
        <f>#REF!*2</f>
        <v>#REF!</v>
      </c>
      <c r="DJ165" s="28" t="e">
        <f>#REF!</f>
        <v>#REF!</v>
      </c>
      <c r="DK165" s="28" t="e">
        <f>#REF!*2</f>
        <v>#REF!</v>
      </c>
      <c r="DL165" s="28" t="e">
        <f>#REF!</f>
        <v>#REF!</v>
      </c>
      <c r="DM165" s="28" t="e">
        <f>#REF!*2</f>
        <v>#REF!</v>
      </c>
      <c r="DN165" s="27"/>
      <c r="DO165" s="26"/>
      <c r="DP165" s="26"/>
      <c r="DQ165" s="26"/>
      <c r="DR165" s="26"/>
      <c r="DS165" s="26"/>
      <c r="DT165" s="25"/>
    </row>
    <row r="166" spans="2:124" x14ac:dyDescent="0.3"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2"/>
      <c r="I166" s="3">
        <f t="shared" si="80"/>
        <v>0</v>
      </c>
      <c r="J166" s="3">
        <f t="shared" si="81"/>
        <v>0</v>
      </c>
      <c r="K166" s="3">
        <f t="shared" si="82"/>
        <v>0</v>
      </c>
      <c r="L166" s="3">
        <f t="shared" si="83"/>
        <v>0</v>
      </c>
      <c r="M166" s="3">
        <f t="shared" si="84"/>
        <v>0</v>
      </c>
      <c r="N166" s="3">
        <f t="shared" si="85"/>
        <v>0</v>
      </c>
      <c r="O166" s="32"/>
      <c r="P166" s="3" cm="1">
        <f t="array" ref="P166">SUMPRODUCT(--(MOD(B166:G166,2)=1))</f>
        <v>0</v>
      </c>
      <c r="Q166" s="3">
        <f t="shared" si="86"/>
        <v>6</v>
      </c>
      <c r="R166" s="34"/>
      <c r="S166" s="3">
        <f t="shared" si="87"/>
        <v>0</v>
      </c>
      <c r="T166" s="3">
        <f t="shared" si="88"/>
        <v>6</v>
      </c>
      <c r="U166" s="34"/>
      <c r="V166" s="3" cm="1">
        <f t="array" ref="V166">SUMPRODUCT(--(MOD(B166:G166,10)&gt;=1), --(MOD(B166:G166,10)&lt;=5))</f>
        <v>0</v>
      </c>
      <c r="W166" s="3">
        <f t="shared" si="89"/>
        <v>6</v>
      </c>
      <c r="X166" s="34"/>
      <c r="Y166" s="3" cm="1">
        <f t="array" ref="Y166">IFERROR(COUNT(_xlfn._xlws.FILTER(B166:G166, ISNUMBER(MATCH(B166:G166, {2,3,5,7,11,13,17,19,23,29,31,37,41,43}, 0)))), 0)</f>
        <v>0</v>
      </c>
      <c r="Z166" s="3" cm="1">
        <f t="array" ref="Z166">IFERROR(COUNT(_xlfn._xlws.FILTER(B166:G166, ISNUMBER(MATCH(B166:G166, {1,4,8,10,14,16,20,22,25,26,28,32,34,35,38,40,44}, 0)))), 0)</f>
        <v>0</v>
      </c>
      <c r="AA166" s="3" cm="1">
        <f t="array" ref="AA166">IFERROR(COUNT(_xlfn._xlws.FILTER(B166:G166, ISNUMBER(MATCH(B166:G166, {6,9,12,15,18,21,24,27,30,33,36,39,42,45}, 0)))), 0)</f>
        <v>0</v>
      </c>
      <c r="AB166" s="30"/>
      <c r="AC166" s="26" cm="1">
        <f t="array" ref="AC166">_xlfn.IFS(
   OR(B166="",ISBLANK(B166),B166=0),0,
   ISNUMBER(MATCH(B166,{2,3,5,7,11,13,17,19,23,29,31,37,41,43},0)),"소",
   AND(ISNUMBER(B166),MOD(B166,3)=0),"배",
   AND(ISNUMBER(B166),B166&gt;0),"자"
)</f>
        <v>0</v>
      </c>
      <c r="AD166" s="26" cm="1">
        <f t="array" ref="AD166">_xlfn.IFS(
   OR(C166="",ISBLANK(C166),C166=0),0,
   ISNUMBER(MATCH(C166,{2,3,5,7,11,13,17,19,23,29,31,37,41,43},0)),"소",
   AND(ISNUMBER(C166),MOD(C166,3)=0),"배",
   AND(ISNUMBER(C166),C166&gt;0),"자"
)</f>
        <v>0</v>
      </c>
      <c r="AE166" s="26" cm="1">
        <f t="array" ref="AE166">_xlfn.IFS(
   OR(D166="",ISBLANK(D166),D166=0),0,
   ISNUMBER(MATCH(D166,{2,3,5,7,11,13,17,19,23,29,31,37,41,43},0)),"소",
   AND(ISNUMBER(D166),MOD(D166,3)=0),"배",
   AND(ISNUMBER(D166),D166&gt;0),"자"
)</f>
        <v>0</v>
      </c>
      <c r="AF166" s="26" cm="1">
        <f t="array" ref="AF166">_xlfn.IFS(
   OR(E166="",ISBLANK(E166),E166=0),0,
   ISNUMBER(MATCH(E166,{2,3,5,7,11,13,17,19,23,29,31,37,41,43},0)),"소",
   AND(ISNUMBER(E166),MOD(E166,3)=0),"배",
   AND(ISNUMBER(E166),E166&gt;0),"자"
)</f>
        <v>0</v>
      </c>
      <c r="AG166" s="26" cm="1">
        <f t="array" ref="AG166">_xlfn.IFS(
   OR(F166="",ISBLANK(F166),F166=0),0,
   ISNUMBER(MATCH(F166,{2,3,5,7,11,13,17,19,23,29,31,37,41,43},0)),"소",
   AND(ISNUMBER(F166),MOD(F166,3)=0),"배",
   AND(ISNUMBER(F166),F166&gt;0),"자"
)</f>
        <v>0</v>
      </c>
      <c r="AH166" s="26" cm="1">
        <f t="array" ref="AH166">_xlfn.IFS(
   OR(G166="",ISBLANK(G166),G166=0),0,
   ISNUMBER(MATCH(G166,{2,3,5,7,11,13,17,19,23,29,31,37,41,43},0)),"소",
   AND(ISNUMBER(G166),MOD(G166,3)=0),"배",
   AND(ISNUMBER(G166),G166&gt;0),"자"
)</f>
        <v>0</v>
      </c>
      <c r="AI166" s="30"/>
      <c r="AJ166" s="3">
        <f t="shared" si="90"/>
        <v>0</v>
      </c>
      <c r="AK166" s="3">
        <f t="shared" si="91"/>
        <v>0</v>
      </c>
      <c r="AL166" s="3">
        <f t="shared" si="92"/>
        <v>6</v>
      </c>
      <c r="AM166" s="33"/>
      <c r="AN166" s="3">
        <f t="shared" si="93"/>
        <v>0</v>
      </c>
      <c r="AO166" s="3">
        <f t="shared" si="94"/>
        <v>0</v>
      </c>
      <c r="AP166" s="3">
        <f t="shared" si="95"/>
        <v>0</v>
      </c>
      <c r="AQ166" s="3">
        <f t="shared" si="96"/>
        <v>0</v>
      </c>
      <c r="AR166" s="3">
        <f t="shared" si="97"/>
        <v>0</v>
      </c>
      <c r="AS166" s="28" t="e">
        <f>#REF!</f>
        <v>#REF!</v>
      </c>
      <c r="AT166" s="28" t="e">
        <f>#REF!*2</f>
        <v>#REF!</v>
      </c>
      <c r="AU166" s="28" t="e">
        <f>#REF!</f>
        <v>#REF!</v>
      </c>
      <c r="AV166" s="28" t="e">
        <f>#REF!*2</f>
        <v>#REF!</v>
      </c>
      <c r="AW166" s="28" t="e">
        <f>#REF!</f>
        <v>#REF!</v>
      </c>
      <c r="AX166" s="28" t="e">
        <f>#REF!*2</f>
        <v>#REF!</v>
      </c>
      <c r="AY166" s="28" t="e">
        <f>#REF!</f>
        <v>#REF!</v>
      </c>
      <c r="AZ166" s="28" t="e">
        <f>#REF!*2</f>
        <v>#REF!</v>
      </c>
      <c r="BA166" s="28" t="e">
        <f>#REF!</f>
        <v>#REF!</v>
      </c>
      <c r="BB166" s="28" t="e">
        <f>#REF!*2</f>
        <v>#REF!</v>
      </c>
      <c r="BC166" s="28" t="e">
        <f>#REF!</f>
        <v>#REF!</v>
      </c>
      <c r="BD166" s="28" t="e">
        <f>#REF!*2</f>
        <v>#REF!</v>
      </c>
      <c r="BE166" s="9" t="e">
        <f>#REF!-#REF!</f>
        <v>#REF!</v>
      </c>
      <c r="BF166" s="9" t="e">
        <f>#REF!-#REF!</f>
        <v>#REF!</v>
      </c>
      <c r="BG166" s="9" t="e">
        <f>#REF!-#REF!</f>
        <v>#REF!</v>
      </c>
      <c r="BH166" s="9" t="e">
        <f>#REF!-#REF!</f>
        <v>#REF!</v>
      </c>
      <c r="BI166" s="9" t="e">
        <f>#REF!-#REF!</f>
        <v>#REF!</v>
      </c>
      <c r="BJ166" s="33"/>
      <c r="BK166" s="3">
        <f t="shared" si="98"/>
        <v>0</v>
      </c>
      <c r="BL166" s="3">
        <f t="shared" si="99"/>
        <v>0</v>
      </c>
      <c r="BM166" s="3">
        <f t="shared" si="100"/>
        <v>0</v>
      </c>
      <c r="BN166" s="3">
        <f t="shared" si="101"/>
        <v>0</v>
      </c>
      <c r="BO166" s="3">
        <f t="shared" si="102"/>
        <v>0</v>
      </c>
      <c r="BP166" s="28" t="e">
        <f>#REF!</f>
        <v>#REF!</v>
      </c>
      <c r="BQ166" s="28" t="e">
        <f>#REF!*2</f>
        <v>#REF!</v>
      </c>
      <c r="BR166" s="28" t="e">
        <f>#REF!</f>
        <v>#REF!</v>
      </c>
      <c r="BS166" s="28" t="e">
        <f>#REF!*2</f>
        <v>#REF!</v>
      </c>
      <c r="BT166" s="28" t="e">
        <f>#REF!</f>
        <v>#REF!</v>
      </c>
      <c r="BU166" s="28" t="e">
        <f>#REF!*2</f>
        <v>#REF!</v>
      </c>
      <c r="BV166" s="28" t="e">
        <f>#REF!</f>
        <v>#REF!</v>
      </c>
      <c r="BW166" s="28" t="e">
        <f>#REF!*2</f>
        <v>#REF!</v>
      </c>
      <c r="BX166" s="28" t="e">
        <f>#REF!</f>
        <v>#REF!</v>
      </c>
      <c r="BY166" s="28" t="e">
        <f>#REF!*2</f>
        <v>#REF!</v>
      </c>
      <c r="BZ166" s="28" t="e">
        <f>#REF!</f>
        <v>#REF!</v>
      </c>
      <c r="CA166" s="28" t="e">
        <f>#REF!*2</f>
        <v>#REF!</v>
      </c>
      <c r="CB166" s="9">
        <f t="shared" si="103"/>
        <v>0</v>
      </c>
      <c r="CC166" s="9">
        <f t="shared" si="104"/>
        <v>0</v>
      </c>
      <c r="CD166" s="9">
        <f t="shared" si="105"/>
        <v>0</v>
      </c>
      <c r="CE166" s="9">
        <f t="shared" si="106"/>
        <v>0</v>
      </c>
      <c r="CF166" s="9">
        <f t="shared" si="107"/>
        <v>0</v>
      </c>
      <c r="CG166" s="33"/>
      <c r="CH166" s="9">
        <f t="shared" si="108"/>
        <v>0</v>
      </c>
      <c r="CI166" s="9">
        <f t="shared" si="109"/>
        <v>0</v>
      </c>
      <c r="CJ166" s="9">
        <f t="shared" si="110"/>
        <v>0</v>
      </c>
      <c r="CK166" s="9">
        <f t="shared" si="111"/>
        <v>0</v>
      </c>
      <c r="CL166" s="9">
        <f t="shared" si="112"/>
        <v>0</v>
      </c>
      <c r="CM166" s="32"/>
      <c r="CN166" s="3">
        <f t="shared" si="113"/>
        <v>0</v>
      </c>
      <c r="CO166" s="3">
        <f t="shared" si="114"/>
        <v>0</v>
      </c>
      <c r="CP166" s="3">
        <f t="shared" si="115"/>
        <v>0</v>
      </c>
      <c r="CQ166" s="3">
        <f t="shared" si="116"/>
        <v>0</v>
      </c>
      <c r="CR166" s="3">
        <f t="shared" si="117"/>
        <v>0</v>
      </c>
      <c r="CS166" s="31"/>
      <c r="CT166" s="3" cm="1">
        <f t="array" ref="CT166">SUMPRODUCT(--(MOD(CH166:CL166,2)=1))</f>
        <v>0</v>
      </c>
      <c r="CU166" s="3">
        <f t="shared" si="118"/>
        <v>5</v>
      </c>
      <c r="CV166" s="30"/>
      <c r="CW166" s="3" cm="1">
        <f t="array" ref="CW166">SUMPRODUCT(--(MOD(CH166:CL166,10)&gt;=1), --(MOD(CH166:CL166,10)&lt;=5))</f>
        <v>0</v>
      </c>
      <c r="CX166" s="3">
        <f t="shared" si="119"/>
        <v>5</v>
      </c>
      <c r="CY166" s="30"/>
      <c r="CZ166" s="3" cm="1">
        <f t="array" ref="CZ166">IFERROR(COUNT(_xlfn._xlws.FILTER(CH166:CL166, ISNUMBER(MATCH(CH166:CL166, {2,3,5,7,11,13,17,19,23,29,31,37,41,43}, 0)))), 0)</f>
        <v>0</v>
      </c>
      <c r="DA166" s="3" cm="1">
        <f t="array" ref="DA166">IFERROR(COUNT(_xlfn._xlws.FILTER(CH166:CL166, ISNUMBER(MATCH(CH166:CL166, {1,4,8,10,14,16,20,22,25,26,28,32,34,35,38,40,44}, 0)))), 0)</f>
        <v>0</v>
      </c>
      <c r="DB166" s="3" cm="1">
        <f t="array" ref="DB166">IFERROR(COUNT(_xlfn._xlws.FILTER(CH166:CL166, ISNUMBER(MATCH(CH166:CL166, {6,9,12,15,18,21,24,27,30,33,36,39,42,45}, 0)))), 0)</f>
        <v>0</v>
      </c>
      <c r="DC166" s="29"/>
      <c r="DD166" s="28" t="e">
        <f>#REF!</f>
        <v>#REF!</v>
      </c>
      <c r="DE166" s="28" t="e">
        <f>#REF!*2</f>
        <v>#REF!</v>
      </c>
      <c r="DF166" s="28" t="e">
        <f>#REF!</f>
        <v>#REF!</v>
      </c>
      <c r="DG166" s="28" t="e">
        <f>#REF!*2</f>
        <v>#REF!</v>
      </c>
      <c r="DH166" s="28" t="e">
        <f>#REF!</f>
        <v>#REF!</v>
      </c>
      <c r="DI166" s="28" t="e">
        <f>#REF!*2</f>
        <v>#REF!</v>
      </c>
      <c r="DJ166" s="28" t="e">
        <f>#REF!</f>
        <v>#REF!</v>
      </c>
      <c r="DK166" s="28" t="e">
        <f>#REF!*2</f>
        <v>#REF!</v>
      </c>
      <c r="DL166" s="28" t="e">
        <f>#REF!</f>
        <v>#REF!</v>
      </c>
      <c r="DM166" s="28" t="e">
        <f>#REF!*2</f>
        <v>#REF!</v>
      </c>
      <c r="DN166" s="27"/>
      <c r="DO166" s="26"/>
      <c r="DP166" s="26"/>
      <c r="DQ166" s="26"/>
      <c r="DR166" s="26"/>
      <c r="DS166" s="26"/>
      <c r="DT166" s="25"/>
    </row>
    <row r="167" spans="2:124" x14ac:dyDescent="0.3"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2"/>
      <c r="I167" s="3">
        <f t="shared" si="80"/>
        <v>0</v>
      </c>
      <c r="J167" s="3">
        <f t="shared" si="81"/>
        <v>0</v>
      </c>
      <c r="K167" s="3">
        <f t="shared" si="82"/>
        <v>0</v>
      </c>
      <c r="L167" s="3">
        <f t="shared" si="83"/>
        <v>0</v>
      </c>
      <c r="M167" s="3">
        <f t="shared" si="84"/>
        <v>0</v>
      </c>
      <c r="N167" s="3">
        <f t="shared" si="85"/>
        <v>0</v>
      </c>
      <c r="O167" s="32"/>
      <c r="P167" s="3" cm="1">
        <f t="array" ref="P167">SUMPRODUCT(--(MOD(B167:G167,2)=1))</f>
        <v>0</v>
      </c>
      <c r="Q167" s="3">
        <f t="shared" si="86"/>
        <v>6</v>
      </c>
      <c r="R167" s="34"/>
      <c r="S167" s="3">
        <f t="shared" si="87"/>
        <v>0</v>
      </c>
      <c r="T167" s="3">
        <f t="shared" si="88"/>
        <v>6</v>
      </c>
      <c r="U167" s="34"/>
      <c r="V167" s="3" cm="1">
        <f t="array" ref="V167">SUMPRODUCT(--(MOD(B167:G167,10)&gt;=1), --(MOD(B167:G167,10)&lt;=5))</f>
        <v>0</v>
      </c>
      <c r="W167" s="3">
        <f t="shared" si="89"/>
        <v>6</v>
      </c>
      <c r="X167" s="34"/>
      <c r="Y167" s="3" cm="1">
        <f t="array" ref="Y167">IFERROR(COUNT(_xlfn._xlws.FILTER(B167:G167, ISNUMBER(MATCH(B167:G167, {2,3,5,7,11,13,17,19,23,29,31,37,41,43}, 0)))), 0)</f>
        <v>0</v>
      </c>
      <c r="Z167" s="3" cm="1">
        <f t="array" ref="Z167">IFERROR(COUNT(_xlfn._xlws.FILTER(B167:G167, ISNUMBER(MATCH(B167:G167, {1,4,8,10,14,16,20,22,25,26,28,32,34,35,38,40,44}, 0)))), 0)</f>
        <v>0</v>
      </c>
      <c r="AA167" s="3" cm="1">
        <f t="array" ref="AA167">IFERROR(COUNT(_xlfn._xlws.FILTER(B167:G167, ISNUMBER(MATCH(B167:G167, {6,9,12,15,18,21,24,27,30,33,36,39,42,45}, 0)))), 0)</f>
        <v>0</v>
      </c>
      <c r="AB167" s="30"/>
      <c r="AC167" s="26" cm="1">
        <f t="array" ref="AC167">_xlfn.IFS(
   OR(B167="",ISBLANK(B167),B167=0),0,
   ISNUMBER(MATCH(B167,{2,3,5,7,11,13,17,19,23,29,31,37,41,43},0)),"소",
   AND(ISNUMBER(B167),MOD(B167,3)=0),"배",
   AND(ISNUMBER(B167),B167&gt;0),"자"
)</f>
        <v>0</v>
      </c>
      <c r="AD167" s="26" cm="1">
        <f t="array" ref="AD167">_xlfn.IFS(
   OR(C167="",ISBLANK(C167),C167=0),0,
   ISNUMBER(MATCH(C167,{2,3,5,7,11,13,17,19,23,29,31,37,41,43},0)),"소",
   AND(ISNUMBER(C167),MOD(C167,3)=0),"배",
   AND(ISNUMBER(C167),C167&gt;0),"자"
)</f>
        <v>0</v>
      </c>
      <c r="AE167" s="26" cm="1">
        <f t="array" ref="AE167">_xlfn.IFS(
   OR(D167="",ISBLANK(D167),D167=0),0,
   ISNUMBER(MATCH(D167,{2,3,5,7,11,13,17,19,23,29,31,37,41,43},0)),"소",
   AND(ISNUMBER(D167),MOD(D167,3)=0),"배",
   AND(ISNUMBER(D167),D167&gt;0),"자"
)</f>
        <v>0</v>
      </c>
      <c r="AF167" s="26" cm="1">
        <f t="array" ref="AF167">_xlfn.IFS(
   OR(E167="",ISBLANK(E167),E167=0),0,
   ISNUMBER(MATCH(E167,{2,3,5,7,11,13,17,19,23,29,31,37,41,43},0)),"소",
   AND(ISNUMBER(E167),MOD(E167,3)=0),"배",
   AND(ISNUMBER(E167),E167&gt;0),"자"
)</f>
        <v>0</v>
      </c>
      <c r="AG167" s="26" cm="1">
        <f t="array" ref="AG167">_xlfn.IFS(
   OR(F167="",ISBLANK(F167),F167=0),0,
   ISNUMBER(MATCH(F167,{2,3,5,7,11,13,17,19,23,29,31,37,41,43},0)),"소",
   AND(ISNUMBER(F167),MOD(F167,3)=0),"배",
   AND(ISNUMBER(F167),F167&gt;0),"자"
)</f>
        <v>0</v>
      </c>
      <c r="AH167" s="26" cm="1">
        <f t="array" ref="AH167">_xlfn.IFS(
   OR(G167="",ISBLANK(G167),G167=0),0,
   ISNUMBER(MATCH(G167,{2,3,5,7,11,13,17,19,23,29,31,37,41,43},0)),"소",
   AND(ISNUMBER(G167),MOD(G167,3)=0),"배",
   AND(ISNUMBER(G167),G167&gt;0),"자"
)</f>
        <v>0</v>
      </c>
      <c r="AI167" s="30"/>
      <c r="AJ167" s="3">
        <f t="shared" si="90"/>
        <v>0</v>
      </c>
      <c r="AK167" s="3">
        <f t="shared" si="91"/>
        <v>0</v>
      </c>
      <c r="AL167" s="3">
        <f t="shared" si="92"/>
        <v>6</v>
      </c>
      <c r="AM167" s="33"/>
      <c r="AN167" s="3">
        <f t="shared" si="93"/>
        <v>0</v>
      </c>
      <c r="AO167" s="3">
        <f t="shared" si="94"/>
        <v>0</v>
      </c>
      <c r="AP167" s="3">
        <f t="shared" si="95"/>
        <v>0</v>
      </c>
      <c r="AQ167" s="3">
        <f t="shared" si="96"/>
        <v>0</v>
      </c>
      <c r="AR167" s="3">
        <f t="shared" si="97"/>
        <v>0</v>
      </c>
      <c r="AS167" s="28" t="e">
        <f>#REF!</f>
        <v>#REF!</v>
      </c>
      <c r="AT167" s="28" t="e">
        <f>#REF!*2</f>
        <v>#REF!</v>
      </c>
      <c r="AU167" s="28" t="e">
        <f>#REF!</f>
        <v>#REF!</v>
      </c>
      <c r="AV167" s="28" t="e">
        <f>#REF!*2</f>
        <v>#REF!</v>
      </c>
      <c r="AW167" s="28" t="e">
        <f>#REF!</f>
        <v>#REF!</v>
      </c>
      <c r="AX167" s="28" t="e">
        <f>#REF!*2</f>
        <v>#REF!</v>
      </c>
      <c r="AY167" s="28" t="e">
        <f>#REF!</f>
        <v>#REF!</v>
      </c>
      <c r="AZ167" s="28" t="e">
        <f>#REF!*2</f>
        <v>#REF!</v>
      </c>
      <c r="BA167" s="28" t="e">
        <f>#REF!</f>
        <v>#REF!</v>
      </c>
      <c r="BB167" s="28" t="e">
        <f>#REF!*2</f>
        <v>#REF!</v>
      </c>
      <c r="BC167" s="28" t="e">
        <f>#REF!</f>
        <v>#REF!</v>
      </c>
      <c r="BD167" s="28" t="e">
        <f>#REF!*2</f>
        <v>#REF!</v>
      </c>
      <c r="BE167" s="9" t="e">
        <f>#REF!-#REF!</f>
        <v>#REF!</v>
      </c>
      <c r="BF167" s="9" t="e">
        <f>#REF!-#REF!</f>
        <v>#REF!</v>
      </c>
      <c r="BG167" s="9" t="e">
        <f>#REF!-#REF!</f>
        <v>#REF!</v>
      </c>
      <c r="BH167" s="9" t="e">
        <f>#REF!-#REF!</f>
        <v>#REF!</v>
      </c>
      <c r="BI167" s="9" t="e">
        <f>#REF!-#REF!</f>
        <v>#REF!</v>
      </c>
      <c r="BJ167" s="33"/>
      <c r="BK167" s="3">
        <f t="shared" si="98"/>
        <v>0</v>
      </c>
      <c r="BL167" s="3">
        <f t="shared" si="99"/>
        <v>0</v>
      </c>
      <c r="BM167" s="3">
        <f t="shared" si="100"/>
        <v>0</v>
      </c>
      <c r="BN167" s="3">
        <f t="shared" si="101"/>
        <v>0</v>
      </c>
      <c r="BO167" s="3">
        <f t="shared" si="102"/>
        <v>0</v>
      </c>
      <c r="BP167" s="28" t="e">
        <f>#REF!</f>
        <v>#REF!</v>
      </c>
      <c r="BQ167" s="28" t="e">
        <f>#REF!*2</f>
        <v>#REF!</v>
      </c>
      <c r="BR167" s="28" t="e">
        <f>#REF!</f>
        <v>#REF!</v>
      </c>
      <c r="BS167" s="28" t="e">
        <f>#REF!*2</f>
        <v>#REF!</v>
      </c>
      <c r="BT167" s="28" t="e">
        <f>#REF!</f>
        <v>#REF!</v>
      </c>
      <c r="BU167" s="28" t="e">
        <f>#REF!*2</f>
        <v>#REF!</v>
      </c>
      <c r="BV167" s="28" t="e">
        <f>#REF!</f>
        <v>#REF!</v>
      </c>
      <c r="BW167" s="28" t="e">
        <f>#REF!*2</f>
        <v>#REF!</v>
      </c>
      <c r="BX167" s="28" t="e">
        <f>#REF!</f>
        <v>#REF!</v>
      </c>
      <c r="BY167" s="28" t="e">
        <f>#REF!*2</f>
        <v>#REF!</v>
      </c>
      <c r="BZ167" s="28" t="e">
        <f>#REF!</f>
        <v>#REF!</v>
      </c>
      <c r="CA167" s="28" t="e">
        <f>#REF!*2</f>
        <v>#REF!</v>
      </c>
      <c r="CB167" s="9">
        <f t="shared" si="103"/>
        <v>0</v>
      </c>
      <c r="CC167" s="9">
        <f t="shared" si="104"/>
        <v>0</v>
      </c>
      <c r="CD167" s="9">
        <f t="shared" si="105"/>
        <v>0</v>
      </c>
      <c r="CE167" s="9">
        <f t="shared" si="106"/>
        <v>0</v>
      </c>
      <c r="CF167" s="9">
        <f t="shared" si="107"/>
        <v>0</v>
      </c>
      <c r="CG167" s="33"/>
      <c r="CH167" s="9">
        <f t="shared" si="108"/>
        <v>0</v>
      </c>
      <c r="CI167" s="9">
        <f t="shared" si="109"/>
        <v>0</v>
      </c>
      <c r="CJ167" s="9">
        <f t="shared" si="110"/>
        <v>0</v>
      </c>
      <c r="CK167" s="9">
        <f t="shared" si="111"/>
        <v>0</v>
      </c>
      <c r="CL167" s="9">
        <f t="shared" si="112"/>
        <v>0</v>
      </c>
      <c r="CM167" s="32"/>
      <c r="CN167" s="3">
        <f t="shared" si="113"/>
        <v>0</v>
      </c>
      <c r="CO167" s="3">
        <f t="shared" si="114"/>
        <v>0</v>
      </c>
      <c r="CP167" s="3">
        <f t="shared" si="115"/>
        <v>0</v>
      </c>
      <c r="CQ167" s="3">
        <f t="shared" si="116"/>
        <v>0</v>
      </c>
      <c r="CR167" s="3">
        <f t="shared" si="117"/>
        <v>0</v>
      </c>
      <c r="CS167" s="31"/>
      <c r="CT167" s="3" cm="1">
        <f t="array" ref="CT167">SUMPRODUCT(--(MOD(CH167:CL167,2)=1))</f>
        <v>0</v>
      </c>
      <c r="CU167" s="3">
        <f t="shared" si="118"/>
        <v>5</v>
      </c>
      <c r="CV167" s="30"/>
      <c r="CW167" s="3" cm="1">
        <f t="array" ref="CW167">SUMPRODUCT(--(MOD(CH167:CL167,10)&gt;=1), --(MOD(CH167:CL167,10)&lt;=5))</f>
        <v>0</v>
      </c>
      <c r="CX167" s="3">
        <f t="shared" si="119"/>
        <v>5</v>
      </c>
      <c r="CY167" s="30"/>
      <c r="CZ167" s="3" cm="1">
        <f t="array" ref="CZ167">IFERROR(COUNT(_xlfn._xlws.FILTER(CH167:CL167, ISNUMBER(MATCH(CH167:CL167, {2,3,5,7,11,13,17,19,23,29,31,37,41,43}, 0)))), 0)</f>
        <v>0</v>
      </c>
      <c r="DA167" s="3" cm="1">
        <f t="array" ref="DA167">IFERROR(COUNT(_xlfn._xlws.FILTER(CH167:CL167, ISNUMBER(MATCH(CH167:CL167, {1,4,8,10,14,16,20,22,25,26,28,32,34,35,38,40,44}, 0)))), 0)</f>
        <v>0</v>
      </c>
      <c r="DB167" s="3" cm="1">
        <f t="array" ref="DB167">IFERROR(COUNT(_xlfn._xlws.FILTER(CH167:CL167, ISNUMBER(MATCH(CH167:CL167, {6,9,12,15,18,21,24,27,30,33,36,39,42,45}, 0)))), 0)</f>
        <v>0</v>
      </c>
      <c r="DC167" s="29"/>
      <c r="DD167" s="28" t="e">
        <f>#REF!</f>
        <v>#REF!</v>
      </c>
      <c r="DE167" s="28" t="e">
        <f>#REF!*2</f>
        <v>#REF!</v>
      </c>
      <c r="DF167" s="28" t="e">
        <f>#REF!</f>
        <v>#REF!</v>
      </c>
      <c r="DG167" s="28" t="e">
        <f>#REF!*2</f>
        <v>#REF!</v>
      </c>
      <c r="DH167" s="28" t="e">
        <f>#REF!</f>
        <v>#REF!</v>
      </c>
      <c r="DI167" s="28" t="e">
        <f>#REF!*2</f>
        <v>#REF!</v>
      </c>
      <c r="DJ167" s="28" t="e">
        <f>#REF!</f>
        <v>#REF!</v>
      </c>
      <c r="DK167" s="28" t="e">
        <f>#REF!*2</f>
        <v>#REF!</v>
      </c>
      <c r="DL167" s="28" t="e">
        <f>#REF!</f>
        <v>#REF!</v>
      </c>
      <c r="DM167" s="28" t="e">
        <f>#REF!*2</f>
        <v>#REF!</v>
      </c>
      <c r="DN167" s="27"/>
      <c r="DO167" s="26"/>
      <c r="DP167" s="26"/>
      <c r="DQ167" s="26"/>
      <c r="DR167" s="26"/>
      <c r="DS167" s="26"/>
      <c r="DT167" s="25"/>
    </row>
    <row r="168" spans="2:124" x14ac:dyDescent="0.3"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2"/>
      <c r="I168" s="3">
        <f t="shared" si="80"/>
        <v>0</v>
      </c>
      <c r="J168" s="3">
        <f t="shared" si="81"/>
        <v>0</v>
      </c>
      <c r="K168" s="3">
        <f t="shared" si="82"/>
        <v>0</v>
      </c>
      <c r="L168" s="3">
        <f t="shared" si="83"/>
        <v>0</v>
      </c>
      <c r="M168" s="3">
        <f t="shared" si="84"/>
        <v>0</v>
      </c>
      <c r="N168" s="3">
        <f t="shared" si="85"/>
        <v>0</v>
      </c>
      <c r="O168" s="32"/>
      <c r="P168" s="3" cm="1">
        <f t="array" ref="P168">SUMPRODUCT(--(MOD(B168:G168,2)=1))</f>
        <v>0</v>
      </c>
      <c r="Q168" s="3">
        <f t="shared" si="86"/>
        <v>6</v>
      </c>
      <c r="R168" s="34"/>
      <c r="S168" s="3">
        <f t="shared" si="87"/>
        <v>0</v>
      </c>
      <c r="T168" s="3">
        <f t="shared" si="88"/>
        <v>6</v>
      </c>
      <c r="U168" s="34"/>
      <c r="V168" s="3" cm="1">
        <f t="array" ref="V168">SUMPRODUCT(--(MOD(B168:G168,10)&gt;=1), --(MOD(B168:G168,10)&lt;=5))</f>
        <v>0</v>
      </c>
      <c r="W168" s="3">
        <f t="shared" si="89"/>
        <v>6</v>
      </c>
      <c r="X168" s="34"/>
      <c r="Y168" s="3" cm="1">
        <f t="array" ref="Y168">IFERROR(COUNT(_xlfn._xlws.FILTER(B168:G168, ISNUMBER(MATCH(B168:G168, {2,3,5,7,11,13,17,19,23,29,31,37,41,43}, 0)))), 0)</f>
        <v>0</v>
      </c>
      <c r="Z168" s="3" cm="1">
        <f t="array" ref="Z168">IFERROR(COUNT(_xlfn._xlws.FILTER(B168:G168, ISNUMBER(MATCH(B168:G168, {1,4,8,10,14,16,20,22,25,26,28,32,34,35,38,40,44}, 0)))), 0)</f>
        <v>0</v>
      </c>
      <c r="AA168" s="3" cm="1">
        <f t="array" ref="AA168">IFERROR(COUNT(_xlfn._xlws.FILTER(B168:G168, ISNUMBER(MATCH(B168:G168, {6,9,12,15,18,21,24,27,30,33,36,39,42,45}, 0)))), 0)</f>
        <v>0</v>
      </c>
      <c r="AB168" s="30"/>
      <c r="AC168" s="26" cm="1">
        <f t="array" ref="AC168">_xlfn.IFS(
   OR(B168="",ISBLANK(B168),B168=0),0,
   ISNUMBER(MATCH(B168,{2,3,5,7,11,13,17,19,23,29,31,37,41,43},0)),"소",
   AND(ISNUMBER(B168),MOD(B168,3)=0),"배",
   AND(ISNUMBER(B168),B168&gt;0),"자"
)</f>
        <v>0</v>
      </c>
      <c r="AD168" s="26" cm="1">
        <f t="array" ref="AD168">_xlfn.IFS(
   OR(C168="",ISBLANK(C168),C168=0),0,
   ISNUMBER(MATCH(C168,{2,3,5,7,11,13,17,19,23,29,31,37,41,43},0)),"소",
   AND(ISNUMBER(C168),MOD(C168,3)=0),"배",
   AND(ISNUMBER(C168),C168&gt;0),"자"
)</f>
        <v>0</v>
      </c>
      <c r="AE168" s="26" cm="1">
        <f t="array" ref="AE168">_xlfn.IFS(
   OR(D168="",ISBLANK(D168),D168=0),0,
   ISNUMBER(MATCH(D168,{2,3,5,7,11,13,17,19,23,29,31,37,41,43},0)),"소",
   AND(ISNUMBER(D168),MOD(D168,3)=0),"배",
   AND(ISNUMBER(D168),D168&gt;0),"자"
)</f>
        <v>0</v>
      </c>
      <c r="AF168" s="26" cm="1">
        <f t="array" ref="AF168">_xlfn.IFS(
   OR(E168="",ISBLANK(E168),E168=0),0,
   ISNUMBER(MATCH(E168,{2,3,5,7,11,13,17,19,23,29,31,37,41,43},0)),"소",
   AND(ISNUMBER(E168),MOD(E168,3)=0),"배",
   AND(ISNUMBER(E168),E168&gt;0),"자"
)</f>
        <v>0</v>
      </c>
      <c r="AG168" s="26" cm="1">
        <f t="array" ref="AG168">_xlfn.IFS(
   OR(F168="",ISBLANK(F168),F168=0),0,
   ISNUMBER(MATCH(F168,{2,3,5,7,11,13,17,19,23,29,31,37,41,43},0)),"소",
   AND(ISNUMBER(F168),MOD(F168,3)=0),"배",
   AND(ISNUMBER(F168),F168&gt;0),"자"
)</f>
        <v>0</v>
      </c>
      <c r="AH168" s="26" cm="1">
        <f t="array" ref="AH168">_xlfn.IFS(
   OR(G168="",ISBLANK(G168),G168=0),0,
   ISNUMBER(MATCH(G168,{2,3,5,7,11,13,17,19,23,29,31,37,41,43},0)),"소",
   AND(ISNUMBER(G168),MOD(G168,3)=0),"배",
   AND(ISNUMBER(G168),G168&gt;0),"자"
)</f>
        <v>0</v>
      </c>
      <c r="AI168" s="30"/>
      <c r="AJ168" s="3">
        <f t="shared" si="90"/>
        <v>0</v>
      </c>
      <c r="AK168" s="3">
        <f t="shared" si="91"/>
        <v>0</v>
      </c>
      <c r="AL168" s="3">
        <f t="shared" si="92"/>
        <v>6</v>
      </c>
      <c r="AM168" s="33"/>
      <c r="AN168" s="3">
        <f t="shared" si="93"/>
        <v>0</v>
      </c>
      <c r="AO168" s="3">
        <f t="shared" si="94"/>
        <v>0</v>
      </c>
      <c r="AP168" s="3">
        <f t="shared" si="95"/>
        <v>0</v>
      </c>
      <c r="AQ168" s="3">
        <f t="shared" si="96"/>
        <v>0</v>
      </c>
      <c r="AR168" s="3">
        <f t="shared" si="97"/>
        <v>0</v>
      </c>
      <c r="AS168" s="28" t="e">
        <f>#REF!</f>
        <v>#REF!</v>
      </c>
      <c r="AT168" s="28" t="e">
        <f>#REF!*2</f>
        <v>#REF!</v>
      </c>
      <c r="AU168" s="28" t="e">
        <f>#REF!</f>
        <v>#REF!</v>
      </c>
      <c r="AV168" s="28" t="e">
        <f>#REF!*2</f>
        <v>#REF!</v>
      </c>
      <c r="AW168" s="28" t="e">
        <f>#REF!</f>
        <v>#REF!</v>
      </c>
      <c r="AX168" s="28" t="e">
        <f>#REF!*2</f>
        <v>#REF!</v>
      </c>
      <c r="AY168" s="28" t="e">
        <f>#REF!</f>
        <v>#REF!</v>
      </c>
      <c r="AZ168" s="28" t="e">
        <f>#REF!*2</f>
        <v>#REF!</v>
      </c>
      <c r="BA168" s="28" t="e">
        <f>#REF!</f>
        <v>#REF!</v>
      </c>
      <c r="BB168" s="28" t="e">
        <f>#REF!*2</f>
        <v>#REF!</v>
      </c>
      <c r="BC168" s="28" t="e">
        <f>#REF!</f>
        <v>#REF!</v>
      </c>
      <c r="BD168" s="28" t="e">
        <f>#REF!*2</f>
        <v>#REF!</v>
      </c>
      <c r="BE168" s="9" t="e">
        <f>#REF!-#REF!</f>
        <v>#REF!</v>
      </c>
      <c r="BF168" s="9" t="e">
        <f>#REF!-#REF!</f>
        <v>#REF!</v>
      </c>
      <c r="BG168" s="9" t="e">
        <f>#REF!-#REF!</f>
        <v>#REF!</v>
      </c>
      <c r="BH168" s="9" t="e">
        <f>#REF!-#REF!</f>
        <v>#REF!</v>
      </c>
      <c r="BI168" s="9" t="e">
        <f>#REF!-#REF!</f>
        <v>#REF!</v>
      </c>
      <c r="BJ168" s="33"/>
      <c r="BK168" s="3">
        <f t="shared" si="98"/>
        <v>0</v>
      </c>
      <c r="BL168" s="3">
        <f t="shared" si="99"/>
        <v>0</v>
      </c>
      <c r="BM168" s="3">
        <f t="shared" si="100"/>
        <v>0</v>
      </c>
      <c r="BN168" s="3">
        <f t="shared" si="101"/>
        <v>0</v>
      </c>
      <c r="BO168" s="3">
        <f t="shared" si="102"/>
        <v>0</v>
      </c>
      <c r="BP168" s="28" t="e">
        <f>#REF!</f>
        <v>#REF!</v>
      </c>
      <c r="BQ168" s="28" t="e">
        <f>#REF!*2</f>
        <v>#REF!</v>
      </c>
      <c r="BR168" s="28" t="e">
        <f>#REF!</f>
        <v>#REF!</v>
      </c>
      <c r="BS168" s="28" t="e">
        <f>#REF!*2</f>
        <v>#REF!</v>
      </c>
      <c r="BT168" s="28" t="e">
        <f>#REF!</f>
        <v>#REF!</v>
      </c>
      <c r="BU168" s="28" t="e">
        <f>#REF!*2</f>
        <v>#REF!</v>
      </c>
      <c r="BV168" s="28" t="e">
        <f>#REF!</f>
        <v>#REF!</v>
      </c>
      <c r="BW168" s="28" t="e">
        <f>#REF!*2</f>
        <v>#REF!</v>
      </c>
      <c r="BX168" s="28" t="e">
        <f>#REF!</f>
        <v>#REF!</v>
      </c>
      <c r="BY168" s="28" t="e">
        <f>#REF!*2</f>
        <v>#REF!</v>
      </c>
      <c r="BZ168" s="28" t="e">
        <f>#REF!</f>
        <v>#REF!</v>
      </c>
      <c r="CA168" s="28" t="e">
        <f>#REF!*2</f>
        <v>#REF!</v>
      </c>
      <c r="CB168" s="9">
        <f t="shared" si="103"/>
        <v>0</v>
      </c>
      <c r="CC168" s="9">
        <f t="shared" si="104"/>
        <v>0</v>
      </c>
      <c r="CD168" s="9">
        <f t="shared" si="105"/>
        <v>0</v>
      </c>
      <c r="CE168" s="9">
        <f t="shared" si="106"/>
        <v>0</v>
      </c>
      <c r="CF168" s="9">
        <f t="shared" si="107"/>
        <v>0</v>
      </c>
      <c r="CG168" s="33"/>
      <c r="CH168" s="9">
        <f t="shared" si="108"/>
        <v>0</v>
      </c>
      <c r="CI168" s="9">
        <f t="shared" si="109"/>
        <v>0</v>
      </c>
      <c r="CJ168" s="9">
        <f t="shared" si="110"/>
        <v>0</v>
      </c>
      <c r="CK168" s="9">
        <f t="shared" si="111"/>
        <v>0</v>
      </c>
      <c r="CL168" s="9">
        <f t="shared" si="112"/>
        <v>0</v>
      </c>
      <c r="CM168" s="32"/>
      <c r="CN168" s="3">
        <f t="shared" si="113"/>
        <v>0</v>
      </c>
      <c r="CO168" s="3">
        <f t="shared" si="114"/>
        <v>0</v>
      </c>
      <c r="CP168" s="3">
        <f t="shared" si="115"/>
        <v>0</v>
      </c>
      <c r="CQ168" s="3">
        <f t="shared" si="116"/>
        <v>0</v>
      </c>
      <c r="CR168" s="3">
        <f t="shared" si="117"/>
        <v>0</v>
      </c>
      <c r="CS168" s="31"/>
      <c r="CT168" s="3" cm="1">
        <f t="array" ref="CT168">SUMPRODUCT(--(MOD(CH168:CL168,2)=1))</f>
        <v>0</v>
      </c>
      <c r="CU168" s="3">
        <f t="shared" si="118"/>
        <v>5</v>
      </c>
      <c r="CV168" s="30"/>
      <c r="CW168" s="3" cm="1">
        <f t="array" ref="CW168">SUMPRODUCT(--(MOD(CH168:CL168,10)&gt;=1), --(MOD(CH168:CL168,10)&lt;=5))</f>
        <v>0</v>
      </c>
      <c r="CX168" s="3">
        <f t="shared" si="119"/>
        <v>5</v>
      </c>
      <c r="CY168" s="30"/>
      <c r="CZ168" s="3" cm="1">
        <f t="array" ref="CZ168">IFERROR(COUNT(_xlfn._xlws.FILTER(CH168:CL168, ISNUMBER(MATCH(CH168:CL168, {2,3,5,7,11,13,17,19,23,29,31,37,41,43}, 0)))), 0)</f>
        <v>0</v>
      </c>
      <c r="DA168" s="3" cm="1">
        <f t="array" ref="DA168">IFERROR(COUNT(_xlfn._xlws.FILTER(CH168:CL168, ISNUMBER(MATCH(CH168:CL168, {1,4,8,10,14,16,20,22,25,26,28,32,34,35,38,40,44}, 0)))), 0)</f>
        <v>0</v>
      </c>
      <c r="DB168" s="3" cm="1">
        <f t="array" ref="DB168">IFERROR(COUNT(_xlfn._xlws.FILTER(CH168:CL168, ISNUMBER(MATCH(CH168:CL168, {6,9,12,15,18,21,24,27,30,33,36,39,42,45}, 0)))), 0)</f>
        <v>0</v>
      </c>
      <c r="DC168" s="29"/>
      <c r="DD168" s="28" t="e">
        <f>#REF!</f>
        <v>#REF!</v>
      </c>
      <c r="DE168" s="28" t="e">
        <f>#REF!*2</f>
        <v>#REF!</v>
      </c>
      <c r="DF168" s="28" t="e">
        <f>#REF!</f>
        <v>#REF!</v>
      </c>
      <c r="DG168" s="28" t="e">
        <f>#REF!*2</f>
        <v>#REF!</v>
      </c>
      <c r="DH168" s="28" t="e">
        <f>#REF!</f>
        <v>#REF!</v>
      </c>
      <c r="DI168" s="28" t="e">
        <f>#REF!*2</f>
        <v>#REF!</v>
      </c>
      <c r="DJ168" s="28" t="e">
        <f>#REF!</f>
        <v>#REF!</v>
      </c>
      <c r="DK168" s="28" t="e">
        <f>#REF!*2</f>
        <v>#REF!</v>
      </c>
      <c r="DL168" s="28" t="e">
        <f>#REF!</f>
        <v>#REF!</v>
      </c>
      <c r="DM168" s="28" t="e">
        <f>#REF!*2</f>
        <v>#REF!</v>
      </c>
      <c r="DN168" s="27"/>
      <c r="DO168" s="26"/>
      <c r="DP168" s="26"/>
      <c r="DQ168" s="26"/>
      <c r="DR168" s="26"/>
      <c r="DS168" s="26"/>
      <c r="DT168" s="25"/>
    </row>
    <row r="169" spans="2:124" x14ac:dyDescent="0.3"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2"/>
      <c r="I169" s="3">
        <f t="shared" si="80"/>
        <v>0</v>
      </c>
      <c r="J169" s="3">
        <f t="shared" si="81"/>
        <v>0</v>
      </c>
      <c r="K169" s="3">
        <f t="shared" si="82"/>
        <v>0</v>
      </c>
      <c r="L169" s="3">
        <f t="shared" si="83"/>
        <v>0</v>
      </c>
      <c r="M169" s="3">
        <f t="shared" si="84"/>
        <v>0</v>
      </c>
      <c r="N169" s="3">
        <f t="shared" si="85"/>
        <v>0</v>
      </c>
      <c r="O169" s="32"/>
      <c r="P169" s="3" cm="1">
        <f t="array" ref="P169">SUMPRODUCT(--(MOD(B169:G169,2)=1))</f>
        <v>0</v>
      </c>
      <c r="Q169" s="3">
        <f t="shared" si="86"/>
        <v>6</v>
      </c>
      <c r="R169" s="34"/>
      <c r="S169" s="3">
        <f t="shared" si="87"/>
        <v>0</v>
      </c>
      <c r="T169" s="3">
        <f t="shared" si="88"/>
        <v>6</v>
      </c>
      <c r="U169" s="34"/>
      <c r="V169" s="3" cm="1">
        <f t="array" ref="V169">SUMPRODUCT(--(MOD(B169:G169,10)&gt;=1), --(MOD(B169:G169,10)&lt;=5))</f>
        <v>0</v>
      </c>
      <c r="W169" s="3">
        <f t="shared" si="89"/>
        <v>6</v>
      </c>
      <c r="X169" s="34"/>
      <c r="Y169" s="3" cm="1">
        <f t="array" ref="Y169">IFERROR(COUNT(_xlfn._xlws.FILTER(B169:G169, ISNUMBER(MATCH(B169:G169, {2,3,5,7,11,13,17,19,23,29,31,37,41,43}, 0)))), 0)</f>
        <v>0</v>
      </c>
      <c r="Z169" s="3" cm="1">
        <f t="array" ref="Z169">IFERROR(COUNT(_xlfn._xlws.FILTER(B169:G169, ISNUMBER(MATCH(B169:G169, {1,4,8,10,14,16,20,22,25,26,28,32,34,35,38,40,44}, 0)))), 0)</f>
        <v>0</v>
      </c>
      <c r="AA169" s="3" cm="1">
        <f t="array" ref="AA169">IFERROR(COUNT(_xlfn._xlws.FILTER(B169:G169, ISNUMBER(MATCH(B169:G169, {6,9,12,15,18,21,24,27,30,33,36,39,42,45}, 0)))), 0)</f>
        <v>0</v>
      </c>
      <c r="AB169" s="30"/>
      <c r="AC169" s="26" cm="1">
        <f t="array" ref="AC169">_xlfn.IFS(
   OR(B169="",ISBLANK(B169),B169=0),0,
   ISNUMBER(MATCH(B169,{2,3,5,7,11,13,17,19,23,29,31,37,41,43},0)),"소",
   AND(ISNUMBER(B169),MOD(B169,3)=0),"배",
   AND(ISNUMBER(B169),B169&gt;0),"자"
)</f>
        <v>0</v>
      </c>
      <c r="AD169" s="26" cm="1">
        <f t="array" ref="AD169">_xlfn.IFS(
   OR(C169="",ISBLANK(C169),C169=0),0,
   ISNUMBER(MATCH(C169,{2,3,5,7,11,13,17,19,23,29,31,37,41,43},0)),"소",
   AND(ISNUMBER(C169),MOD(C169,3)=0),"배",
   AND(ISNUMBER(C169),C169&gt;0),"자"
)</f>
        <v>0</v>
      </c>
      <c r="AE169" s="26" cm="1">
        <f t="array" ref="AE169">_xlfn.IFS(
   OR(D169="",ISBLANK(D169),D169=0),0,
   ISNUMBER(MATCH(D169,{2,3,5,7,11,13,17,19,23,29,31,37,41,43},0)),"소",
   AND(ISNUMBER(D169),MOD(D169,3)=0),"배",
   AND(ISNUMBER(D169),D169&gt;0),"자"
)</f>
        <v>0</v>
      </c>
      <c r="AF169" s="26" cm="1">
        <f t="array" ref="AF169">_xlfn.IFS(
   OR(E169="",ISBLANK(E169),E169=0),0,
   ISNUMBER(MATCH(E169,{2,3,5,7,11,13,17,19,23,29,31,37,41,43},0)),"소",
   AND(ISNUMBER(E169),MOD(E169,3)=0),"배",
   AND(ISNUMBER(E169),E169&gt;0),"자"
)</f>
        <v>0</v>
      </c>
      <c r="AG169" s="26" cm="1">
        <f t="array" ref="AG169">_xlfn.IFS(
   OR(F169="",ISBLANK(F169),F169=0),0,
   ISNUMBER(MATCH(F169,{2,3,5,7,11,13,17,19,23,29,31,37,41,43},0)),"소",
   AND(ISNUMBER(F169),MOD(F169,3)=0),"배",
   AND(ISNUMBER(F169),F169&gt;0),"자"
)</f>
        <v>0</v>
      </c>
      <c r="AH169" s="26" cm="1">
        <f t="array" ref="AH169">_xlfn.IFS(
   OR(G169="",ISBLANK(G169),G169=0),0,
   ISNUMBER(MATCH(G169,{2,3,5,7,11,13,17,19,23,29,31,37,41,43},0)),"소",
   AND(ISNUMBER(G169),MOD(G169,3)=0),"배",
   AND(ISNUMBER(G169),G169&gt;0),"자"
)</f>
        <v>0</v>
      </c>
      <c r="AI169" s="30"/>
      <c r="AJ169" s="3">
        <f t="shared" si="90"/>
        <v>0</v>
      </c>
      <c r="AK169" s="3">
        <f t="shared" si="91"/>
        <v>0</v>
      </c>
      <c r="AL169" s="3">
        <f t="shared" si="92"/>
        <v>6</v>
      </c>
      <c r="AM169" s="33"/>
      <c r="AN169" s="3">
        <f t="shared" si="93"/>
        <v>0</v>
      </c>
      <c r="AO169" s="3">
        <f t="shared" si="94"/>
        <v>0</v>
      </c>
      <c r="AP169" s="3">
        <f t="shared" si="95"/>
        <v>0</v>
      </c>
      <c r="AQ169" s="3">
        <f t="shared" si="96"/>
        <v>0</v>
      </c>
      <c r="AR169" s="3">
        <f t="shared" si="97"/>
        <v>0</v>
      </c>
      <c r="AS169" s="28" t="e">
        <f>#REF!</f>
        <v>#REF!</v>
      </c>
      <c r="AT169" s="28" t="e">
        <f>#REF!*2</f>
        <v>#REF!</v>
      </c>
      <c r="AU169" s="28" t="e">
        <f>#REF!</f>
        <v>#REF!</v>
      </c>
      <c r="AV169" s="28" t="e">
        <f>#REF!*2</f>
        <v>#REF!</v>
      </c>
      <c r="AW169" s="28" t="e">
        <f>#REF!</f>
        <v>#REF!</v>
      </c>
      <c r="AX169" s="28" t="e">
        <f>#REF!*2</f>
        <v>#REF!</v>
      </c>
      <c r="AY169" s="28" t="e">
        <f>#REF!</f>
        <v>#REF!</v>
      </c>
      <c r="AZ169" s="28" t="e">
        <f>#REF!*2</f>
        <v>#REF!</v>
      </c>
      <c r="BA169" s="28" t="e">
        <f>#REF!</f>
        <v>#REF!</v>
      </c>
      <c r="BB169" s="28" t="e">
        <f>#REF!*2</f>
        <v>#REF!</v>
      </c>
      <c r="BC169" s="28" t="e">
        <f>#REF!</f>
        <v>#REF!</v>
      </c>
      <c r="BD169" s="28" t="e">
        <f>#REF!*2</f>
        <v>#REF!</v>
      </c>
      <c r="BE169" s="9" t="e">
        <f>#REF!-#REF!</f>
        <v>#REF!</v>
      </c>
      <c r="BF169" s="9" t="e">
        <f>#REF!-#REF!</f>
        <v>#REF!</v>
      </c>
      <c r="BG169" s="9" t="e">
        <f>#REF!-#REF!</f>
        <v>#REF!</v>
      </c>
      <c r="BH169" s="9" t="e">
        <f>#REF!-#REF!</f>
        <v>#REF!</v>
      </c>
      <c r="BI169" s="9" t="e">
        <f>#REF!-#REF!</f>
        <v>#REF!</v>
      </c>
      <c r="BJ169" s="33"/>
      <c r="BK169" s="3">
        <f t="shared" si="98"/>
        <v>0</v>
      </c>
      <c r="BL169" s="3">
        <f t="shared" si="99"/>
        <v>0</v>
      </c>
      <c r="BM169" s="3">
        <f t="shared" si="100"/>
        <v>0</v>
      </c>
      <c r="BN169" s="3">
        <f t="shared" si="101"/>
        <v>0</v>
      </c>
      <c r="BO169" s="3">
        <f t="shared" si="102"/>
        <v>0</v>
      </c>
      <c r="BP169" s="28" t="e">
        <f>#REF!</f>
        <v>#REF!</v>
      </c>
      <c r="BQ169" s="28" t="e">
        <f>#REF!*2</f>
        <v>#REF!</v>
      </c>
      <c r="BR169" s="28" t="e">
        <f>#REF!</f>
        <v>#REF!</v>
      </c>
      <c r="BS169" s="28" t="e">
        <f>#REF!*2</f>
        <v>#REF!</v>
      </c>
      <c r="BT169" s="28" t="e">
        <f>#REF!</f>
        <v>#REF!</v>
      </c>
      <c r="BU169" s="28" t="e">
        <f>#REF!*2</f>
        <v>#REF!</v>
      </c>
      <c r="BV169" s="28" t="e">
        <f>#REF!</f>
        <v>#REF!</v>
      </c>
      <c r="BW169" s="28" t="e">
        <f>#REF!*2</f>
        <v>#REF!</v>
      </c>
      <c r="BX169" s="28" t="e">
        <f>#REF!</f>
        <v>#REF!</v>
      </c>
      <c r="BY169" s="28" t="e">
        <f>#REF!*2</f>
        <v>#REF!</v>
      </c>
      <c r="BZ169" s="28" t="e">
        <f>#REF!</f>
        <v>#REF!</v>
      </c>
      <c r="CA169" s="28" t="e">
        <f>#REF!*2</f>
        <v>#REF!</v>
      </c>
      <c r="CB169" s="9">
        <f t="shared" si="103"/>
        <v>0</v>
      </c>
      <c r="CC169" s="9">
        <f t="shared" si="104"/>
        <v>0</v>
      </c>
      <c r="CD169" s="9">
        <f t="shared" si="105"/>
        <v>0</v>
      </c>
      <c r="CE169" s="9">
        <f t="shared" si="106"/>
        <v>0</v>
      </c>
      <c r="CF169" s="9">
        <f t="shared" si="107"/>
        <v>0</v>
      </c>
      <c r="CG169" s="33"/>
      <c r="CH169" s="9">
        <f t="shared" si="108"/>
        <v>0</v>
      </c>
      <c r="CI169" s="9">
        <f t="shared" si="109"/>
        <v>0</v>
      </c>
      <c r="CJ169" s="9">
        <f t="shared" si="110"/>
        <v>0</v>
      </c>
      <c r="CK169" s="9">
        <f t="shared" si="111"/>
        <v>0</v>
      </c>
      <c r="CL169" s="9">
        <f t="shared" si="112"/>
        <v>0</v>
      </c>
      <c r="CM169" s="32"/>
      <c r="CN169" s="3">
        <f t="shared" si="113"/>
        <v>0</v>
      </c>
      <c r="CO169" s="3">
        <f t="shared" si="114"/>
        <v>0</v>
      </c>
      <c r="CP169" s="3">
        <f t="shared" si="115"/>
        <v>0</v>
      </c>
      <c r="CQ169" s="3">
        <f t="shared" si="116"/>
        <v>0</v>
      </c>
      <c r="CR169" s="3">
        <f t="shared" si="117"/>
        <v>0</v>
      </c>
      <c r="CS169" s="31"/>
      <c r="CT169" s="3" cm="1">
        <f t="array" ref="CT169">SUMPRODUCT(--(MOD(CH169:CL169,2)=1))</f>
        <v>0</v>
      </c>
      <c r="CU169" s="3">
        <f t="shared" si="118"/>
        <v>5</v>
      </c>
      <c r="CV169" s="30"/>
      <c r="CW169" s="3" cm="1">
        <f t="array" ref="CW169">SUMPRODUCT(--(MOD(CH169:CL169,10)&gt;=1), --(MOD(CH169:CL169,10)&lt;=5))</f>
        <v>0</v>
      </c>
      <c r="CX169" s="3">
        <f t="shared" si="119"/>
        <v>5</v>
      </c>
      <c r="CY169" s="30"/>
      <c r="CZ169" s="3" cm="1">
        <f t="array" ref="CZ169">IFERROR(COUNT(_xlfn._xlws.FILTER(CH169:CL169, ISNUMBER(MATCH(CH169:CL169, {2,3,5,7,11,13,17,19,23,29,31,37,41,43}, 0)))), 0)</f>
        <v>0</v>
      </c>
      <c r="DA169" s="3" cm="1">
        <f t="array" ref="DA169">IFERROR(COUNT(_xlfn._xlws.FILTER(CH169:CL169, ISNUMBER(MATCH(CH169:CL169, {1,4,8,10,14,16,20,22,25,26,28,32,34,35,38,40,44}, 0)))), 0)</f>
        <v>0</v>
      </c>
      <c r="DB169" s="3" cm="1">
        <f t="array" ref="DB169">IFERROR(COUNT(_xlfn._xlws.FILTER(CH169:CL169, ISNUMBER(MATCH(CH169:CL169, {6,9,12,15,18,21,24,27,30,33,36,39,42,45}, 0)))), 0)</f>
        <v>0</v>
      </c>
      <c r="DC169" s="29"/>
      <c r="DD169" s="28" t="e">
        <f>#REF!</f>
        <v>#REF!</v>
      </c>
      <c r="DE169" s="28" t="e">
        <f>#REF!*2</f>
        <v>#REF!</v>
      </c>
      <c r="DF169" s="28" t="e">
        <f>#REF!</f>
        <v>#REF!</v>
      </c>
      <c r="DG169" s="28" t="e">
        <f>#REF!*2</f>
        <v>#REF!</v>
      </c>
      <c r="DH169" s="28" t="e">
        <f>#REF!</f>
        <v>#REF!</v>
      </c>
      <c r="DI169" s="28" t="e">
        <f>#REF!*2</f>
        <v>#REF!</v>
      </c>
      <c r="DJ169" s="28" t="e">
        <f>#REF!</f>
        <v>#REF!</v>
      </c>
      <c r="DK169" s="28" t="e">
        <f>#REF!*2</f>
        <v>#REF!</v>
      </c>
      <c r="DL169" s="28" t="e">
        <f>#REF!</f>
        <v>#REF!</v>
      </c>
      <c r="DM169" s="28" t="e">
        <f>#REF!*2</f>
        <v>#REF!</v>
      </c>
      <c r="DN169" s="27"/>
      <c r="DO169" s="26"/>
      <c r="DP169" s="26"/>
      <c r="DQ169" s="26"/>
      <c r="DR169" s="26"/>
      <c r="DS169" s="26"/>
      <c r="DT169" s="25"/>
    </row>
    <row r="170" spans="2:124" x14ac:dyDescent="0.3"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2"/>
      <c r="I170" s="3">
        <f t="shared" si="80"/>
        <v>0</v>
      </c>
      <c r="J170" s="3">
        <f t="shared" si="81"/>
        <v>0</v>
      </c>
      <c r="K170" s="3">
        <f t="shared" si="82"/>
        <v>0</v>
      </c>
      <c r="L170" s="3">
        <f t="shared" si="83"/>
        <v>0</v>
      </c>
      <c r="M170" s="3">
        <f t="shared" si="84"/>
        <v>0</v>
      </c>
      <c r="N170" s="3">
        <f t="shared" si="85"/>
        <v>0</v>
      </c>
      <c r="O170" s="32"/>
      <c r="P170" s="3" cm="1">
        <f t="array" ref="P170">SUMPRODUCT(--(MOD(B170:G170,2)=1))</f>
        <v>0</v>
      </c>
      <c r="Q170" s="3">
        <f t="shared" si="86"/>
        <v>6</v>
      </c>
      <c r="R170" s="34"/>
      <c r="S170" s="3">
        <f t="shared" si="87"/>
        <v>0</v>
      </c>
      <c r="T170" s="3">
        <f t="shared" si="88"/>
        <v>6</v>
      </c>
      <c r="U170" s="34"/>
      <c r="V170" s="3" cm="1">
        <f t="array" ref="V170">SUMPRODUCT(--(MOD(B170:G170,10)&gt;=1), --(MOD(B170:G170,10)&lt;=5))</f>
        <v>0</v>
      </c>
      <c r="W170" s="3">
        <f t="shared" si="89"/>
        <v>6</v>
      </c>
      <c r="X170" s="34"/>
      <c r="Y170" s="3" cm="1">
        <f t="array" ref="Y170">IFERROR(COUNT(_xlfn._xlws.FILTER(B170:G170, ISNUMBER(MATCH(B170:G170, {2,3,5,7,11,13,17,19,23,29,31,37,41,43}, 0)))), 0)</f>
        <v>0</v>
      </c>
      <c r="Z170" s="3" cm="1">
        <f t="array" ref="Z170">IFERROR(COUNT(_xlfn._xlws.FILTER(B170:G170, ISNUMBER(MATCH(B170:G170, {1,4,8,10,14,16,20,22,25,26,28,32,34,35,38,40,44}, 0)))), 0)</f>
        <v>0</v>
      </c>
      <c r="AA170" s="3" cm="1">
        <f t="array" ref="AA170">IFERROR(COUNT(_xlfn._xlws.FILTER(B170:G170, ISNUMBER(MATCH(B170:G170, {6,9,12,15,18,21,24,27,30,33,36,39,42,45}, 0)))), 0)</f>
        <v>0</v>
      </c>
      <c r="AB170" s="30"/>
      <c r="AC170" s="26" cm="1">
        <f t="array" ref="AC170">_xlfn.IFS(
   OR(B170="",ISBLANK(B170),B170=0),0,
   ISNUMBER(MATCH(B170,{2,3,5,7,11,13,17,19,23,29,31,37,41,43},0)),"소",
   AND(ISNUMBER(B170),MOD(B170,3)=0),"배",
   AND(ISNUMBER(B170),B170&gt;0),"자"
)</f>
        <v>0</v>
      </c>
      <c r="AD170" s="26" cm="1">
        <f t="array" ref="AD170">_xlfn.IFS(
   OR(C170="",ISBLANK(C170),C170=0),0,
   ISNUMBER(MATCH(C170,{2,3,5,7,11,13,17,19,23,29,31,37,41,43},0)),"소",
   AND(ISNUMBER(C170),MOD(C170,3)=0),"배",
   AND(ISNUMBER(C170),C170&gt;0),"자"
)</f>
        <v>0</v>
      </c>
      <c r="AE170" s="26" cm="1">
        <f t="array" ref="AE170">_xlfn.IFS(
   OR(D170="",ISBLANK(D170),D170=0),0,
   ISNUMBER(MATCH(D170,{2,3,5,7,11,13,17,19,23,29,31,37,41,43},0)),"소",
   AND(ISNUMBER(D170),MOD(D170,3)=0),"배",
   AND(ISNUMBER(D170),D170&gt;0),"자"
)</f>
        <v>0</v>
      </c>
      <c r="AF170" s="26" cm="1">
        <f t="array" ref="AF170">_xlfn.IFS(
   OR(E170="",ISBLANK(E170),E170=0),0,
   ISNUMBER(MATCH(E170,{2,3,5,7,11,13,17,19,23,29,31,37,41,43},0)),"소",
   AND(ISNUMBER(E170),MOD(E170,3)=0),"배",
   AND(ISNUMBER(E170),E170&gt;0),"자"
)</f>
        <v>0</v>
      </c>
      <c r="AG170" s="26" cm="1">
        <f t="array" ref="AG170">_xlfn.IFS(
   OR(F170="",ISBLANK(F170),F170=0),0,
   ISNUMBER(MATCH(F170,{2,3,5,7,11,13,17,19,23,29,31,37,41,43},0)),"소",
   AND(ISNUMBER(F170),MOD(F170,3)=0),"배",
   AND(ISNUMBER(F170),F170&gt;0),"자"
)</f>
        <v>0</v>
      </c>
      <c r="AH170" s="26" cm="1">
        <f t="array" ref="AH170">_xlfn.IFS(
   OR(G170="",ISBLANK(G170),G170=0),0,
   ISNUMBER(MATCH(G170,{2,3,5,7,11,13,17,19,23,29,31,37,41,43},0)),"소",
   AND(ISNUMBER(G170),MOD(G170,3)=0),"배",
   AND(ISNUMBER(G170),G170&gt;0),"자"
)</f>
        <v>0</v>
      </c>
      <c r="AI170" s="30"/>
      <c r="AJ170" s="3">
        <f t="shared" si="90"/>
        <v>0</v>
      </c>
      <c r="AK170" s="3">
        <f t="shared" si="91"/>
        <v>0</v>
      </c>
      <c r="AL170" s="3">
        <f t="shared" si="92"/>
        <v>6</v>
      </c>
      <c r="AM170" s="33"/>
      <c r="AN170" s="3">
        <f t="shared" si="93"/>
        <v>0</v>
      </c>
      <c r="AO170" s="3">
        <f t="shared" si="94"/>
        <v>0</v>
      </c>
      <c r="AP170" s="3">
        <f t="shared" si="95"/>
        <v>0</v>
      </c>
      <c r="AQ170" s="3">
        <f t="shared" si="96"/>
        <v>0</v>
      </c>
      <c r="AR170" s="3">
        <f t="shared" si="97"/>
        <v>0</v>
      </c>
      <c r="AS170" s="28" t="e">
        <f>#REF!</f>
        <v>#REF!</v>
      </c>
      <c r="AT170" s="28" t="e">
        <f>#REF!*2</f>
        <v>#REF!</v>
      </c>
      <c r="AU170" s="28" t="e">
        <f>#REF!</f>
        <v>#REF!</v>
      </c>
      <c r="AV170" s="28" t="e">
        <f>#REF!*2</f>
        <v>#REF!</v>
      </c>
      <c r="AW170" s="28" t="e">
        <f>#REF!</f>
        <v>#REF!</v>
      </c>
      <c r="AX170" s="28" t="e">
        <f>#REF!*2</f>
        <v>#REF!</v>
      </c>
      <c r="AY170" s="28" t="e">
        <f>#REF!</f>
        <v>#REF!</v>
      </c>
      <c r="AZ170" s="28" t="e">
        <f>#REF!*2</f>
        <v>#REF!</v>
      </c>
      <c r="BA170" s="28" t="e">
        <f>#REF!</f>
        <v>#REF!</v>
      </c>
      <c r="BB170" s="28" t="e">
        <f>#REF!*2</f>
        <v>#REF!</v>
      </c>
      <c r="BC170" s="28" t="e">
        <f>#REF!</f>
        <v>#REF!</v>
      </c>
      <c r="BD170" s="28" t="e">
        <f>#REF!*2</f>
        <v>#REF!</v>
      </c>
      <c r="BE170" s="9" t="e">
        <f>#REF!-#REF!</f>
        <v>#REF!</v>
      </c>
      <c r="BF170" s="9" t="e">
        <f>#REF!-#REF!</f>
        <v>#REF!</v>
      </c>
      <c r="BG170" s="9" t="e">
        <f>#REF!-#REF!</f>
        <v>#REF!</v>
      </c>
      <c r="BH170" s="9" t="e">
        <f>#REF!-#REF!</f>
        <v>#REF!</v>
      </c>
      <c r="BI170" s="9" t="e">
        <f>#REF!-#REF!</f>
        <v>#REF!</v>
      </c>
      <c r="BJ170" s="33"/>
      <c r="BK170" s="3">
        <f t="shared" si="98"/>
        <v>0</v>
      </c>
      <c r="BL170" s="3">
        <f t="shared" si="99"/>
        <v>0</v>
      </c>
      <c r="BM170" s="3">
        <f t="shared" si="100"/>
        <v>0</v>
      </c>
      <c r="BN170" s="3">
        <f t="shared" si="101"/>
        <v>0</v>
      </c>
      <c r="BO170" s="3">
        <f t="shared" si="102"/>
        <v>0</v>
      </c>
      <c r="BP170" s="28" t="e">
        <f>#REF!</f>
        <v>#REF!</v>
      </c>
      <c r="BQ170" s="28" t="e">
        <f>#REF!*2</f>
        <v>#REF!</v>
      </c>
      <c r="BR170" s="28" t="e">
        <f>#REF!</f>
        <v>#REF!</v>
      </c>
      <c r="BS170" s="28" t="e">
        <f>#REF!*2</f>
        <v>#REF!</v>
      </c>
      <c r="BT170" s="28" t="e">
        <f>#REF!</f>
        <v>#REF!</v>
      </c>
      <c r="BU170" s="28" t="e">
        <f>#REF!*2</f>
        <v>#REF!</v>
      </c>
      <c r="BV170" s="28" t="e">
        <f>#REF!</f>
        <v>#REF!</v>
      </c>
      <c r="BW170" s="28" t="e">
        <f>#REF!*2</f>
        <v>#REF!</v>
      </c>
      <c r="BX170" s="28" t="e">
        <f>#REF!</f>
        <v>#REF!</v>
      </c>
      <c r="BY170" s="28" t="e">
        <f>#REF!*2</f>
        <v>#REF!</v>
      </c>
      <c r="BZ170" s="28" t="e">
        <f>#REF!</f>
        <v>#REF!</v>
      </c>
      <c r="CA170" s="28" t="e">
        <f>#REF!*2</f>
        <v>#REF!</v>
      </c>
      <c r="CB170" s="9">
        <f t="shared" si="103"/>
        <v>0</v>
      </c>
      <c r="CC170" s="9">
        <f t="shared" si="104"/>
        <v>0</v>
      </c>
      <c r="CD170" s="9">
        <f t="shared" si="105"/>
        <v>0</v>
      </c>
      <c r="CE170" s="9">
        <f t="shared" si="106"/>
        <v>0</v>
      </c>
      <c r="CF170" s="9">
        <f t="shared" si="107"/>
        <v>0</v>
      </c>
      <c r="CG170" s="33"/>
      <c r="CH170" s="9">
        <f t="shared" si="108"/>
        <v>0</v>
      </c>
      <c r="CI170" s="9">
        <f t="shared" si="109"/>
        <v>0</v>
      </c>
      <c r="CJ170" s="9">
        <f t="shared" si="110"/>
        <v>0</v>
      </c>
      <c r="CK170" s="9">
        <f t="shared" si="111"/>
        <v>0</v>
      </c>
      <c r="CL170" s="9">
        <f t="shared" si="112"/>
        <v>0</v>
      </c>
      <c r="CM170" s="32"/>
      <c r="CN170" s="3">
        <f t="shared" si="113"/>
        <v>0</v>
      </c>
      <c r="CO170" s="3">
        <f t="shared" si="114"/>
        <v>0</v>
      </c>
      <c r="CP170" s="3">
        <f t="shared" si="115"/>
        <v>0</v>
      </c>
      <c r="CQ170" s="3">
        <f t="shared" si="116"/>
        <v>0</v>
      </c>
      <c r="CR170" s="3">
        <f t="shared" si="117"/>
        <v>0</v>
      </c>
      <c r="CS170" s="31"/>
      <c r="CT170" s="3" cm="1">
        <f t="array" ref="CT170">SUMPRODUCT(--(MOD(CH170:CL170,2)=1))</f>
        <v>0</v>
      </c>
      <c r="CU170" s="3">
        <f t="shared" si="118"/>
        <v>5</v>
      </c>
      <c r="CV170" s="30"/>
      <c r="CW170" s="3" cm="1">
        <f t="array" ref="CW170">SUMPRODUCT(--(MOD(CH170:CL170,10)&gt;=1), --(MOD(CH170:CL170,10)&lt;=5))</f>
        <v>0</v>
      </c>
      <c r="CX170" s="3">
        <f t="shared" si="119"/>
        <v>5</v>
      </c>
      <c r="CY170" s="30"/>
      <c r="CZ170" s="3" cm="1">
        <f t="array" ref="CZ170">IFERROR(COUNT(_xlfn._xlws.FILTER(CH170:CL170, ISNUMBER(MATCH(CH170:CL170, {2,3,5,7,11,13,17,19,23,29,31,37,41,43}, 0)))), 0)</f>
        <v>0</v>
      </c>
      <c r="DA170" s="3" cm="1">
        <f t="array" ref="DA170">IFERROR(COUNT(_xlfn._xlws.FILTER(CH170:CL170, ISNUMBER(MATCH(CH170:CL170, {1,4,8,10,14,16,20,22,25,26,28,32,34,35,38,40,44}, 0)))), 0)</f>
        <v>0</v>
      </c>
      <c r="DB170" s="3" cm="1">
        <f t="array" ref="DB170">IFERROR(COUNT(_xlfn._xlws.FILTER(CH170:CL170, ISNUMBER(MATCH(CH170:CL170, {6,9,12,15,18,21,24,27,30,33,36,39,42,45}, 0)))), 0)</f>
        <v>0</v>
      </c>
      <c r="DC170" s="29"/>
      <c r="DD170" s="28" t="e">
        <f>#REF!</f>
        <v>#REF!</v>
      </c>
      <c r="DE170" s="28" t="e">
        <f>#REF!*2</f>
        <v>#REF!</v>
      </c>
      <c r="DF170" s="28" t="e">
        <f>#REF!</f>
        <v>#REF!</v>
      </c>
      <c r="DG170" s="28" t="e">
        <f>#REF!*2</f>
        <v>#REF!</v>
      </c>
      <c r="DH170" s="28" t="e">
        <f>#REF!</f>
        <v>#REF!</v>
      </c>
      <c r="DI170" s="28" t="e">
        <f>#REF!*2</f>
        <v>#REF!</v>
      </c>
      <c r="DJ170" s="28" t="e">
        <f>#REF!</f>
        <v>#REF!</v>
      </c>
      <c r="DK170" s="28" t="e">
        <f>#REF!*2</f>
        <v>#REF!</v>
      </c>
      <c r="DL170" s="28" t="e">
        <f>#REF!</f>
        <v>#REF!</v>
      </c>
      <c r="DM170" s="28" t="e">
        <f>#REF!*2</f>
        <v>#REF!</v>
      </c>
      <c r="DN170" s="27"/>
      <c r="DO170" s="26"/>
      <c r="DP170" s="26"/>
      <c r="DQ170" s="26"/>
      <c r="DR170" s="26"/>
      <c r="DS170" s="26"/>
      <c r="DT170" s="25"/>
    </row>
    <row r="171" spans="2:124" x14ac:dyDescent="0.3"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2"/>
      <c r="I171" s="3">
        <f t="shared" si="80"/>
        <v>0</v>
      </c>
      <c r="J171" s="3">
        <f t="shared" si="81"/>
        <v>0</v>
      </c>
      <c r="K171" s="3">
        <f t="shared" si="82"/>
        <v>0</v>
      </c>
      <c r="L171" s="3">
        <f t="shared" si="83"/>
        <v>0</v>
      </c>
      <c r="M171" s="3">
        <f t="shared" si="84"/>
        <v>0</v>
      </c>
      <c r="N171" s="3">
        <f t="shared" si="85"/>
        <v>0</v>
      </c>
      <c r="O171" s="32"/>
      <c r="P171" s="3" cm="1">
        <f t="array" ref="P171">SUMPRODUCT(--(MOD(B171:G171,2)=1))</f>
        <v>0</v>
      </c>
      <c r="Q171" s="3">
        <f t="shared" si="86"/>
        <v>6</v>
      </c>
      <c r="R171" s="34"/>
      <c r="S171" s="3">
        <f t="shared" si="87"/>
        <v>0</v>
      </c>
      <c r="T171" s="3">
        <f t="shared" si="88"/>
        <v>6</v>
      </c>
      <c r="U171" s="34"/>
      <c r="V171" s="3" cm="1">
        <f t="array" ref="V171">SUMPRODUCT(--(MOD(B171:G171,10)&gt;=1), --(MOD(B171:G171,10)&lt;=5))</f>
        <v>0</v>
      </c>
      <c r="W171" s="3">
        <f t="shared" si="89"/>
        <v>6</v>
      </c>
      <c r="X171" s="34"/>
      <c r="Y171" s="3" cm="1">
        <f t="array" ref="Y171">IFERROR(COUNT(_xlfn._xlws.FILTER(B171:G171, ISNUMBER(MATCH(B171:G171, {2,3,5,7,11,13,17,19,23,29,31,37,41,43}, 0)))), 0)</f>
        <v>0</v>
      </c>
      <c r="Z171" s="3" cm="1">
        <f t="array" ref="Z171">IFERROR(COUNT(_xlfn._xlws.FILTER(B171:G171, ISNUMBER(MATCH(B171:G171, {1,4,8,10,14,16,20,22,25,26,28,32,34,35,38,40,44}, 0)))), 0)</f>
        <v>0</v>
      </c>
      <c r="AA171" s="3" cm="1">
        <f t="array" ref="AA171">IFERROR(COUNT(_xlfn._xlws.FILTER(B171:G171, ISNUMBER(MATCH(B171:G171, {6,9,12,15,18,21,24,27,30,33,36,39,42,45}, 0)))), 0)</f>
        <v>0</v>
      </c>
      <c r="AB171" s="30"/>
      <c r="AC171" s="26" cm="1">
        <f t="array" ref="AC171">_xlfn.IFS(
   OR(B171="",ISBLANK(B171),B171=0),0,
   ISNUMBER(MATCH(B171,{2,3,5,7,11,13,17,19,23,29,31,37,41,43},0)),"소",
   AND(ISNUMBER(B171),MOD(B171,3)=0),"배",
   AND(ISNUMBER(B171),B171&gt;0),"자"
)</f>
        <v>0</v>
      </c>
      <c r="AD171" s="26" cm="1">
        <f t="array" ref="AD171">_xlfn.IFS(
   OR(C171="",ISBLANK(C171),C171=0),0,
   ISNUMBER(MATCH(C171,{2,3,5,7,11,13,17,19,23,29,31,37,41,43},0)),"소",
   AND(ISNUMBER(C171),MOD(C171,3)=0),"배",
   AND(ISNUMBER(C171),C171&gt;0),"자"
)</f>
        <v>0</v>
      </c>
      <c r="AE171" s="26" cm="1">
        <f t="array" ref="AE171">_xlfn.IFS(
   OR(D171="",ISBLANK(D171),D171=0),0,
   ISNUMBER(MATCH(D171,{2,3,5,7,11,13,17,19,23,29,31,37,41,43},0)),"소",
   AND(ISNUMBER(D171),MOD(D171,3)=0),"배",
   AND(ISNUMBER(D171),D171&gt;0),"자"
)</f>
        <v>0</v>
      </c>
      <c r="AF171" s="26" cm="1">
        <f t="array" ref="AF171">_xlfn.IFS(
   OR(E171="",ISBLANK(E171),E171=0),0,
   ISNUMBER(MATCH(E171,{2,3,5,7,11,13,17,19,23,29,31,37,41,43},0)),"소",
   AND(ISNUMBER(E171),MOD(E171,3)=0),"배",
   AND(ISNUMBER(E171),E171&gt;0),"자"
)</f>
        <v>0</v>
      </c>
      <c r="AG171" s="26" cm="1">
        <f t="array" ref="AG171">_xlfn.IFS(
   OR(F171="",ISBLANK(F171),F171=0),0,
   ISNUMBER(MATCH(F171,{2,3,5,7,11,13,17,19,23,29,31,37,41,43},0)),"소",
   AND(ISNUMBER(F171),MOD(F171,3)=0),"배",
   AND(ISNUMBER(F171),F171&gt;0),"자"
)</f>
        <v>0</v>
      </c>
      <c r="AH171" s="26" cm="1">
        <f t="array" ref="AH171">_xlfn.IFS(
   OR(G171="",ISBLANK(G171),G171=0),0,
   ISNUMBER(MATCH(G171,{2,3,5,7,11,13,17,19,23,29,31,37,41,43},0)),"소",
   AND(ISNUMBER(G171),MOD(G171,3)=0),"배",
   AND(ISNUMBER(G171),G171&gt;0),"자"
)</f>
        <v>0</v>
      </c>
      <c r="AI171" s="30"/>
      <c r="AJ171" s="3">
        <f t="shared" si="90"/>
        <v>0</v>
      </c>
      <c r="AK171" s="3">
        <f t="shared" si="91"/>
        <v>0</v>
      </c>
      <c r="AL171" s="3">
        <f t="shared" si="92"/>
        <v>6</v>
      </c>
      <c r="AM171" s="33"/>
      <c r="AN171" s="3">
        <f t="shared" si="93"/>
        <v>0</v>
      </c>
      <c r="AO171" s="3">
        <f t="shared" si="94"/>
        <v>0</v>
      </c>
      <c r="AP171" s="3">
        <f t="shared" si="95"/>
        <v>0</v>
      </c>
      <c r="AQ171" s="3">
        <f t="shared" si="96"/>
        <v>0</v>
      </c>
      <c r="AR171" s="3">
        <f t="shared" si="97"/>
        <v>0</v>
      </c>
      <c r="AS171" s="28" t="e">
        <f>#REF!</f>
        <v>#REF!</v>
      </c>
      <c r="AT171" s="28" t="e">
        <f>#REF!*2</f>
        <v>#REF!</v>
      </c>
      <c r="AU171" s="28" t="e">
        <f>#REF!</f>
        <v>#REF!</v>
      </c>
      <c r="AV171" s="28" t="e">
        <f>#REF!*2</f>
        <v>#REF!</v>
      </c>
      <c r="AW171" s="28" t="e">
        <f>#REF!</f>
        <v>#REF!</v>
      </c>
      <c r="AX171" s="28" t="e">
        <f>#REF!*2</f>
        <v>#REF!</v>
      </c>
      <c r="AY171" s="28" t="e">
        <f>#REF!</f>
        <v>#REF!</v>
      </c>
      <c r="AZ171" s="28" t="e">
        <f>#REF!*2</f>
        <v>#REF!</v>
      </c>
      <c r="BA171" s="28" t="e">
        <f>#REF!</f>
        <v>#REF!</v>
      </c>
      <c r="BB171" s="28" t="e">
        <f>#REF!*2</f>
        <v>#REF!</v>
      </c>
      <c r="BC171" s="28" t="e">
        <f>#REF!</f>
        <v>#REF!</v>
      </c>
      <c r="BD171" s="28" t="e">
        <f>#REF!*2</f>
        <v>#REF!</v>
      </c>
      <c r="BE171" s="9" t="e">
        <f>#REF!-#REF!</f>
        <v>#REF!</v>
      </c>
      <c r="BF171" s="9" t="e">
        <f>#REF!-#REF!</f>
        <v>#REF!</v>
      </c>
      <c r="BG171" s="9" t="e">
        <f>#REF!-#REF!</f>
        <v>#REF!</v>
      </c>
      <c r="BH171" s="9" t="e">
        <f>#REF!-#REF!</f>
        <v>#REF!</v>
      </c>
      <c r="BI171" s="9" t="e">
        <f>#REF!-#REF!</f>
        <v>#REF!</v>
      </c>
      <c r="BJ171" s="33"/>
      <c r="BK171" s="3">
        <f t="shared" si="98"/>
        <v>0</v>
      </c>
      <c r="BL171" s="3">
        <f t="shared" si="99"/>
        <v>0</v>
      </c>
      <c r="BM171" s="3">
        <f t="shared" si="100"/>
        <v>0</v>
      </c>
      <c r="BN171" s="3">
        <f t="shared" si="101"/>
        <v>0</v>
      </c>
      <c r="BO171" s="3">
        <f t="shared" si="102"/>
        <v>0</v>
      </c>
      <c r="BP171" s="28" t="e">
        <f>#REF!</f>
        <v>#REF!</v>
      </c>
      <c r="BQ171" s="28" t="e">
        <f>#REF!*2</f>
        <v>#REF!</v>
      </c>
      <c r="BR171" s="28" t="e">
        <f>#REF!</f>
        <v>#REF!</v>
      </c>
      <c r="BS171" s="28" t="e">
        <f>#REF!*2</f>
        <v>#REF!</v>
      </c>
      <c r="BT171" s="28" t="e">
        <f>#REF!</f>
        <v>#REF!</v>
      </c>
      <c r="BU171" s="28" t="e">
        <f>#REF!*2</f>
        <v>#REF!</v>
      </c>
      <c r="BV171" s="28" t="e">
        <f>#REF!</f>
        <v>#REF!</v>
      </c>
      <c r="BW171" s="28" t="e">
        <f>#REF!*2</f>
        <v>#REF!</v>
      </c>
      <c r="BX171" s="28" t="e">
        <f>#REF!</f>
        <v>#REF!</v>
      </c>
      <c r="BY171" s="28" t="e">
        <f>#REF!*2</f>
        <v>#REF!</v>
      </c>
      <c r="BZ171" s="28" t="e">
        <f>#REF!</f>
        <v>#REF!</v>
      </c>
      <c r="CA171" s="28" t="e">
        <f>#REF!*2</f>
        <v>#REF!</v>
      </c>
      <c r="CB171" s="9">
        <f t="shared" si="103"/>
        <v>0</v>
      </c>
      <c r="CC171" s="9">
        <f t="shared" si="104"/>
        <v>0</v>
      </c>
      <c r="CD171" s="9">
        <f t="shared" si="105"/>
        <v>0</v>
      </c>
      <c r="CE171" s="9">
        <f t="shared" si="106"/>
        <v>0</v>
      </c>
      <c r="CF171" s="9">
        <f t="shared" si="107"/>
        <v>0</v>
      </c>
      <c r="CG171" s="33"/>
      <c r="CH171" s="9">
        <f t="shared" si="108"/>
        <v>0</v>
      </c>
      <c r="CI171" s="9">
        <f t="shared" si="109"/>
        <v>0</v>
      </c>
      <c r="CJ171" s="9">
        <f t="shared" si="110"/>
        <v>0</v>
      </c>
      <c r="CK171" s="9">
        <f t="shared" si="111"/>
        <v>0</v>
      </c>
      <c r="CL171" s="9">
        <f t="shared" si="112"/>
        <v>0</v>
      </c>
      <c r="CM171" s="32"/>
      <c r="CN171" s="3">
        <f t="shared" si="113"/>
        <v>0</v>
      </c>
      <c r="CO171" s="3">
        <f t="shared" si="114"/>
        <v>0</v>
      </c>
      <c r="CP171" s="3">
        <f t="shared" si="115"/>
        <v>0</v>
      </c>
      <c r="CQ171" s="3">
        <f t="shared" si="116"/>
        <v>0</v>
      </c>
      <c r="CR171" s="3">
        <f t="shared" si="117"/>
        <v>0</v>
      </c>
      <c r="CS171" s="31"/>
      <c r="CT171" s="3" cm="1">
        <f t="array" ref="CT171">SUMPRODUCT(--(MOD(CH171:CL171,2)=1))</f>
        <v>0</v>
      </c>
      <c r="CU171" s="3">
        <f t="shared" si="118"/>
        <v>5</v>
      </c>
      <c r="CV171" s="30"/>
      <c r="CW171" s="3" cm="1">
        <f t="array" ref="CW171">SUMPRODUCT(--(MOD(CH171:CL171,10)&gt;=1), --(MOD(CH171:CL171,10)&lt;=5))</f>
        <v>0</v>
      </c>
      <c r="CX171" s="3">
        <f t="shared" si="119"/>
        <v>5</v>
      </c>
      <c r="CY171" s="30"/>
      <c r="CZ171" s="3" cm="1">
        <f t="array" ref="CZ171">IFERROR(COUNT(_xlfn._xlws.FILTER(CH171:CL171, ISNUMBER(MATCH(CH171:CL171, {2,3,5,7,11,13,17,19,23,29,31,37,41,43}, 0)))), 0)</f>
        <v>0</v>
      </c>
      <c r="DA171" s="3" cm="1">
        <f t="array" ref="DA171">IFERROR(COUNT(_xlfn._xlws.FILTER(CH171:CL171, ISNUMBER(MATCH(CH171:CL171, {1,4,8,10,14,16,20,22,25,26,28,32,34,35,38,40,44}, 0)))), 0)</f>
        <v>0</v>
      </c>
      <c r="DB171" s="3" cm="1">
        <f t="array" ref="DB171">IFERROR(COUNT(_xlfn._xlws.FILTER(CH171:CL171, ISNUMBER(MATCH(CH171:CL171, {6,9,12,15,18,21,24,27,30,33,36,39,42,45}, 0)))), 0)</f>
        <v>0</v>
      </c>
      <c r="DC171" s="29"/>
      <c r="DD171" s="28" t="e">
        <f>#REF!</f>
        <v>#REF!</v>
      </c>
      <c r="DE171" s="28" t="e">
        <f>#REF!*2</f>
        <v>#REF!</v>
      </c>
      <c r="DF171" s="28" t="e">
        <f>#REF!</f>
        <v>#REF!</v>
      </c>
      <c r="DG171" s="28" t="e">
        <f>#REF!*2</f>
        <v>#REF!</v>
      </c>
      <c r="DH171" s="28" t="e">
        <f>#REF!</f>
        <v>#REF!</v>
      </c>
      <c r="DI171" s="28" t="e">
        <f>#REF!*2</f>
        <v>#REF!</v>
      </c>
      <c r="DJ171" s="28" t="e">
        <f>#REF!</f>
        <v>#REF!</v>
      </c>
      <c r="DK171" s="28" t="e">
        <f>#REF!*2</f>
        <v>#REF!</v>
      </c>
      <c r="DL171" s="28" t="e">
        <f>#REF!</f>
        <v>#REF!</v>
      </c>
      <c r="DM171" s="28" t="e">
        <f>#REF!*2</f>
        <v>#REF!</v>
      </c>
      <c r="DN171" s="27"/>
      <c r="DO171" s="26"/>
      <c r="DP171" s="26"/>
      <c r="DQ171" s="26"/>
      <c r="DR171" s="26"/>
      <c r="DS171" s="26"/>
      <c r="DT171" s="25"/>
    </row>
    <row r="172" spans="2:124" x14ac:dyDescent="0.3"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2"/>
      <c r="I172" s="3">
        <f t="shared" si="80"/>
        <v>0</v>
      </c>
      <c r="J172" s="3">
        <f t="shared" si="81"/>
        <v>0</v>
      </c>
      <c r="K172" s="3">
        <f t="shared" si="82"/>
        <v>0</v>
      </c>
      <c r="L172" s="3">
        <f t="shared" si="83"/>
        <v>0</v>
      </c>
      <c r="M172" s="3">
        <f t="shared" si="84"/>
        <v>0</v>
      </c>
      <c r="N172" s="3">
        <f t="shared" si="85"/>
        <v>0</v>
      </c>
      <c r="O172" s="32"/>
      <c r="P172" s="3" cm="1">
        <f t="array" ref="P172">SUMPRODUCT(--(MOD(B172:G172,2)=1))</f>
        <v>0</v>
      </c>
      <c r="Q172" s="3">
        <f t="shared" si="86"/>
        <v>6</v>
      </c>
      <c r="R172" s="34"/>
      <c r="S172" s="3">
        <f t="shared" si="87"/>
        <v>0</v>
      </c>
      <c r="T172" s="3">
        <f t="shared" si="88"/>
        <v>6</v>
      </c>
      <c r="U172" s="34"/>
      <c r="V172" s="3" cm="1">
        <f t="array" ref="V172">SUMPRODUCT(--(MOD(B172:G172,10)&gt;=1), --(MOD(B172:G172,10)&lt;=5))</f>
        <v>0</v>
      </c>
      <c r="W172" s="3">
        <f t="shared" si="89"/>
        <v>6</v>
      </c>
      <c r="X172" s="34"/>
      <c r="Y172" s="3" cm="1">
        <f t="array" ref="Y172">IFERROR(COUNT(_xlfn._xlws.FILTER(B172:G172, ISNUMBER(MATCH(B172:G172, {2,3,5,7,11,13,17,19,23,29,31,37,41,43}, 0)))), 0)</f>
        <v>0</v>
      </c>
      <c r="Z172" s="3" cm="1">
        <f t="array" ref="Z172">IFERROR(COUNT(_xlfn._xlws.FILTER(B172:G172, ISNUMBER(MATCH(B172:G172, {1,4,8,10,14,16,20,22,25,26,28,32,34,35,38,40,44}, 0)))), 0)</f>
        <v>0</v>
      </c>
      <c r="AA172" s="3" cm="1">
        <f t="array" ref="AA172">IFERROR(COUNT(_xlfn._xlws.FILTER(B172:G172, ISNUMBER(MATCH(B172:G172, {6,9,12,15,18,21,24,27,30,33,36,39,42,45}, 0)))), 0)</f>
        <v>0</v>
      </c>
      <c r="AB172" s="30"/>
      <c r="AC172" s="26" cm="1">
        <f t="array" ref="AC172">_xlfn.IFS(
   OR(B172="",ISBLANK(B172),B172=0),0,
   ISNUMBER(MATCH(B172,{2,3,5,7,11,13,17,19,23,29,31,37,41,43},0)),"소",
   AND(ISNUMBER(B172),MOD(B172,3)=0),"배",
   AND(ISNUMBER(B172),B172&gt;0),"자"
)</f>
        <v>0</v>
      </c>
      <c r="AD172" s="26" cm="1">
        <f t="array" ref="AD172">_xlfn.IFS(
   OR(C172="",ISBLANK(C172),C172=0),0,
   ISNUMBER(MATCH(C172,{2,3,5,7,11,13,17,19,23,29,31,37,41,43},0)),"소",
   AND(ISNUMBER(C172),MOD(C172,3)=0),"배",
   AND(ISNUMBER(C172),C172&gt;0),"자"
)</f>
        <v>0</v>
      </c>
      <c r="AE172" s="26" cm="1">
        <f t="array" ref="AE172">_xlfn.IFS(
   OR(D172="",ISBLANK(D172),D172=0),0,
   ISNUMBER(MATCH(D172,{2,3,5,7,11,13,17,19,23,29,31,37,41,43},0)),"소",
   AND(ISNUMBER(D172),MOD(D172,3)=0),"배",
   AND(ISNUMBER(D172),D172&gt;0),"자"
)</f>
        <v>0</v>
      </c>
      <c r="AF172" s="26" cm="1">
        <f t="array" ref="AF172">_xlfn.IFS(
   OR(E172="",ISBLANK(E172),E172=0),0,
   ISNUMBER(MATCH(E172,{2,3,5,7,11,13,17,19,23,29,31,37,41,43},0)),"소",
   AND(ISNUMBER(E172),MOD(E172,3)=0),"배",
   AND(ISNUMBER(E172),E172&gt;0),"자"
)</f>
        <v>0</v>
      </c>
      <c r="AG172" s="26" cm="1">
        <f t="array" ref="AG172">_xlfn.IFS(
   OR(F172="",ISBLANK(F172),F172=0),0,
   ISNUMBER(MATCH(F172,{2,3,5,7,11,13,17,19,23,29,31,37,41,43},0)),"소",
   AND(ISNUMBER(F172),MOD(F172,3)=0),"배",
   AND(ISNUMBER(F172),F172&gt;0),"자"
)</f>
        <v>0</v>
      </c>
      <c r="AH172" s="26" cm="1">
        <f t="array" ref="AH172">_xlfn.IFS(
   OR(G172="",ISBLANK(G172),G172=0),0,
   ISNUMBER(MATCH(G172,{2,3,5,7,11,13,17,19,23,29,31,37,41,43},0)),"소",
   AND(ISNUMBER(G172),MOD(G172,3)=0),"배",
   AND(ISNUMBER(G172),G172&gt;0),"자"
)</f>
        <v>0</v>
      </c>
      <c r="AI172" s="30"/>
      <c r="AJ172" s="3">
        <f t="shared" si="90"/>
        <v>0</v>
      </c>
      <c r="AK172" s="3">
        <f t="shared" si="91"/>
        <v>0</v>
      </c>
      <c r="AL172" s="3">
        <f t="shared" si="92"/>
        <v>6</v>
      </c>
      <c r="AM172" s="33"/>
      <c r="AN172" s="3">
        <f t="shared" si="93"/>
        <v>0</v>
      </c>
      <c r="AO172" s="3">
        <f t="shared" si="94"/>
        <v>0</v>
      </c>
      <c r="AP172" s="3">
        <f t="shared" si="95"/>
        <v>0</v>
      </c>
      <c r="AQ172" s="3">
        <f t="shared" si="96"/>
        <v>0</v>
      </c>
      <c r="AR172" s="3">
        <f t="shared" si="97"/>
        <v>0</v>
      </c>
      <c r="AS172" s="28" t="e">
        <f>#REF!</f>
        <v>#REF!</v>
      </c>
      <c r="AT172" s="28" t="e">
        <f>#REF!*2</f>
        <v>#REF!</v>
      </c>
      <c r="AU172" s="28" t="e">
        <f>#REF!</f>
        <v>#REF!</v>
      </c>
      <c r="AV172" s="28" t="e">
        <f>#REF!*2</f>
        <v>#REF!</v>
      </c>
      <c r="AW172" s="28" t="e">
        <f>#REF!</f>
        <v>#REF!</v>
      </c>
      <c r="AX172" s="28" t="e">
        <f>#REF!*2</f>
        <v>#REF!</v>
      </c>
      <c r="AY172" s="28" t="e">
        <f>#REF!</f>
        <v>#REF!</v>
      </c>
      <c r="AZ172" s="28" t="e">
        <f>#REF!*2</f>
        <v>#REF!</v>
      </c>
      <c r="BA172" s="28" t="e">
        <f>#REF!</f>
        <v>#REF!</v>
      </c>
      <c r="BB172" s="28" t="e">
        <f>#REF!*2</f>
        <v>#REF!</v>
      </c>
      <c r="BC172" s="28" t="e">
        <f>#REF!</f>
        <v>#REF!</v>
      </c>
      <c r="BD172" s="28" t="e">
        <f>#REF!*2</f>
        <v>#REF!</v>
      </c>
      <c r="BE172" s="9" t="e">
        <f>#REF!-#REF!</f>
        <v>#REF!</v>
      </c>
      <c r="BF172" s="9" t="e">
        <f>#REF!-#REF!</f>
        <v>#REF!</v>
      </c>
      <c r="BG172" s="9" t="e">
        <f>#REF!-#REF!</f>
        <v>#REF!</v>
      </c>
      <c r="BH172" s="9" t="e">
        <f>#REF!-#REF!</f>
        <v>#REF!</v>
      </c>
      <c r="BI172" s="9" t="e">
        <f>#REF!-#REF!</f>
        <v>#REF!</v>
      </c>
      <c r="BJ172" s="33"/>
      <c r="BK172" s="3">
        <f t="shared" si="98"/>
        <v>0</v>
      </c>
      <c r="BL172" s="3">
        <f t="shared" si="99"/>
        <v>0</v>
      </c>
      <c r="BM172" s="3">
        <f t="shared" si="100"/>
        <v>0</v>
      </c>
      <c r="BN172" s="3">
        <f t="shared" si="101"/>
        <v>0</v>
      </c>
      <c r="BO172" s="3">
        <f t="shared" si="102"/>
        <v>0</v>
      </c>
      <c r="BP172" s="28" t="e">
        <f>#REF!</f>
        <v>#REF!</v>
      </c>
      <c r="BQ172" s="28" t="e">
        <f>#REF!*2</f>
        <v>#REF!</v>
      </c>
      <c r="BR172" s="28" t="e">
        <f>#REF!</f>
        <v>#REF!</v>
      </c>
      <c r="BS172" s="28" t="e">
        <f>#REF!*2</f>
        <v>#REF!</v>
      </c>
      <c r="BT172" s="28" t="e">
        <f>#REF!</f>
        <v>#REF!</v>
      </c>
      <c r="BU172" s="28" t="e">
        <f>#REF!*2</f>
        <v>#REF!</v>
      </c>
      <c r="BV172" s="28" t="e">
        <f>#REF!</f>
        <v>#REF!</v>
      </c>
      <c r="BW172" s="28" t="e">
        <f>#REF!*2</f>
        <v>#REF!</v>
      </c>
      <c r="BX172" s="28" t="e">
        <f>#REF!</f>
        <v>#REF!</v>
      </c>
      <c r="BY172" s="28" t="e">
        <f>#REF!*2</f>
        <v>#REF!</v>
      </c>
      <c r="BZ172" s="28" t="e">
        <f>#REF!</f>
        <v>#REF!</v>
      </c>
      <c r="CA172" s="28" t="e">
        <f>#REF!*2</f>
        <v>#REF!</v>
      </c>
      <c r="CB172" s="9">
        <f t="shared" si="103"/>
        <v>0</v>
      </c>
      <c r="CC172" s="9">
        <f t="shared" si="104"/>
        <v>0</v>
      </c>
      <c r="CD172" s="9">
        <f t="shared" si="105"/>
        <v>0</v>
      </c>
      <c r="CE172" s="9">
        <f t="shared" si="106"/>
        <v>0</v>
      </c>
      <c r="CF172" s="9">
        <f t="shared" si="107"/>
        <v>0</v>
      </c>
      <c r="CG172" s="33"/>
      <c r="CH172" s="9">
        <f t="shared" si="108"/>
        <v>0</v>
      </c>
      <c r="CI172" s="9">
        <f t="shared" si="109"/>
        <v>0</v>
      </c>
      <c r="CJ172" s="9">
        <f t="shared" si="110"/>
        <v>0</v>
      </c>
      <c r="CK172" s="9">
        <f t="shared" si="111"/>
        <v>0</v>
      </c>
      <c r="CL172" s="9">
        <f t="shared" si="112"/>
        <v>0</v>
      </c>
      <c r="CM172" s="32"/>
      <c r="CN172" s="3">
        <f t="shared" si="113"/>
        <v>0</v>
      </c>
      <c r="CO172" s="3">
        <f t="shared" si="114"/>
        <v>0</v>
      </c>
      <c r="CP172" s="3">
        <f t="shared" si="115"/>
        <v>0</v>
      </c>
      <c r="CQ172" s="3">
        <f t="shared" si="116"/>
        <v>0</v>
      </c>
      <c r="CR172" s="3">
        <f t="shared" si="117"/>
        <v>0</v>
      </c>
      <c r="CS172" s="31"/>
      <c r="CT172" s="3" cm="1">
        <f t="array" ref="CT172">SUMPRODUCT(--(MOD(CH172:CL172,2)=1))</f>
        <v>0</v>
      </c>
      <c r="CU172" s="3">
        <f t="shared" si="118"/>
        <v>5</v>
      </c>
      <c r="CV172" s="30"/>
      <c r="CW172" s="3" cm="1">
        <f t="array" ref="CW172">SUMPRODUCT(--(MOD(CH172:CL172,10)&gt;=1), --(MOD(CH172:CL172,10)&lt;=5))</f>
        <v>0</v>
      </c>
      <c r="CX172" s="3">
        <f t="shared" si="119"/>
        <v>5</v>
      </c>
      <c r="CY172" s="30"/>
      <c r="CZ172" s="3" cm="1">
        <f t="array" ref="CZ172">IFERROR(COUNT(_xlfn._xlws.FILTER(CH172:CL172, ISNUMBER(MATCH(CH172:CL172, {2,3,5,7,11,13,17,19,23,29,31,37,41,43}, 0)))), 0)</f>
        <v>0</v>
      </c>
      <c r="DA172" s="3" cm="1">
        <f t="array" ref="DA172">IFERROR(COUNT(_xlfn._xlws.FILTER(CH172:CL172, ISNUMBER(MATCH(CH172:CL172, {1,4,8,10,14,16,20,22,25,26,28,32,34,35,38,40,44}, 0)))), 0)</f>
        <v>0</v>
      </c>
      <c r="DB172" s="3" cm="1">
        <f t="array" ref="DB172">IFERROR(COUNT(_xlfn._xlws.FILTER(CH172:CL172, ISNUMBER(MATCH(CH172:CL172, {6,9,12,15,18,21,24,27,30,33,36,39,42,45}, 0)))), 0)</f>
        <v>0</v>
      </c>
      <c r="DC172" s="29"/>
      <c r="DD172" s="28" t="e">
        <f>#REF!</f>
        <v>#REF!</v>
      </c>
      <c r="DE172" s="28" t="e">
        <f>#REF!*2</f>
        <v>#REF!</v>
      </c>
      <c r="DF172" s="28" t="e">
        <f>#REF!</f>
        <v>#REF!</v>
      </c>
      <c r="DG172" s="28" t="e">
        <f>#REF!*2</f>
        <v>#REF!</v>
      </c>
      <c r="DH172" s="28" t="e">
        <f>#REF!</f>
        <v>#REF!</v>
      </c>
      <c r="DI172" s="28" t="e">
        <f>#REF!*2</f>
        <v>#REF!</v>
      </c>
      <c r="DJ172" s="28" t="e">
        <f>#REF!</f>
        <v>#REF!</v>
      </c>
      <c r="DK172" s="28" t="e">
        <f>#REF!*2</f>
        <v>#REF!</v>
      </c>
      <c r="DL172" s="28" t="e">
        <f>#REF!</f>
        <v>#REF!</v>
      </c>
      <c r="DM172" s="28" t="e">
        <f>#REF!*2</f>
        <v>#REF!</v>
      </c>
      <c r="DN172" s="27"/>
      <c r="DO172" s="26"/>
      <c r="DP172" s="26"/>
      <c r="DQ172" s="26"/>
      <c r="DR172" s="26"/>
      <c r="DS172" s="26"/>
      <c r="DT172" s="25"/>
    </row>
    <row r="173" spans="2:124" x14ac:dyDescent="0.3"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2"/>
      <c r="I173" s="3">
        <f t="shared" si="80"/>
        <v>0</v>
      </c>
      <c r="J173" s="3">
        <f t="shared" si="81"/>
        <v>0</v>
      </c>
      <c r="K173" s="3">
        <f t="shared" si="82"/>
        <v>0</v>
      </c>
      <c r="L173" s="3">
        <f t="shared" si="83"/>
        <v>0</v>
      </c>
      <c r="M173" s="3">
        <f t="shared" si="84"/>
        <v>0</v>
      </c>
      <c r="N173" s="3">
        <f t="shared" si="85"/>
        <v>0</v>
      </c>
      <c r="O173" s="32"/>
      <c r="P173" s="3" cm="1">
        <f t="array" ref="P173">SUMPRODUCT(--(MOD(B173:G173,2)=1))</f>
        <v>0</v>
      </c>
      <c r="Q173" s="3">
        <f t="shared" si="86"/>
        <v>6</v>
      </c>
      <c r="R173" s="34"/>
      <c r="S173" s="3">
        <f t="shared" si="87"/>
        <v>0</v>
      </c>
      <c r="T173" s="3">
        <f t="shared" si="88"/>
        <v>6</v>
      </c>
      <c r="U173" s="34"/>
      <c r="V173" s="3" cm="1">
        <f t="array" ref="V173">SUMPRODUCT(--(MOD(B173:G173,10)&gt;=1), --(MOD(B173:G173,10)&lt;=5))</f>
        <v>0</v>
      </c>
      <c r="W173" s="3">
        <f t="shared" si="89"/>
        <v>6</v>
      </c>
      <c r="X173" s="34"/>
      <c r="Y173" s="3" cm="1">
        <f t="array" ref="Y173">IFERROR(COUNT(_xlfn._xlws.FILTER(B173:G173, ISNUMBER(MATCH(B173:G173, {2,3,5,7,11,13,17,19,23,29,31,37,41,43}, 0)))), 0)</f>
        <v>0</v>
      </c>
      <c r="Z173" s="3" cm="1">
        <f t="array" ref="Z173">IFERROR(COUNT(_xlfn._xlws.FILTER(B173:G173, ISNUMBER(MATCH(B173:G173, {1,4,8,10,14,16,20,22,25,26,28,32,34,35,38,40,44}, 0)))), 0)</f>
        <v>0</v>
      </c>
      <c r="AA173" s="3" cm="1">
        <f t="array" ref="AA173">IFERROR(COUNT(_xlfn._xlws.FILTER(B173:G173, ISNUMBER(MATCH(B173:G173, {6,9,12,15,18,21,24,27,30,33,36,39,42,45}, 0)))), 0)</f>
        <v>0</v>
      </c>
      <c r="AB173" s="30"/>
      <c r="AC173" s="26" cm="1">
        <f t="array" ref="AC173">_xlfn.IFS(
   OR(B173="",ISBLANK(B173),B173=0),0,
   ISNUMBER(MATCH(B173,{2,3,5,7,11,13,17,19,23,29,31,37,41,43},0)),"소",
   AND(ISNUMBER(B173),MOD(B173,3)=0),"배",
   AND(ISNUMBER(B173),B173&gt;0),"자"
)</f>
        <v>0</v>
      </c>
      <c r="AD173" s="26" cm="1">
        <f t="array" ref="AD173">_xlfn.IFS(
   OR(C173="",ISBLANK(C173),C173=0),0,
   ISNUMBER(MATCH(C173,{2,3,5,7,11,13,17,19,23,29,31,37,41,43},0)),"소",
   AND(ISNUMBER(C173),MOD(C173,3)=0),"배",
   AND(ISNUMBER(C173),C173&gt;0),"자"
)</f>
        <v>0</v>
      </c>
      <c r="AE173" s="26" cm="1">
        <f t="array" ref="AE173">_xlfn.IFS(
   OR(D173="",ISBLANK(D173),D173=0),0,
   ISNUMBER(MATCH(D173,{2,3,5,7,11,13,17,19,23,29,31,37,41,43},0)),"소",
   AND(ISNUMBER(D173),MOD(D173,3)=0),"배",
   AND(ISNUMBER(D173),D173&gt;0),"자"
)</f>
        <v>0</v>
      </c>
      <c r="AF173" s="26" cm="1">
        <f t="array" ref="AF173">_xlfn.IFS(
   OR(E173="",ISBLANK(E173),E173=0),0,
   ISNUMBER(MATCH(E173,{2,3,5,7,11,13,17,19,23,29,31,37,41,43},0)),"소",
   AND(ISNUMBER(E173),MOD(E173,3)=0),"배",
   AND(ISNUMBER(E173),E173&gt;0),"자"
)</f>
        <v>0</v>
      </c>
      <c r="AG173" s="26" cm="1">
        <f t="array" ref="AG173">_xlfn.IFS(
   OR(F173="",ISBLANK(F173),F173=0),0,
   ISNUMBER(MATCH(F173,{2,3,5,7,11,13,17,19,23,29,31,37,41,43},0)),"소",
   AND(ISNUMBER(F173),MOD(F173,3)=0),"배",
   AND(ISNUMBER(F173),F173&gt;0),"자"
)</f>
        <v>0</v>
      </c>
      <c r="AH173" s="26" cm="1">
        <f t="array" ref="AH173">_xlfn.IFS(
   OR(G173="",ISBLANK(G173),G173=0),0,
   ISNUMBER(MATCH(G173,{2,3,5,7,11,13,17,19,23,29,31,37,41,43},0)),"소",
   AND(ISNUMBER(G173),MOD(G173,3)=0),"배",
   AND(ISNUMBER(G173),G173&gt;0),"자"
)</f>
        <v>0</v>
      </c>
      <c r="AI173" s="30"/>
      <c r="AJ173" s="3">
        <f t="shared" si="90"/>
        <v>0</v>
      </c>
      <c r="AK173" s="3">
        <f t="shared" si="91"/>
        <v>0</v>
      </c>
      <c r="AL173" s="3">
        <f t="shared" si="92"/>
        <v>6</v>
      </c>
      <c r="AM173" s="33"/>
      <c r="AN173" s="3">
        <f t="shared" si="93"/>
        <v>0</v>
      </c>
      <c r="AO173" s="3">
        <f t="shared" si="94"/>
        <v>0</v>
      </c>
      <c r="AP173" s="3">
        <f t="shared" si="95"/>
        <v>0</v>
      </c>
      <c r="AQ173" s="3">
        <f t="shared" si="96"/>
        <v>0</v>
      </c>
      <c r="AR173" s="3">
        <f t="shared" si="97"/>
        <v>0</v>
      </c>
      <c r="AS173" s="28" t="e">
        <f>#REF!</f>
        <v>#REF!</v>
      </c>
      <c r="AT173" s="28" t="e">
        <f>#REF!*2</f>
        <v>#REF!</v>
      </c>
      <c r="AU173" s="28" t="e">
        <f>#REF!</f>
        <v>#REF!</v>
      </c>
      <c r="AV173" s="28" t="e">
        <f>#REF!*2</f>
        <v>#REF!</v>
      </c>
      <c r="AW173" s="28" t="e">
        <f>#REF!</f>
        <v>#REF!</v>
      </c>
      <c r="AX173" s="28" t="e">
        <f>#REF!*2</f>
        <v>#REF!</v>
      </c>
      <c r="AY173" s="28" t="e">
        <f>#REF!</f>
        <v>#REF!</v>
      </c>
      <c r="AZ173" s="28" t="e">
        <f>#REF!*2</f>
        <v>#REF!</v>
      </c>
      <c r="BA173" s="28" t="e">
        <f>#REF!</f>
        <v>#REF!</v>
      </c>
      <c r="BB173" s="28" t="e">
        <f>#REF!*2</f>
        <v>#REF!</v>
      </c>
      <c r="BC173" s="28" t="e">
        <f>#REF!</f>
        <v>#REF!</v>
      </c>
      <c r="BD173" s="28" t="e">
        <f>#REF!*2</f>
        <v>#REF!</v>
      </c>
      <c r="BE173" s="9" t="e">
        <f>#REF!-#REF!</f>
        <v>#REF!</v>
      </c>
      <c r="BF173" s="9" t="e">
        <f>#REF!-#REF!</f>
        <v>#REF!</v>
      </c>
      <c r="BG173" s="9" t="e">
        <f>#REF!-#REF!</f>
        <v>#REF!</v>
      </c>
      <c r="BH173" s="9" t="e">
        <f>#REF!-#REF!</f>
        <v>#REF!</v>
      </c>
      <c r="BI173" s="9" t="e">
        <f>#REF!-#REF!</f>
        <v>#REF!</v>
      </c>
      <c r="BJ173" s="33"/>
      <c r="BK173" s="3">
        <f t="shared" si="98"/>
        <v>0</v>
      </c>
      <c r="BL173" s="3">
        <f t="shared" si="99"/>
        <v>0</v>
      </c>
      <c r="BM173" s="3">
        <f t="shared" si="100"/>
        <v>0</v>
      </c>
      <c r="BN173" s="3">
        <f t="shared" si="101"/>
        <v>0</v>
      </c>
      <c r="BO173" s="3">
        <f t="shared" si="102"/>
        <v>0</v>
      </c>
      <c r="BP173" s="28" t="e">
        <f>#REF!</f>
        <v>#REF!</v>
      </c>
      <c r="BQ173" s="28" t="e">
        <f>#REF!*2</f>
        <v>#REF!</v>
      </c>
      <c r="BR173" s="28" t="e">
        <f>#REF!</f>
        <v>#REF!</v>
      </c>
      <c r="BS173" s="28" t="e">
        <f>#REF!*2</f>
        <v>#REF!</v>
      </c>
      <c r="BT173" s="28" t="e">
        <f>#REF!</f>
        <v>#REF!</v>
      </c>
      <c r="BU173" s="28" t="e">
        <f>#REF!*2</f>
        <v>#REF!</v>
      </c>
      <c r="BV173" s="28" t="e">
        <f>#REF!</f>
        <v>#REF!</v>
      </c>
      <c r="BW173" s="28" t="e">
        <f>#REF!*2</f>
        <v>#REF!</v>
      </c>
      <c r="BX173" s="28" t="e">
        <f>#REF!</f>
        <v>#REF!</v>
      </c>
      <c r="BY173" s="28" t="e">
        <f>#REF!*2</f>
        <v>#REF!</v>
      </c>
      <c r="BZ173" s="28" t="e">
        <f>#REF!</f>
        <v>#REF!</v>
      </c>
      <c r="CA173" s="28" t="e">
        <f>#REF!*2</f>
        <v>#REF!</v>
      </c>
      <c r="CB173" s="9">
        <f t="shared" si="103"/>
        <v>0</v>
      </c>
      <c r="CC173" s="9">
        <f t="shared" si="104"/>
        <v>0</v>
      </c>
      <c r="CD173" s="9">
        <f t="shared" si="105"/>
        <v>0</v>
      </c>
      <c r="CE173" s="9">
        <f t="shared" si="106"/>
        <v>0</v>
      </c>
      <c r="CF173" s="9">
        <f t="shared" si="107"/>
        <v>0</v>
      </c>
      <c r="CG173" s="33"/>
      <c r="CH173" s="9">
        <f t="shared" si="108"/>
        <v>0</v>
      </c>
      <c r="CI173" s="9">
        <f t="shared" si="109"/>
        <v>0</v>
      </c>
      <c r="CJ173" s="9">
        <f t="shared" si="110"/>
        <v>0</v>
      </c>
      <c r="CK173" s="9">
        <f t="shared" si="111"/>
        <v>0</v>
      </c>
      <c r="CL173" s="9">
        <f t="shared" si="112"/>
        <v>0</v>
      </c>
      <c r="CM173" s="32"/>
      <c r="CN173" s="3">
        <f t="shared" si="113"/>
        <v>0</v>
      </c>
      <c r="CO173" s="3">
        <f t="shared" si="114"/>
        <v>0</v>
      </c>
      <c r="CP173" s="3">
        <f t="shared" si="115"/>
        <v>0</v>
      </c>
      <c r="CQ173" s="3">
        <f t="shared" si="116"/>
        <v>0</v>
      </c>
      <c r="CR173" s="3">
        <f t="shared" si="117"/>
        <v>0</v>
      </c>
      <c r="CS173" s="31"/>
      <c r="CT173" s="3" cm="1">
        <f t="array" ref="CT173">SUMPRODUCT(--(MOD(CH173:CL173,2)=1))</f>
        <v>0</v>
      </c>
      <c r="CU173" s="3">
        <f t="shared" si="118"/>
        <v>5</v>
      </c>
      <c r="CV173" s="30"/>
      <c r="CW173" s="3" cm="1">
        <f t="array" ref="CW173">SUMPRODUCT(--(MOD(CH173:CL173,10)&gt;=1), --(MOD(CH173:CL173,10)&lt;=5))</f>
        <v>0</v>
      </c>
      <c r="CX173" s="3">
        <f t="shared" si="119"/>
        <v>5</v>
      </c>
      <c r="CY173" s="30"/>
      <c r="CZ173" s="3" cm="1">
        <f t="array" ref="CZ173">IFERROR(COUNT(_xlfn._xlws.FILTER(CH173:CL173, ISNUMBER(MATCH(CH173:CL173, {2,3,5,7,11,13,17,19,23,29,31,37,41,43}, 0)))), 0)</f>
        <v>0</v>
      </c>
      <c r="DA173" s="3" cm="1">
        <f t="array" ref="DA173">IFERROR(COUNT(_xlfn._xlws.FILTER(CH173:CL173, ISNUMBER(MATCH(CH173:CL173, {1,4,8,10,14,16,20,22,25,26,28,32,34,35,38,40,44}, 0)))), 0)</f>
        <v>0</v>
      </c>
      <c r="DB173" s="3" cm="1">
        <f t="array" ref="DB173">IFERROR(COUNT(_xlfn._xlws.FILTER(CH173:CL173, ISNUMBER(MATCH(CH173:CL173, {6,9,12,15,18,21,24,27,30,33,36,39,42,45}, 0)))), 0)</f>
        <v>0</v>
      </c>
      <c r="DC173" s="29"/>
      <c r="DD173" s="28" t="e">
        <f>#REF!</f>
        <v>#REF!</v>
      </c>
      <c r="DE173" s="28" t="e">
        <f>#REF!*2</f>
        <v>#REF!</v>
      </c>
      <c r="DF173" s="28" t="e">
        <f>#REF!</f>
        <v>#REF!</v>
      </c>
      <c r="DG173" s="28" t="e">
        <f>#REF!*2</f>
        <v>#REF!</v>
      </c>
      <c r="DH173" s="28" t="e">
        <f>#REF!</f>
        <v>#REF!</v>
      </c>
      <c r="DI173" s="28" t="e">
        <f>#REF!*2</f>
        <v>#REF!</v>
      </c>
      <c r="DJ173" s="28" t="e">
        <f>#REF!</f>
        <v>#REF!</v>
      </c>
      <c r="DK173" s="28" t="e">
        <f>#REF!*2</f>
        <v>#REF!</v>
      </c>
      <c r="DL173" s="28" t="e">
        <f>#REF!</f>
        <v>#REF!</v>
      </c>
      <c r="DM173" s="28" t="e">
        <f>#REF!*2</f>
        <v>#REF!</v>
      </c>
      <c r="DN173" s="27"/>
      <c r="DO173" s="26"/>
      <c r="DP173" s="26"/>
      <c r="DQ173" s="26"/>
      <c r="DR173" s="26"/>
      <c r="DS173" s="26"/>
      <c r="DT173" s="25"/>
    </row>
    <row r="174" spans="2:124" x14ac:dyDescent="0.3"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2"/>
      <c r="I174" s="3">
        <f t="shared" si="80"/>
        <v>0</v>
      </c>
      <c r="J174" s="3">
        <f t="shared" si="81"/>
        <v>0</v>
      </c>
      <c r="K174" s="3">
        <f t="shared" si="82"/>
        <v>0</v>
      </c>
      <c r="L174" s="3">
        <f t="shared" si="83"/>
        <v>0</v>
      </c>
      <c r="M174" s="3">
        <f t="shared" si="84"/>
        <v>0</v>
      </c>
      <c r="N174" s="3">
        <f t="shared" si="85"/>
        <v>0</v>
      </c>
      <c r="O174" s="32"/>
      <c r="P174" s="3" cm="1">
        <f t="array" ref="P174">SUMPRODUCT(--(MOD(B174:G174,2)=1))</f>
        <v>0</v>
      </c>
      <c r="Q174" s="3">
        <f t="shared" si="86"/>
        <v>6</v>
      </c>
      <c r="R174" s="34"/>
      <c r="S174" s="3">
        <f t="shared" si="87"/>
        <v>0</v>
      </c>
      <c r="T174" s="3">
        <f t="shared" si="88"/>
        <v>6</v>
      </c>
      <c r="U174" s="34"/>
      <c r="V174" s="3" cm="1">
        <f t="array" ref="V174">SUMPRODUCT(--(MOD(B174:G174,10)&gt;=1), --(MOD(B174:G174,10)&lt;=5))</f>
        <v>0</v>
      </c>
      <c r="W174" s="3">
        <f t="shared" si="89"/>
        <v>6</v>
      </c>
      <c r="X174" s="34"/>
      <c r="Y174" s="3" cm="1">
        <f t="array" ref="Y174">IFERROR(COUNT(_xlfn._xlws.FILTER(B174:G174, ISNUMBER(MATCH(B174:G174, {2,3,5,7,11,13,17,19,23,29,31,37,41,43}, 0)))), 0)</f>
        <v>0</v>
      </c>
      <c r="Z174" s="3" cm="1">
        <f t="array" ref="Z174">IFERROR(COUNT(_xlfn._xlws.FILTER(B174:G174, ISNUMBER(MATCH(B174:G174, {1,4,8,10,14,16,20,22,25,26,28,32,34,35,38,40,44}, 0)))), 0)</f>
        <v>0</v>
      </c>
      <c r="AA174" s="3" cm="1">
        <f t="array" ref="AA174">IFERROR(COUNT(_xlfn._xlws.FILTER(B174:G174, ISNUMBER(MATCH(B174:G174, {6,9,12,15,18,21,24,27,30,33,36,39,42,45}, 0)))), 0)</f>
        <v>0</v>
      </c>
      <c r="AB174" s="30"/>
      <c r="AC174" s="26" cm="1">
        <f t="array" ref="AC174">_xlfn.IFS(
   OR(B174="",ISBLANK(B174),B174=0),0,
   ISNUMBER(MATCH(B174,{2,3,5,7,11,13,17,19,23,29,31,37,41,43},0)),"소",
   AND(ISNUMBER(B174),MOD(B174,3)=0),"배",
   AND(ISNUMBER(B174),B174&gt;0),"자"
)</f>
        <v>0</v>
      </c>
      <c r="AD174" s="26" cm="1">
        <f t="array" ref="AD174">_xlfn.IFS(
   OR(C174="",ISBLANK(C174),C174=0),0,
   ISNUMBER(MATCH(C174,{2,3,5,7,11,13,17,19,23,29,31,37,41,43},0)),"소",
   AND(ISNUMBER(C174),MOD(C174,3)=0),"배",
   AND(ISNUMBER(C174),C174&gt;0),"자"
)</f>
        <v>0</v>
      </c>
      <c r="AE174" s="26" cm="1">
        <f t="array" ref="AE174">_xlfn.IFS(
   OR(D174="",ISBLANK(D174),D174=0),0,
   ISNUMBER(MATCH(D174,{2,3,5,7,11,13,17,19,23,29,31,37,41,43},0)),"소",
   AND(ISNUMBER(D174),MOD(D174,3)=0),"배",
   AND(ISNUMBER(D174),D174&gt;0),"자"
)</f>
        <v>0</v>
      </c>
      <c r="AF174" s="26" cm="1">
        <f t="array" ref="AF174">_xlfn.IFS(
   OR(E174="",ISBLANK(E174),E174=0),0,
   ISNUMBER(MATCH(E174,{2,3,5,7,11,13,17,19,23,29,31,37,41,43},0)),"소",
   AND(ISNUMBER(E174),MOD(E174,3)=0),"배",
   AND(ISNUMBER(E174),E174&gt;0),"자"
)</f>
        <v>0</v>
      </c>
      <c r="AG174" s="26" cm="1">
        <f t="array" ref="AG174">_xlfn.IFS(
   OR(F174="",ISBLANK(F174),F174=0),0,
   ISNUMBER(MATCH(F174,{2,3,5,7,11,13,17,19,23,29,31,37,41,43},0)),"소",
   AND(ISNUMBER(F174),MOD(F174,3)=0),"배",
   AND(ISNUMBER(F174),F174&gt;0),"자"
)</f>
        <v>0</v>
      </c>
      <c r="AH174" s="26" cm="1">
        <f t="array" ref="AH174">_xlfn.IFS(
   OR(G174="",ISBLANK(G174),G174=0),0,
   ISNUMBER(MATCH(G174,{2,3,5,7,11,13,17,19,23,29,31,37,41,43},0)),"소",
   AND(ISNUMBER(G174),MOD(G174,3)=0),"배",
   AND(ISNUMBER(G174),G174&gt;0),"자"
)</f>
        <v>0</v>
      </c>
      <c r="AI174" s="30"/>
      <c r="AJ174" s="3">
        <f t="shared" si="90"/>
        <v>0</v>
      </c>
      <c r="AK174" s="3">
        <f t="shared" si="91"/>
        <v>0</v>
      </c>
      <c r="AL174" s="3">
        <f t="shared" si="92"/>
        <v>6</v>
      </c>
      <c r="AM174" s="33"/>
      <c r="AN174" s="3">
        <f t="shared" si="93"/>
        <v>0</v>
      </c>
      <c r="AO174" s="3">
        <f t="shared" si="94"/>
        <v>0</v>
      </c>
      <c r="AP174" s="3">
        <f t="shared" si="95"/>
        <v>0</v>
      </c>
      <c r="AQ174" s="3">
        <f t="shared" si="96"/>
        <v>0</v>
      </c>
      <c r="AR174" s="3">
        <f t="shared" si="97"/>
        <v>0</v>
      </c>
      <c r="AS174" s="28" t="e">
        <f>#REF!</f>
        <v>#REF!</v>
      </c>
      <c r="AT174" s="28" t="e">
        <f>#REF!*2</f>
        <v>#REF!</v>
      </c>
      <c r="AU174" s="28" t="e">
        <f>#REF!</f>
        <v>#REF!</v>
      </c>
      <c r="AV174" s="28" t="e">
        <f>#REF!*2</f>
        <v>#REF!</v>
      </c>
      <c r="AW174" s="28" t="e">
        <f>#REF!</f>
        <v>#REF!</v>
      </c>
      <c r="AX174" s="28" t="e">
        <f>#REF!*2</f>
        <v>#REF!</v>
      </c>
      <c r="AY174" s="28" t="e">
        <f>#REF!</f>
        <v>#REF!</v>
      </c>
      <c r="AZ174" s="28" t="e">
        <f>#REF!*2</f>
        <v>#REF!</v>
      </c>
      <c r="BA174" s="28" t="e">
        <f>#REF!</f>
        <v>#REF!</v>
      </c>
      <c r="BB174" s="28" t="e">
        <f>#REF!*2</f>
        <v>#REF!</v>
      </c>
      <c r="BC174" s="28" t="e">
        <f>#REF!</f>
        <v>#REF!</v>
      </c>
      <c r="BD174" s="28" t="e">
        <f>#REF!*2</f>
        <v>#REF!</v>
      </c>
      <c r="BE174" s="9" t="e">
        <f>#REF!-#REF!</f>
        <v>#REF!</v>
      </c>
      <c r="BF174" s="9" t="e">
        <f>#REF!-#REF!</f>
        <v>#REF!</v>
      </c>
      <c r="BG174" s="9" t="e">
        <f>#REF!-#REF!</f>
        <v>#REF!</v>
      </c>
      <c r="BH174" s="9" t="e">
        <f>#REF!-#REF!</f>
        <v>#REF!</v>
      </c>
      <c r="BI174" s="9" t="e">
        <f>#REF!-#REF!</f>
        <v>#REF!</v>
      </c>
      <c r="BJ174" s="33"/>
      <c r="BK174" s="3">
        <f t="shared" si="98"/>
        <v>0</v>
      </c>
      <c r="BL174" s="3">
        <f t="shared" si="99"/>
        <v>0</v>
      </c>
      <c r="BM174" s="3">
        <f t="shared" si="100"/>
        <v>0</v>
      </c>
      <c r="BN174" s="3">
        <f t="shared" si="101"/>
        <v>0</v>
      </c>
      <c r="BO174" s="3">
        <f t="shared" si="102"/>
        <v>0</v>
      </c>
      <c r="BP174" s="28" t="e">
        <f>#REF!</f>
        <v>#REF!</v>
      </c>
      <c r="BQ174" s="28" t="e">
        <f>#REF!*2</f>
        <v>#REF!</v>
      </c>
      <c r="BR174" s="28" t="e">
        <f>#REF!</f>
        <v>#REF!</v>
      </c>
      <c r="BS174" s="28" t="e">
        <f>#REF!*2</f>
        <v>#REF!</v>
      </c>
      <c r="BT174" s="28" t="e">
        <f>#REF!</f>
        <v>#REF!</v>
      </c>
      <c r="BU174" s="28" t="e">
        <f>#REF!*2</f>
        <v>#REF!</v>
      </c>
      <c r="BV174" s="28" t="e">
        <f>#REF!</f>
        <v>#REF!</v>
      </c>
      <c r="BW174" s="28" t="e">
        <f>#REF!*2</f>
        <v>#REF!</v>
      </c>
      <c r="BX174" s="28" t="e">
        <f>#REF!</f>
        <v>#REF!</v>
      </c>
      <c r="BY174" s="28" t="e">
        <f>#REF!*2</f>
        <v>#REF!</v>
      </c>
      <c r="BZ174" s="28" t="e">
        <f>#REF!</f>
        <v>#REF!</v>
      </c>
      <c r="CA174" s="28" t="e">
        <f>#REF!*2</f>
        <v>#REF!</v>
      </c>
      <c r="CB174" s="9">
        <f t="shared" si="103"/>
        <v>0</v>
      </c>
      <c r="CC174" s="9">
        <f t="shared" si="104"/>
        <v>0</v>
      </c>
      <c r="CD174" s="9">
        <f t="shared" si="105"/>
        <v>0</v>
      </c>
      <c r="CE174" s="9">
        <f t="shared" si="106"/>
        <v>0</v>
      </c>
      <c r="CF174" s="9">
        <f t="shared" si="107"/>
        <v>0</v>
      </c>
      <c r="CG174" s="33"/>
      <c r="CH174" s="9">
        <f t="shared" si="108"/>
        <v>0</v>
      </c>
      <c r="CI174" s="9">
        <f t="shared" si="109"/>
        <v>0</v>
      </c>
      <c r="CJ174" s="9">
        <f t="shared" si="110"/>
        <v>0</v>
      </c>
      <c r="CK174" s="9">
        <f t="shared" si="111"/>
        <v>0</v>
      </c>
      <c r="CL174" s="9">
        <f t="shared" si="112"/>
        <v>0</v>
      </c>
      <c r="CM174" s="32"/>
      <c r="CN174" s="3">
        <f t="shared" si="113"/>
        <v>0</v>
      </c>
      <c r="CO174" s="3">
        <f t="shared" si="114"/>
        <v>0</v>
      </c>
      <c r="CP174" s="3">
        <f t="shared" si="115"/>
        <v>0</v>
      </c>
      <c r="CQ174" s="3">
        <f t="shared" si="116"/>
        <v>0</v>
      </c>
      <c r="CR174" s="3">
        <f t="shared" si="117"/>
        <v>0</v>
      </c>
      <c r="CS174" s="31"/>
      <c r="CT174" s="3" cm="1">
        <f t="array" ref="CT174">SUMPRODUCT(--(MOD(CH174:CL174,2)=1))</f>
        <v>0</v>
      </c>
      <c r="CU174" s="3">
        <f t="shared" si="118"/>
        <v>5</v>
      </c>
      <c r="CV174" s="30"/>
      <c r="CW174" s="3" cm="1">
        <f t="array" ref="CW174">SUMPRODUCT(--(MOD(CH174:CL174,10)&gt;=1), --(MOD(CH174:CL174,10)&lt;=5))</f>
        <v>0</v>
      </c>
      <c r="CX174" s="3">
        <f t="shared" si="119"/>
        <v>5</v>
      </c>
      <c r="CY174" s="30"/>
      <c r="CZ174" s="3" cm="1">
        <f t="array" ref="CZ174">IFERROR(COUNT(_xlfn._xlws.FILTER(CH174:CL174, ISNUMBER(MATCH(CH174:CL174, {2,3,5,7,11,13,17,19,23,29,31,37,41,43}, 0)))), 0)</f>
        <v>0</v>
      </c>
      <c r="DA174" s="3" cm="1">
        <f t="array" ref="DA174">IFERROR(COUNT(_xlfn._xlws.FILTER(CH174:CL174, ISNUMBER(MATCH(CH174:CL174, {1,4,8,10,14,16,20,22,25,26,28,32,34,35,38,40,44}, 0)))), 0)</f>
        <v>0</v>
      </c>
      <c r="DB174" s="3" cm="1">
        <f t="array" ref="DB174">IFERROR(COUNT(_xlfn._xlws.FILTER(CH174:CL174, ISNUMBER(MATCH(CH174:CL174, {6,9,12,15,18,21,24,27,30,33,36,39,42,45}, 0)))), 0)</f>
        <v>0</v>
      </c>
      <c r="DC174" s="29"/>
      <c r="DD174" s="28" t="e">
        <f>#REF!</f>
        <v>#REF!</v>
      </c>
      <c r="DE174" s="28" t="e">
        <f>#REF!*2</f>
        <v>#REF!</v>
      </c>
      <c r="DF174" s="28" t="e">
        <f>#REF!</f>
        <v>#REF!</v>
      </c>
      <c r="DG174" s="28" t="e">
        <f>#REF!*2</f>
        <v>#REF!</v>
      </c>
      <c r="DH174" s="28" t="e">
        <f>#REF!</f>
        <v>#REF!</v>
      </c>
      <c r="DI174" s="28" t="e">
        <f>#REF!*2</f>
        <v>#REF!</v>
      </c>
      <c r="DJ174" s="28" t="e">
        <f>#REF!</f>
        <v>#REF!</v>
      </c>
      <c r="DK174" s="28" t="e">
        <f>#REF!*2</f>
        <v>#REF!</v>
      </c>
      <c r="DL174" s="28" t="e">
        <f>#REF!</f>
        <v>#REF!</v>
      </c>
      <c r="DM174" s="28" t="e">
        <f>#REF!*2</f>
        <v>#REF!</v>
      </c>
      <c r="DN174" s="27"/>
      <c r="DO174" s="26"/>
      <c r="DP174" s="26"/>
      <c r="DQ174" s="26"/>
      <c r="DR174" s="26"/>
      <c r="DS174" s="26"/>
      <c r="DT174" s="25"/>
    </row>
    <row r="175" spans="2:124" x14ac:dyDescent="0.3"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2"/>
      <c r="I175" s="3">
        <f t="shared" si="80"/>
        <v>0</v>
      </c>
      <c r="J175" s="3">
        <f t="shared" si="81"/>
        <v>0</v>
      </c>
      <c r="K175" s="3">
        <f t="shared" si="82"/>
        <v>0</v>
      </c>
      <c r="L175" s="3">
        <f t="shared" si="83"/>
        <v>0</v>
      </c>
      <c r="M175" s="3">
        <f t="shared" si="84"/>
        <v>0</v>
      </c>
      <c r="N175" s="3">
        <f t="shared" si="85"/>
        <v>0</v>
      </c>
      <c r="O175" s="32"/>
      <c r="P175" s="3" cm="1">
        <f t="array" ref="P175">SUMPRODUCT(--(MOD(B175:G175,2)=1))</f>
        <v>0</v>
      </c>
      <c r="Q175" s="3">
        <f t="shared" si="86"/>
        <v>6</v>
      </c>
      <c r="R175" s="34"/>
      <c r="S175" s="3">
        <f t="shared" si="87"/>
        <v>0</v>
      </c>
      <c r="T175" s="3">
        <f t="shared" si="88"/>
        <v>6</v>
      </c>
      <c r="U175" s="34"/>
      <c r="V175" s="3" cm="1">
        <f t="array" ref="V175">SUMPRODUCT(--(MOD(B175:G175,10)&gt;=1), --(MOD(B175:G175,10)&lt;=5))</f>
        <v>0</v>
      </c>
      <c r="W175" s="3">
        <f t="shared" si="89"/>
        <v>6</v>
      </c>
      <c r="X175" s="34"/>
      <c r="Y175" s="3" cm="1">
        <f t="array" ref="Y175">IFERROR(COUNT(_xlfn._xlws.FILTER(B175:G175, ISNUMBER(MATCH(B175:G175, {2,3,5,7,11,13,17,19,23,29,31,37,41,43}, 0)))), 0)</f>
        <v>0</v>
      </c>
      <c r="Z175" s="3" cm="1">
        <f t="array" ref="Z175">IFERROR(COUNT(_xlfn._xlws.FILTER(B175:G175, ISNUMBER(MATCH(B175:G175, {1,4,8,10,14,16,20,22,25,26,28,32,34,35,38,40,44}, 0)))), 0)</f>
        <v>0</v>
      </c>
      <c r="AA175" s="3" cm="1">
        <f t="array" ref="AA175">IFERROR(COUNT(_xlfn._xlws.FILTER(B175:G175, ISNUMBER(MATCH(B175:G175, {6,9,12,15,18,21,24,27,30,33,36,39,42,45}, 0)))), 0)</f>
        <v>0</v>
      </c>
      <c r="AB175" s="30"/>
      <c r="AC175" s="26" cm="1">
        <f t="array" ref="AC175">_xlfn.IFS(
   OR(B175="",ISBLANK(B175),B175=0),0,
   ISNUMBER(MATCH(B175,{2,3,5,7,11,13,17,19,23,29,31,37,41,43},0)),"소",
   AND(ISNUMBER(B175),MOD(B175,3)=0),"배",
   AND(ISNUMBER(B175),B175&gt;0),"자"
)</f>
        <v>0</v>
      </c>
      <c r="AD175" s="26" cm="1">
        <f t="array" ref="AD175">_xlfn.IFS(
   OR(C175="",ISBLANK(C175),C175=0),0,
   ISNUMBER(MATCH(C175,{2,3,5,7,11,13,17,19,23,29,31,37,41,43},0)),"소",
   AND(ISNUMBER(C175),MOD(C175,3)=0),"배",
   AND(ISNUMBER(C175),C175&gt;0),"자"
)</f>
        <v>0</v>
      </c>
      <c r="AE175" s="26" cm="1">
        <f t="array" ref="AE175">_xlfn.IFS(
   OR(D175="",ISBLANK(D175),D175=0),0,
   ISNUMBER(MATCH(D175,{2,3,5,7,11,13,17,19,23,29,31,37,41,43},0)),"소",
   AND(ISNUMBER(D175),MOD(D175,3)=0),"배",
   AND(ISNUMBER(D175),D175&gt;0),"자"
)</f>
        <v>0</v>
      </c>
      <c r="AF175" s="26" cm="1">
        <f t="array" ref="AF175">_xlfn.IFS(
   OR(E175="",ISBLANK(E175),E175=0),0,
   ISNUMBER(MATCH(E175,{2,3,5,7,11,13,17,19,23,29,31,37,41,43},0)),"소",
   AND(ISNUMBER(E175),MOD(E175,3)=0),"배",
   AND(ISNUMBER(E175),E175&gt;0),"자"
)</f>
        <v>0</v>
      </c>
      <c r="AG175" s="26" cm="1">
        <f t="array" ref="AG175">_xlfn.IFS(
   OR(F175="",ISBLANK(F175),F175=0),0,
   ISNUMBER(MATCH(F175,{2,3,5,7,11,13,17,19,23,29,31,37,41,43},0)),"소",
   AND(ISNUMBER(F175),MOD(F175,3)=0),"배",
   AND(ISNUMBER(F175),F175&gt;0),"자"
)</f>
        <v>0</v>
      </c>
      <c r="AH175" s="26" cm="1">
        <f t="array" ref="AH175">_xlfn.IFS(
   OR(G175="",ISBLANK(G175),G175=0),0,
   ISNUMBER(MATCH(G175,{2,3,5,7,11,13,17,19,23,29,31,37,41,43},0)),"소",
   AND(ISNUMBER(G175),MOD(G175,3)=0),"배",
   AND(ISNUMBER(G175),G175&gt;0),"자"
)</f>
        <v>0</v>
      </c>
      <c r="AI175" s="30"/>
      <c r="AJ175" s="3">
        <f t="shared" si="90"/>
        <v>0</v>
      </c>
      <c r="AK175" s="3">
        <f t="shared" si="91"/>
        <v>0</v>
      </c>
      <c r="AL175" s="3">
        <f t="shared" si="92"/>
        <v>6</v>
      </c>
      <c r="AM175" s="33"/>
      <c r="AN175" s="3">
        <f t="shared" si="93"/>
        <v>0</v>
      </c>
      <c r="AO175" s="3">
        <f t="shared" si="94"/>
        <v>0</v>
      </c>
      <c r="AP175" s="3">
        <f t="shared" si="95"/>
        <v>0</v>
      </c>
      <c r="AQ175" s="3">
        <f t="shared" si="96"/>
        <v>0</v>
      </c>
      <c r="AR175" s="3">
        <f t="shared" si="97"/>
        <v>0</v>
      </c>
      <c r="AS175" s="28" t="e">
        <f>#REF!</f>
        <v>#REF!</v>
      </c>
      <c r="AT175" s="28" t="e">
        <f>#REF!*2</f>
        <v>#REF!</v>
      </c>
      <c r="AU175" s="28" t="e">
        <f>#REF!</f>
        <v>#REF!</v>
      </c>
      <c r="AV175" s="28" t="e">
        <f>#REF!*2</f>
        <v>#REF!</v>
      </c>
      <c r="AW175" s="28" t="e">
        <f>#REF!</f>
        <v>#REF!</v>
      </c>
      <c r="AX175" s="28" t="e">
        <f>#REF!*2</f>
        <v>#REF!</v>
      </c>
      <c r="AY175" s="28" t="e">
        <f>#REF!</f>
        <v>#REF!</v>
      </c>
      <c r="AZ175" s="28" t="e">
        <f>#REF!*2</f>
        <v>#REF!</v>
      </c>
      <c r="BA175" s="28" t="e">
        <f>#REF!</f>
        <v>#REF!</v>
      </c>
      <c r="BB175" s="28" t="e">
        <f>#REF!*2</f>
        <v>#REF!</v>
      </c>
      <c r="BC175" s="28" t="e">
        <f>#REF!</f>
        <v>#REF!</v>
      </c>
      <c r="BD175" s="28" t="e">
        <f>#REF!*2</f>
        <v>#REF!</v>
      </c>
      <c r="BE175" s="9" t="e">
        <f>#REF!-#REF!</f>
        <v>#REF!</v>
      </c>
      <c r="BF175" s="9" t="e">
        <f>#REF!-#REF!</f>
        <v>#REF!</v>
      </c>
      <c r="BG175" s="9" t="e">
        <f>#REF!-#REF!</f>
        <v>#REF!</v>
      </c>
      <c r="BH175" s="9" t="e">
        <f>#REF!-#REF!</f>
        <v>#REF!</v>
      </c>
      <c r="BI175" s="9" t="e">
        <f>#REF!-#REF!</f>
        <v>#REF!</v>
      </c>
      <c r="BJ175" s="33"/>
      <c r="BK175" s="3">
        <f t="shared" si="98"/>
        <v>0</v>
      </c>
      <c r="BL175" s="3">
        <f t="shared" si="99"/>
        <v>0</v>
      </c>
      <c r="BM175" s="3">
        <f t="shared" si="100"/>
        <v>0</v>
      </c>
      <c r="BN175" s="3">
        <f t="shared" si="101"/>
        <v>0</v>
      </c>
      <c r="BO175" s="3">
        <f t="shared" si="102"/>
        <v>0</v>
      </c>
      <c r="BP175" s="28" t="e">
        <f>#REF!</f>
        <v>#REF!</v>
      </c>
      <c r="BQ175" s="28" t="e">
        <f>#REF!*2</f>
        <v>#REF!</v>
      </c>
      <c r="BR175" s="28" t="e">
        <f>#REF!</f>
        <v>#REF!</v>
      </c>
      <c r="BS175" s="28" t="e">
        <f>#REF!*2</f>
        <v>#REF!</v>
      </c>
      <c r="BT175" s="28" t="e">
        <f>#REF!</f>
        <v>#REF!</v>
      </c>
      <c r="BU175" s="28" t="e">
        <f>#REF!*2</f>
        <v>#REF!</v>
      </c>
      <c r="BV175" s="28" t="e">
        <f>#REF!</f>
        <v>#REF!</v>
      </c>
      <c r="BW175" s="28" t="e">
        <f>#REF!*2</f>
        <v>#REF!</v>
      </c>
      <c r="BX175" s="28" t="e">
        <f>#REF!</f>
        <v>#REF!</v>
      </c>
      <c r="BY175" s="28" t="e">
        <f>#REF!*2</f>
        <v>#REF!</v>
      </c>
      <c r="BZ175" s="28" t="e">
        <f>#REF!</f>
        <v>#REF!</v>
      </c>
      <c r="CA175" s="28" t="e">
        <f>#REF!*2</f>
        <v>#REF!</v>
      </c>
      <c r="CB175" s="9">
        <f t="shared" si="103"/>
        <v>0</v>
      </c>
      <c r="CC175" s="9">
        <f t="shared" si="104"/>
        <v>0</v>
      </c>
      <c r="CD175" s="9">
        <f t="shared" si="105"/>
        <v>0</v>
      </c>
      <c r="CE175" s="9">
        <f t="shared" si="106"/>
        <v>0</v>
      </c>
      <c r="CF175" s="9">
        <f t="shared" si="107"/>
        <v>0</v>
      </c>
      <c r="CG175" s="33"/>
      <c r="CH175" s="9">
        <f t="shared" si="108"/>
        <v>0</v>
      </c>
      <c r="CI175" s="9">
        <f t="shared" si="109"/>
        <v>0</v>
      </c>
      <c r="CJ175" s="9">
        <f t="shared" si="110"/>
        <v>0</v>
      </c>
      <c r="CK175" s="9">
        <f t="shared" si="111"/>
        <v>0</v>
      </c>
      <c r="CL175" s="9">
        <f t="shared" si="112"/>
        <v>0</v>
      </c>
      <c r="CM175" s="32"/>
      <c r="CN175" s="3">
        <f t="shared" si="113"/>
        <v>0</v>
      </c>
      <c r="CO175" s="3">
        <f t="shared" si="114"/>
        <v>0</v>
      </c>
      <c r="CP175" s="3">
        <f t="shared" si="115"/>
        <v>0</v>
      </c>
      <c r="CQ175" s="3">
        <f t="shared" si="116"/>
        <v>0</v>
      </c>
      <c r="CR175" s="3">
        <f t="shared" si="117"/>
        <v>0</v>
      </c>
      <c r="CS175" s="31"/>
      <c r="CT175" s="3" cm="1">
        <f t="array" ref="CT175">SUMPRODUCT(--(MOD(CH175:CL175,2)=1))</f>
        <v>0</v>
      </c>
      <c r="CU175" s="3">
        <f t="shared" si="118"/>
        <v>5</v>
      </c>
      <c r="CV175" s="30"/>
      <c r="CW175" s="3" cm="1">
        <f t="array" ref="CW175">SUMPRODUCT(--(MOD(CH175:CL175,10)&gt;=1), --(MOD(CH175:CL175,10)&lt;=5))</f>
        <v>0</v>
      </c>
      <c r="CX175" s="3">
        <f t="shared" si="119"/>
        <v>5</v>
      </c>
      <c r="CY175" s="30"/>
      <c r="CZ175" s="3" cm="1">
        <f t="array" ref="CZ175">IFERROR(COUNT(_xlfn._xlws.FILTER(CH175:CL175, ISNUMBER(MATCH(CH175:CL175, {2,3,5,7,11,13,17,19,23,29,31,37,41,43}, 0)))), 0)</f>
        <v>0</v>
      </c>
      <c r="DA175" s="3" cm="1">
        <f t="array" ref="DA175">IFERROR(COUNT(_xlfn._xlws.FILTER(CH175:CL175, ISNUMBER(MATCH(CH175:CL175, {1,4,8,10,14,16,20,22,25,26,28,32,34,35,38,40,44}, 0)))), 0)</f>
        <v>0</v>
      </c>
      <c r="DB175" s="3" cm="1">
        <f t="array" ref="DB175">IFERROR(COUNT(_xlfn._xlws.FILTER(CH175:CL175, ISNUMBER(MATCH(CH175:CL175, {6,9,12,15,18,21,24,27,30,33,36,39,42,45}, 0)))), 0)</f>
        <v>0</v>
      </c>
      <c r="DC175" s="29"/>
      <c r="DD175" s="28" t="e">
        <f>#REF!</f>
        <v>#REF!</v>
      </c>
      <c r="DE175" s="28" t="e">
        <f>#REF!*2</f>
        <v>#REF!</v>
      </c>
      <c r="DF175" s="28" t="e">
        <f>#REF!</f>
        <v>#REF!</v>
      </c>
      <c r="DG175" s="28" t="e">
        <f>#REF!*2</f>
        <v>#REF!</v>
      </c>
      <c r="DH175" s="28" t="e">
        <f>#REF!</f>
        <v>#REF!</v>
      </c>
      <c r="DI175" s="28" t="e">
        <f>#REF!*2</f>
        <v>#REF!</v>
      </c>
      <c r="DJ175" s="28" t="e">
        <f>#REF!</f>
        <v>#REF!</v>
      </c>
      <c r="DK175" s="28" t="e">
        <f>#REF!*2</f>
        <v>#REF!</v>
      </c>
      <c r="DL175" s="28" t="e">
        <f>#REF!</f>
        <v>#REF!</v>
      </c>
      <c r="DM175" s="28" t="e">
        <f>#REF!*2</f>
        <v>#REF!</v>
      </c>
      <c r="DN175" s="27"/>
      <c r="DO175" s="26"/>
      <c r="DP175" s="26"/>
      <c r="DQ175" s="26"/>
      <c r="DR175" s="26"/>
      <c r="DS175" s="26"/>
      <c r="DT175" s="25"/>
    </row>
    <row r="176" spans="2:124" x14ac:dyDescent="0.3"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2"/>
      <c r="I176" s="3">
        <f t="shared" si="80"/>
        <v>0</v>
      </c>
      <c r="J176" s="3">
        <f t="shared" si="81"/>
        <v>0</v>
      </c>
      <c r="K176" s="3">
        <f t="shared" si="82"/>
        <v>0</v>
      </c>
      <c r="L176" s="3">
        <f t="shared" si="83"/>
        <v>0</v>
      </c>
      <c r="M176" s="3">
        <f t="shared" si="84"/>
        <v>0</v>
      </c>
      <c r="N176" s="3">
        <f t="shared" si="85"/>
        <v>0</v>
      </c>
      <c r="O176" s="32"/>
      <c r="P176" s="3" cm="1">
        <f t="array" ref="P176">SUMPRODUCT(--(MOD(B176:G176,2)=1))</f>
        <v>0</v>
      </c>
      <c r="Q176" s="3">
        <f t="shared" si="86"/>
        <v>6</v>
      </c>
      <c r="R176" s="34"/>
      <c r="S176" s="3">
        <f t="shared" si="87"/>
        <v>0</v>
      </c>
      <c r="T176" s="3">
        <f t="shared" si="88"/>
        <v>6</v>
      </c>
      <c r="U176" s="34"/>
      <c r="V176" s="3" cm="1">
        <f t="array" ref="V176">SUMPRODUCT(--(MOD(B176:G176,10)&gt;=1), --(MOD(B176:G176,10)&lt;=5))</f>
        <v>0</v>
      </c>
      <c r="W176" s="3">
        <f t="shared" si="89"/>
        <v>6</v>
      </c>
      <c r="X176" s="34"/>
      <c r="Y176" s="3" cm="1">
        <f t="array" ref="Y176">IFERROR(COUNT(_xlfn._xlws.FILTER(B176:G176, ISNUMBER(MATCH(B176:G176, {2,3,5,7,11,13,17,19,23,29,31,37,41,43}, 0)))), 0)</f>
        <v>0</v>
      </c>
      <c r="Z176" s="3" cm="1">
        <f t="array" ref="Z176">IFERROR(COUNT(_xlfn._xlws.FILTER(B176:G176, ISNUMBER(MATCH(B176:G176, {1,4,8,10,14,16,20,22,25,26,28,32,34,35,38,40,44}, 0)))), 0)</f>
        <v>0</v>
      </c>
      <c r="AA176" s="3" cm="1">
        <f t="array" ref="AA176">IFERROR(COUNT(_xlfn._xlws.FILTER(B176:G176, ISNUMBER(MATCH(B176:G176, {6,9,12,15,18,21,24,27,30,33,36,39,42,45}, 0)))), 0)</f>
        <v>0</v>
      </c>
      <c r="AB176" s="30"/>
      <c r="AC176" s="26" cm="1">
        <f t="array" ref="AC176">_xlfn.IFS(
   OR(B176="",ISBLANK(B176),B176=0),0,
   ISNUMBER(MATCH(B176,{2,3,5,7,11,13,17,19,23,29,31,37,41,43},0)),"소",
   AND(ISNUMBER(B176),MOD(B176,3)=0),"배",
   AND(ISNUMBER(B176),B176&gt;0),"자"
)</f>
        <v>0</v>
      </c>
      <c r="AD176" s="26" cm="1">
        <f t="array" ref="AD176">_xlfn.IFS(
   OR(C176="",ISBLANK(C176),C176=0),0,
   ISNUMBER(MATCH(C176,{2,3,5,7,11,13,17,19,23,29,31,37,41,43},0)),"소",
   AND(ISNUMBER(C176),MOD(C176,3)=0),"배",
   AND(ISNUMBER(C176),C176&gt;0),"자"
)</f>
        <v>0</v>
      </c>
      <c r="AE176" s="26" cm="1">
        <f t="array" ref="AE176">_xlfn.IFS(
   OR(D176="",ISBLANK(D176),D176=0),0,
   ISNUMBER(MATCH(D176,{2,3,5,7,11,13,17,19,23,29,31,37,41,43},0)),"소",
   AND(ISNUMBER(D176),MOD(D176,3)=0),"배",
   AND(ISNUMBER(D176),D176&gt;0),"자"
)</f>
        <v>0</v>
      </c>
      <c r="AF176" s="26" cm="1">
        <f t="array" ref="AF176">_xlfn.IFS(
   OR(E176="",ISBLANK(E176),E176=0),0,
   ISNUMBER(MATCH(E176,{2,3,5,7,11,13,17,19,23,29,31,37,41,43},0)),"소",
   AND(ISNUMBER(E176),MOD(E176,3)=0),"배",
   AND(ISNUMBER(E176),E176&gt;0),"자"
)</f>
        <v>0</v>
      </c>
      <c r="AG176" s="26" cm="1">
        <f t="array" ref="AG176">_xlfn.IFS(
   OR(F176="",ISBLANK(F176),F176=0),0,
   ISNUMBER(MATCH(F176,{2,3,5,7,11,13,17,19,23,29,31,37,41,43},0)),"소",
   AND(ISNUMBER(F176),MOD(F176,3)=0),"배",
   AND(ISNUMBER(F176),F176&gt;0),"자"
)</f>
        <v>0</v>
      </c>
      <c r="AH176" s="26" cm="1">
        <f t="array" ref="AH176">_xlfn.IFS(
   OR(G176="",ISBLANK(G176),G176=0),0,
   ISNUMBER(MATCH(G176,{2,3,5,7,11,13,17,19,23,29,31,37,41,43},0)),"소",
   AND(ISNUMBER(G176),MOD(G176,3)=0),"배",
   AND(ISNUMBER(G176),G176&gt;0),"자"
)</f>
        <v>0</v>
      </c>
      <c r="AI176" s="30"/>
      <c r="AJ176" s="3">
        <f t="shared" si="90"/>
        <v>0</v>
      </c>
      <c r="AK176" s="3">
        <f t="shared" si="91"/>
        <v>0</v>
      </c>
      <c r="AL176" s="3">
        <f t="shared" si="92"/>
        <v>6</v>
      </c>
      <c r="AM176" s="33"/>
      <c r="AN176" s="3">
        <f t="shared" si="93"/>
        <v>0</v>
      </c>
      <c r="AO176" s="3">
        <f t="shared" si="94"/>
        <v>0</v>
      </c>
      <c r="AP176" s="3">
        <f t="shared" si="95"/>
        <v>0</v>
      </c>
      <c r="AQ176" s="3">
        <f t="shared" si="96"/>
        <v>0</v>
      </c>
      <c r="AR176" s="3">
        <f t="shared" si="97"/>
        <v>0</v>
      </c>
      <c r="AS176" s="28" t="e">
        <f>#REF!</f>
        <v>#REF!</v>
      </c>
      <c r="AT176" s="28" t="e">
        <f>#REF!*2</f>
        <v>#REF!</v>
      </c>
      <c r="AU176" s="28" t="e">
        <f>#REF!</f>
        <v>#REF!</v>
      </c>
      <c r="AV176" s="28" t="e">
        <f>#REF!*2</f>
        <v>#REF!</v>
      </c>
      <c r="AW176" s="28" t="e">
        <f>#REF!</f>
        <v>#REF!</v>
      </c>
      <c r="AX176" s="28" t="e">
        <f>#REF!*2</f>
        <v>#REF!</v>
      </c>
      <c r="AY176" s="28" t="e">
        <f>#REF!</f>
        <v>#REF!</v>
      </c>
      <c r="AZ176" s="28" t="e">
        <f>#REF!*2</f>
        <v>#REF!</v>
      </c>
      <c r="BA176" s="28" t="e">
        <f>#REF!</f>
        <v>#REF!</v>
      </c>
      <c r="BB176" s="28" t="e">
        <f>#REF!*2</f>
        <v>#REF!</v>
      </c>
      <c r="BC176" s="28" t="e">
        <f>#REF!</f>
        <v>#REF!</v>
      </c>
      <c r="BD176" s="28" t="e">
        <f>#REF!*2</f>
        <v>#REF!</v>
      </c>
      <c r="BE176" s="9" t="e">
        <f>#REF!-#REF!</f>
        <v>#REF!</v>
      </c>
      <c r="BF176" s="9" t="e">
        <f>#REF!-#REF!</f>
        <v>#REF!</v>
      </c>
      <c r="BG176" s="9" t="e">
        <f>#REF!-#REF!</f>
        <v>#REF!</v>
      </c>
      <c r="BH176" s="9" t="e">
        <f>#REF!-#REF!</f>
        <v>#REF!</v>
      </c>
      <c r="BI176" s="9" t="e">
        <f>#REF!-#REF!</f>
        <v>#REF!</v>
      </c>
      <c r="BJ176" s="33"/>
      <c r="BK176" s="3">
        <f t="shared" si="98"/>
        <v>0</v>
      </c>
      <c r="BL176" s="3">
        <f t="shared" si="99"/>
        <v>0</v>
      </c>
      <c r="BM176" s="3">
        <f t="shared" si="100"/>
        <v>0</v>
      </c>
      <c r="BN176" s="3">
        <f t="shared" si="101"/>
        <v>0</v>
      </c>
      <c r="BO176" s="3">
        <f t="shared" si="102"/>
        <v>0</v>
      </c>
      <c r="BP176" s="28" t="e">
        <f>#REF!</f>
        <v>#REF!</v>
      </c>
      <c r="BQ176" s="28" t="e">
        <f>#REF!*2</f>
        <v>#REF!</v>
      </c>
      <c r="BR176" s="28" t="e">
        <f>#REF!</f>
        <v>#REF!</v>
      </c>
      <c r="BS176" s="28" t="e">
        <f>#REF!*2</f>
        <v>#REF!</v>
      </c>
      <c r="BT176" s="28" t="e">
        <f>#REF!</f>
        <v>#REF!</v>
      </c>
      <c r="BU176" s="28" t="e">
        <f>#REF!*2</f>
        <v>#REF!</v>
      </c>
      <c r="BV176" s="28" t="e">
        <f>#REF!</f>
        <v>#REF!</v>
      </c>
      <c r="BW176" s="28" t="e">
        <f>#REF!*2</f>
        <v>#REF!</v>
      </c>
      <c r="BX176" s="28" t="e">
        <f>#REF!</f>
        <v>#REF!</v>
      </c>
      <c r="BY176" s="28" t="e">
        <f>#REF!*2</f>
        <v>#REF!</v>
      </c>
      <c r="BZ176" s="28" t="e">
        <f>#REF!</f>
        <v>#REF!</v>
      </c>
      <c r="CA176" s="28" t="e">
        <f>#REF!*2</f>
        <v>#REF!</v>
      </c>
      <c r="CB176" s="9">
        <f t="shared" si="103"/>
        <v>0</v>
      </c>
      <c r="CC176" s="9">
        <f t="shared" si="104"/>
        <v>0</v>
      </c>
      <c r="CD176" s="9">
        <f t="shared" si="105"/>
        <v>0</v>
      </c>
      <c r="CE176" s="9">
        <f t="shared" si="106"/>
        <v>0</v>
      </c>
      <c r="CF176" s="9">
        <f t="shared" si="107"/>
        <v>0</v>
      </c>
      <c r="CG176" s="33"/>
      <c r="CH176" s="9">
        <f t="shared" si="108"/>
        <v>0</v>
      </c>
      <c r="CI176" s="9">
        <f t="shared" si="109"/>
        <v>0</v>
      </c>
      <c r="CJ176" s="9">
        <f t="shared" si="110"/>
        <v>0</v>
      </c>
      <c r="CK176" s="9">
        <f t="shared" si="111"/>
        <v>0</v>
      </c>
      <c r="CL176" s="9">
        <f t="shared" si="112"/>
        <v>0</v>
      </c>
      <c r="CM176" s="32"/>
      <c r="CN176" s="3">
        <f t="shared" si="113"/>
        <v>0</v>
      </c>
      <c r="CO176" s="3">
        <f t="shared" si="114"/>
        <v>0</v>
      </c>
      <c r="CP176" s="3">
        <f t="shared" si="115"/>
        <v>0</v>
      </c>
      <c r="CQ176" s="3">
        <f t="shared" si="116"/>
        <v>0</v>
      </c>
      <c r="CR176" s="3">
        <f t="shared" si="117"/>
        <v>0</v>
      </c>
      <c r="CS176" s="31"/>
      <c r="CT176" s="3" cm="1">
        <f t="array" ref="CT176">SUMPRODUCT(--(MOD(CH176:CL176,2)=1))</f>
        <v>0</v>
      </c>
      <c r="CU176" s="3">
        <f t="shared" si="118"/>
        <v>5</v>
      </c>
      <c r="CV176" s="30"/>
      <c r="CW176" s="3" cm="1">
        <f t="array" ref="CW176">SUMPRODUCT(--(MOD(CH176:CL176,10)&gt;=1), --(MOD(CH176:CL176,10)&lt;=5))</f>
        <v>0</v>
      </c>
      <c r="CX176" s="3">
        <f t="shared" si="119"/>
        <v>5</v>
      </c>
      <c r="CY176" s="30"/>
      <c r="CZ176" s="3" cm="1">
        <f t="array" ref="CZ176">IFERROR(COUNT(_xlfn._xlws.FILTER(CH176:CL176, ISNUMBER(MATCH(CH176:CL176, {2,3,5,7,11,13,17,19,23,29,31,37,41,43}, 0)))), 0)</f>
        <v>0</v>
      </c>
      <c r="DA176" s="3" cm="1">
        <f t="array" ref="DA176">IFERROR(COUNT(_xlfn._xlws.FILTER(CH176:CL176, ISNUMBER(MATCH(CH176:CL176, {1,4,8,10,14,16,20,22,25,26,28,32,34,35,38,40,44}, 0)))), 0)</f>
        <v>0</v>
      </c>
      <c r="DB176" s="3" cm="1">
        <f t="array" ref="DB176">IFERROR(COUNT(_xlfn._xlws.FILTER(CH176:CL176, ISNUMBER(MATCH(CH176:CL176, {6,9,12,15,18,21,24,27,30,33,36,39,42,45}, 0)))), 0)</f>
        <v>0</v>
      </c>
      <c r="DC176" s="29"/>
      <c r="DD176" s="28" t="e">
        <f>#REF!</f>
        <v>#REF!</v>
      </c>
      <c r="DE176" s="28" t="e">
        <f>#REF!*2</f>
        <v>#REF!</v>
      </c>
      <c r="DF176" s="28" t="e">
        <f>#REF!</f>
        <v>#REF!</v>
      </c>
      <c r="DG176" s="28" t="e">
        <f>#REF!*2</f>
        <v>#REF!</v>
      </c>
      <c r="DH176" s="28" t="e">
        <f>#REF!</f>
        <v>#REF!</v>
      </c>
      <c r="DI176" s="28" t="e">
        <f>#REF!*2</f>
        <v>#REF!</v>
      </c>
      <c r="DJ176" s="28" t="e">
        <f>#REF!</f>
        <v>#REF!</v>
      </c>
      <c r="DK176" s="28" t="e">
        <f>#REF!*2</f>
        <v>#REF!</v>
      </c>
      <c r="DL176" s="28" t="e">
        <f>#REF!</f>
        <v>#REF!</v>
      </c>
      <c r="DM176" s="28" t="e">
        <f>#REF!*2</f>
        <v>#REF!</v>
      </c>
      <c r="DN176" s="27"/>
      <c r="DO176" s="26"/>
      <c r="DP176" s="26"/>
      <c r="DQ176" s="26"/>
      <c r="DR176" s="26"/>
      <c r="DS176" s="26"/>
      <c r="DT176" s="25"/>
    </row>
    <row r="177" spans="2:124" x14ac:dyDescent="0.3"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2"/>
      <c r="I177" s="3">
        <f t="shared" si="80"/>
        <v>0</v>
      </c>
      <c r="J177" s="3">
        <f t="shared" si="81"/>
        <v>0</v>
      </c>
      <c r="K177" s="3">
        <f t="shared" si="82"/>
        <v>0</v>
      </c>
      <c r="L177" s="3">
        <f t="shared" si="83"/>
        <v>0</v>
      </c>
      <c r="M177" s="3">
        <f t="shared" si="84"/>
        <v>0</v>
      </c>
      <c r="N177" s="3">
        <f t="shared" si="85"/>
        <v>0</v>
      </c>
      <c r="O177" s="32"/>
      <c r="P177" s="3" cm="1">
        <f t="array" ref="P177">SUMPRODUCT(--(MOD(B177:G177,2)=1))</f>
        <v>0</v>
      </c>
      <c r="Q177" s="3">
        <f t="shared" si="86"/>
        <v>6</v>
      </c>
      <c r="R177" s="34"/>
      <c r="S177" s="3">
        <f t="shared" si="87"/>
        <v>0</v>
      </c>
      <c r="T177" s="3">
        <f t="shared" si="88"/>
        <v>6</v>
      </c>
      <c r="U177" s="34"/>
      <c r="V177" s="3" cm="1">
        <f t="array" ref="V177">SUMPRODUCT(--(MOD(B177:G177,10)&gt;=1), --(MOD(B177:G177,10)&lt;=5))</f>
        <v>0</v>
      </c>
      <c r="W177" s="3">
        <f t="shared" si="89"/>
        <v>6</v>
      </c>
      <c r="X177" s="34"/>
      <c r="Y177" s="3" cm="1">
        <f t="array" ref="Y177">IFERROR(COUNT(_xlfn._xlws.FILTER(B177:G177, ISNUMBER(MATCH(B177:G177, {2,3,5,7,11,13,17,19,23,29,31,37,41,43}, 0)))), 0)</f>
        <v>0</v>
      </c>
      <c r="Z177" s="3" cm="1">
        <f t="array" ref="Z177">IFERROR(COUNT(_xlfn._xlws.FILTER(B177:G177, ISNUMBER(MATCH(B177:G177, {1,4,8,10,14,16,20,22,25,26,28,32,34,35,38,40,44}, 0)))), 0)</f>
        <v>0</v>
      </c>
      <c r="AA177" s="3" cm="1">
        <f t="array" ref="AA177">IFERROR(COUNT(_xlfn._xlws.FILTER(B177:G177, ISNUMBER(MATCH(B177:G177, {6,9,12,15,18,21,24,27,30,33,36,39,42,45}, 0)))), 0)</f>
        <v>0</v>
      </c>
      <c r="AB177" s="30"/>
      <c r="AC177" s="26" cm="1">
        <f t="array" ref="AC177">_xlfn.IFS(
   OR(B177="",ISBLANK(B177),B177=0),0,
   ISNUMBER(MATCH(B177,{2,3,5,7,11,13,17,19,23,29,31,37,41,43},0)),"소",
   AND(ISNUMBER(B177),MOD(B177,3)=0),"배",
   AND(ISNUMBER(B177),B177&gt;0),"자"
)</f>
        <v>0</v>
      </c>
      <c r="AD177" s="26" cm="1">
        <f t="array" ref="AD177">_xlfn.IFS(
   OR(C177="",ISBLANK(C177),C177=0),0,
   ISNUMBER(MATCH(C177,{2,3,5,7,11,13,17,19,23,29,31,37,41,43},0)),"소",
   AND(ISNUMBER(C177),MOD(C177,3)=0),"배",
   AND(ISNUMBER(C177),C177&gt;0),"자"
)</f>
        <v>0</v>
      </c>
      <c r="AE177" s="26" cm="1">
        <f t="array" ref="AE177">_xlfn.IFS(
   OR(D177="",ISBLANK(D177),D177=0),0,
   ISNUMBER(MATCH(D177,{2,3,5,7,11,13,17,19,23,29,31,37,41,43},0)),"소",
   AND(ISNUMBER(D177),MOD(D177,3)=0),"배",
   AND(ISNUMBER(D177),D177&gt;0),"자"
)</f>
        <v>0</v>
      </c>
      <c r="AF177" s="26" cm="1">
        <f t="array" ref="AF177">_xlfn.IFS(
   OR(E177="",ISBLANK(E177),E177=0),0,
   ISNUMBER(MATCH(E177,{2,3,5,7,11,13,17,19,23,29,31,37,41,43},0)),"소",
   AND(ISNUMBER(E177),MOD(E177,3)=0),"배",
   AND(ISNUMBER(E177),E177&gt;0),"자"
)</f>
        <v>0</v>
      </c>
      <c r="AG177" s="26" cm="1">
        <f t="array" ref="AG177">_xlfn.IFS(
   OR(F177="",ISBLANK(F177),F177=0),0,
   ISNUMBER(MATCH(F177,{2,3,5,7,11,13,17,19,23,29,31,37,41,43},0)),"소",
   AND(ISNUMBER(F177),MOD(F177,3)=0),"배",
   AND(ISNUMBER(F177),F177&gt;0),"자"
)</f>
        <v>0</v>
      </c>
      <c r="AH177" s="26" cm="1">
        <f t="array" ref="AH177">_xlfn.IFS(
   OR(G177="",ISBLANK(G177),G177=0),0,
   ISNUMBER(MATCH(G177,{2,3,5,7,11,13,17,19,23,29,31,37,41,43},0)),"소",
   AND(ISNUMBER(G177),MOD(G177,3)=0),"배",
   AND(ISNUMBER(G177),G177&gt;0),"자"
)</f>
        <v>0</v>
      </c>
      <c r="AI177" s="30"/>
      <c r="AJ177" s="3">
        <f t="shared" si="90"/>
        <v>0</v>
      </c>
      <c r="AK177" s="3">
        <f t="shared" si="91"/>
        <v>0</v>
      </c>
      <c r="AL177" s="3">
        <f t="shared" si="92"/>
        <v>6</v>
      </c>
      <c r="AM177" s="33"/>
      <c r="AN177" s="3">
        <f t="shared" si="93"/>
        <v>0</v>
      </c>
      <c r="AO177" s="3">
        <f t="shared" si="94"/>
        <v>0</v>
      </c>
      <c r="AP177" s="3">
        <f t="shared" si="95"/>
        <v>0</v>
      </c>
      <c r="AQ177" s="3">
        <f t="shared" si="96"/>
        <v>0</v>
      </c>
      <c r="AR177" s="3">
        <f t="shared" si="97"/>
        <v>0</v>
      </c>
      <c r="AS177" s="28" t="e">
        <f>#REF!</f>
        <v>#REF!</v>
      </c>
      <c r="AT177" s="28" t="e">
        <f>#REF!*2</f>
        <v>#REF!</v>
      </c>
      <c r="AU177" s="28" t="e">
        <f>#REF!</f>
        <v>#REF!</v>
      </c>
      <c r="AV177" s="28" t="e">
        <f>#REF!*2</f>
        <v>#REF!</v>
      </c>
      <c r="AW177" s="28" t="e">
        <f>#REF!</f>
        <v>#REF!</v>
      </c>
      <c r="AX177" s="28" t="e">
        <f>#REF!*2</f>
        <v>#REF!</v>
      </c>
      <c r="AY177" s="28" t="e">
        <f>#REF!</f>
        <v>#REF!</v>
      </c>
      <c r="AZ177" s="28" t="e">
        <f>#REF!*2</f>
        <v>#REF!</v>
      </c>
      <c r="BA177" s="28" t="e">
        <f>#REF!</f>
        <v>#REF!</v>
      </c>
      <c r="BB177" s="28" t="e">
        <f>#REF!*2</f>
        <v>#REF!</v>
      </c>
      <c r="BC177" s="28" t="e">
        <f>#REF!</f>
        <v>#REF!</v>
      </c>
      <c r="BD177" s="28" t="e">
        <f>#REF!*2</f>
        <v>#REF!</v>
      </c>
      <c r="BE177" s="9" t="e">
        <f>#REF!-#REF!</f>
        <v>#REF!</v>
      </c>
      <c r="BF177" s="9" t="e">
        <f>#REF!-#REF!</f>
        <v>#REF!</v>
      </c>
      <c r="BG177" s="9" t="e">
        <f>#REF!-#REF!</f>
        <v>#REF!</v>
      </c>
      <c r="BH177" s="9" t="e">
        <f>#REF!-#REF!</f>
        <v>#REF!</v>
      </c>
      <c r="BI177" s="9" t="e">
        <f>#REF!-#REF!</f>
        <v>#REF!</v>
      </c>
      <c r="BJ177" s="33"/>
      <c r="BK177" s="3">
        <f t="shared" si="98"/>
        <v>0</v>
      </c>
      <c r="BL177" s="3">
        <f t="shared" si="99"/>
        <v>0</v>
      </c>
      <c r="BM177" s="3">
        <f t="shared" si="100"/>
        <v>0</v>
      </c>
      <c r="BN177" s="3">
        <f t="shared" si="101"/>
        <v>0</v>
      </c>
      <c r="BO177" s="3">
        <f t="shared" si="102"/>
        <v>0</v>
      </c>
      <c r="BP177" s="28" t="e">
        <f>#REF!</f>
        <v>#REF!</v>
      </c>
      <c r="BQ177" s="28" t="e">
        <f>#REF!*2</f>
        <v>#REF!</v>
      </c>
      <c r="BR177" s="28" t="e">
        <f>#REF!</f>
        <v>#REF!</v>
      </c>
      <c r="BS177" s="28" t="e">
        <f>#REF!*2</f>
        <v>#REF!</v>
      </c>
      <c r="BT177" s="28" t="e">
        <f>#REF!</f>
        <v>#REF!</v>
      </c>
      <c r="BU177" s="28" t="e">
        <f>#REF!*2</f>
        <v>#REF!</v>
      </c>
      <c r="BV177" s="28" t="e">
        <f>#REF!</f>
        <v>#REF!</v>
      </c>
      <c r="BW177" s="28" t="e">
        <f>#REF!*2</f>
        <v>#REF!</v>
      </c>
      <c r="BX177" s="28" t="e">
        <f>#REF!</f>
        <v>#REF!</v>
      </c>
      <c r="BY177" s="28" t="e">
        <f>#REF!*2</f>
        <v>#REF!</v>
      </c>
      <c r="BZ177" s="28" t="e">
        <f>#REF!</f>
        <v>#REF!</v>
      </c>
      <c r="CA177" s="28" t="e">
        <f>#REF!*2</f>
        <v>#REF!</v>
      </c>
      <c r="CB177" s="9">
        <f t="shared" si="103"/>
        <v>0</v>
      </c>
      <c r="CC177" s="9">
        <f t="shared" si="104"/>
        <v>0</v>
      </c>
      <c r="CD177" s="9">
        <f t="shared" si="105"/>
        <v>0</v>
      </c>
      <c r="CE177" s="9">
        <f t="shared" si="106"/>
        <v>0</v>
      </c>
      <c r="CF177" s="9">
        <f t="shared" si="107"/>
        <v>0</v>
      </c>
      <c r="CG177" s="33"/>
      <c r="CH177" s="9">
        <f t="shared" si="108"/>
        <v>0</v>
      </c>
      <c r="CI177" s="9">
        <f t="shared" si="109"/>
        <v>0</v>
      </c>
      <c r="CJ177" s="9">
        <f t="shared" si="110"/>
        <v>0</v>
      </c>
      <c r="CK177" s="9">
        <f t="shared" si="111"/>
        <v>0</v>
      </c>
      <c r="CL177" s="9">
        <f t="shared" si="112"/>
        <v>0</v>
      </c>
      <c r="CM177" s="32"/>
      <c r="CN177" s="3">
        <f t="shared" si="113"/>
        <v>0</v>
      </c>
      <c r="CO177" s="3">
        <f t="shared" si="114"/>
        <v>0</v>
      </c>
      <c r="CP177" s="3">
        <f t="shared" si="115"/>
        <v>0</v>
      </c>
      <c r="CQ177" s="3">
        <f t="shared" si="116"/>
        <v>0</v>
      </c>
      <c r="CR177" s="3">
        <f t="shared" si="117"/>
        <v>0</v>
      </c>
      <c r="CS177" s="31"/>
      <c r="CT177" s="3" cm="1">
        <f t="array" ref="CT177">SUMPRODUCT(--(MOD(CH177:CL177,2)=1))</f>
        <v>0</v>
      </c>
      <c r="CU177" s="3">
        <f t="shared" si="118"/>
        <v>5</v>
      </c>
      <c r="CV177" s="30"/>
      <c r="CW177" s="3" cm="1">
        <f t="array" ref="CW177">SUMPRODUCT(--(MOD(CH177:CL177,10)&gt;=1), --(MOD(CH177:CL177,10)&lt;=5))</f>
        <v>0</v>
      </c>
      <c r="CX177" s="3">
        <f t="shared" si="119"/>
        <v>5</v>
      </c>
      <c r="CY177" s="30"/>
      <c r="CZ177" s="3" cm="1">
        <f t="array" ref="CZ177">IFERROR(COUNT(_xlfn._xlws.FILTER(CH177:CL177, ISNUMBER(MATCH(CH177:CL177, {2,3,5,7,11,13,17,19,23,29,31,37,41,43}, 0)))), 0)</f>
        <v>0</v>
      </c>
      <c r="DA177" s="3" cm="1">
        <f t="array" ref="DA177">IFERROR(COUNT(_xlfn._xlws.FILTER(CH177:CL177, ISNUMBER(MATCH(CH177:CL177, {1,4,8,10,14,16,20,22,25,26,28,32,34,35,38,40,44}, 0)))), 0)</f>
        <v>0</v>
      </c>
      <c r="DB177" s="3" cm="1">
        <f t="array" ref="DB177">IFERROR(COUNT(_xlfn._xlws.FILTER(CH177:CL177, ISNUMBER(MATCH(CH177:CL177, {6,9,12,15,18,21,24,27,30,33,36,39,42,45}, 0)))), 0)</f>
        <v>0</v>
      </c>
      <c r="DC177" s="29"/>
      <c r="DD177" s="28" t="e">
        <f>#REF!</f>
        <v>#REF!</v>
      </c>
      <c r="DE177" s="28" t="e">
        <f>#REF!*2</f>
        <v>#REF!</v>
      </c>
      <c r="DF177" s="28" t="e">
        <f>#REF!</f>
        <v>#REF!</v>
      </c>
      <c r="DG177" s="28" t="e">
        <f>#REF!*2</f>
        <v>#REF!</v>
      </c>
      <c r="DH177" s="28" t="e">
        <f>#REF!</f>
        <v>#REF!</v>
      </c>
      <c r="DI177" s="28" t="e">
        <f>#REF!*2</f>
        <v>#REF!</v>
      </c>
      <c r="DJ177" s="28" t="e">
        <f>#REF!</f>
        <v>#REF!</v>
      </c>
      <c r="DK177" s="28" t="e">
        <f>#REF!*2</f>
        <v>#REF!</v>
      </c>
      <c r="DL177" s="28" t="e">
        <f>#REF!</f>
        <v>#REF!</v>
      </c>
      <c r="DM177" s="28" t="e">
        <f>#REF!*2</f>
        <v>#REF!</v>
      </c>
      <c r="DN177" s="27"/>
      <c r="DO177" s="26"/>
      <c r="DP177" s="26"/>
      <c r="DQ177" s="26"/>
      <c r="DR177" s="26"/>
      <c r="DS177" s="26"/>
      <c r="DT177" s="25"/>
    </row>
    <row r="178" spans="2:124" x14ac:dyDescent="0.3"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2"/>
      <c r="I178" s="3">
        <f t="shared" si="80"/>
        <v>0</v>
      </c>
      <c r="J178" s="3">
        <f t="shared" si="81"/>
        <v>0</v>
      </c>
      <c r="K178" s="3">
        <f t="shared" si="82"/>
        <v>0</v>
      </c>
      <c r="L178" s="3">
        <f t="shared" si="83"/>
        <v>0</v>
      </c>
      <c r="M178" s="3">
        <f t="shared" si="84"/>
        <v>0</v>
      </c>
      <c r="N178" s="3">
        <f t="shared" si="85"/>
        <v>0</v>
      </c>
      <c r="O178" s="32"/>
      <c r="P178" s="3" cm="1">
        <f t="array" ref="P178">SUMPRODUCT(--(MOD(B178:G178,2)=1))</f>
        <v>0</v>
      </c>
      <c r="Q178" s="3">
        <f t="shared" si="86"/>
        <v>6</v>
      </c>
      <c r="R178" s="34"/>
      <c r="S178" s="3">
        <f t="shared" si="87"/>
        <v>0</v>
      </c>
      <c r="T178" s="3">
        <f t="shared" si="88"/>
        <v>6</v>
      </c>
      <c r="U178" s="34"/>
      <c r="V178" s="3" cm="1">
        <f t="array" ref="V178">SUMPRODUCT(--(MOD(B178:G178,10)&gt;=1), --(MOD(B178:G178,10)&lt;=5))</f>
        <v>0</v>
      </c>
      <c r="W178" s="3">
        <f t="shared" si="89"/>
        <v>6</v>
      </c>
      <c r="X178" s="34"/>
      <c r="Y178" s="3" cm="1">
        <f t="array" ref="Y178">IFERROR(COUNT(_xlfn._xlws.FILTER(B178:G178, ISNUMBER(MATCH(B178:G178, {2,3,5,7,11,13,17,19,23,29,31,37,41,43}, 0)))), 0)</f>
        <v>0</v>
      </c>
      <c r="Z178" s="3" cm="1">
        <f t="array" ref="Z178">IFERROR(COUNT(_xlfn._xlws.FILTER(B178:G178, ISNUMBER(MATCH(B178:G178, {1,4,8,10,14,16,20,22,25,26,28,32,34,35,38,40,44}, 0)))), 0)</f>
        <v>0</v>
      </c>
      <c r="AA178" s="3" cm="1">
        <f t="array" ref="AA178">IFERROR(COUNT(_xlfn._xlws.FILTER(B178:G178, ISNUMBER(MATCH(B178:G178, {6,9,12,15,18,21,24,27,30,33,36,39,42,45}, 0)))), 0)</f>
        <v>0</v>
      </c>
      <c r="AB178" s="30"/>
      <c r="AC178" s="26" cm="1">
        <f t="array" ref="AC178">_xlfn.IFS(
   OR(B178="",ISBLANK(B178),B178=0),0,
   ISNUMBER(MATCH(B178,{2,3,5,7,11,13,17,19,23,29,31,37,41,43},0)),"소",
   AND(ISNUMBER(B178),MOD(B178,3)=0),"배",
   AND(ISNUMBER(B178),B178&gt;0),"자"
)</f>
        <v>0</v>
      </c>
      <c r="AD178" s="26" cm="1">
        <f t="array" ref="AD178">_xlfn.IFS(
   OR(C178="",ISBLANK(C178),C178=0),0,
   ISNUMBER(MATCH(C178,{2,3,5,7,11,13,17,19,23,29,31,37,41,43},0)),"소",
   AND(ISNUMBER(C178),MOD(C178,3)=0),"배",
   AND(ISNUMBER(C178),C178&gt;0),"자"
)</f>
        <v>0</v>
      </c>
      <c r="AE178" s="26" cm="1">
        <f t="array" ref="AE178">_xlfn.IFS(
   OR(D178="",ISBLANK(D178),D178=0),0,
   ISNUMBER(MATCH(D178,{2,3,5,7,11,13,17,19,23,29,31,37,41,43},0)),"소",
   AND(ISNUMBER(D178),MOD(D178,3)=0),"배",
   AND(ISNUMBER(D178),D178&gt;0),"자"
)</f>
        <v>0</v>
      </c>
      <c r="AF178" s="26" cm="1">
        <f t="array" ref="AF178">_xlfn.IFS(
   OR(E178="",ISBLANK(E178),E178=0),0,
   ISNUMBER(MATCH(E178,{2,3,5,7,11,13,17,19,23,29,31,37,41,43},0)),"소",
   AND(ISNUMBER(E178),MOD(E178,3)=0),"배",
   AND(ISNUMBER(E178),E178&gt;0),"자"
)</f>
        <v>0</v>
      </c>
      <c r="AG178" s="26" cm="1">
        <f t="array" ref="AG178">_xlfn.IFS(
   OR(F178="",ISBLANK(F178),F178=0),0,
   ISNUMBER(MATCH(F178,{2,3,5,7,11,13,17,19,23,29,31,37,41,43},0)),"소",
   AND(ISNUMBER(F178),MOD(F178,3)=0),"배",
   AND(ISNUMBER(F178),F178&gt;0),"자"
)</f>
        <v>0</v>
      </c>
      <c r="AH178" s="26" cm="1">
        <f t="array" ref="AH178">_xlfn.IFS(
   OR(G178="",ISBLANK(G178),G178=0),0,
   ISNUMBER(MATCH(G178,{2,3,5,7,11,13,17,19,23,29,31,37,41,43},0)),"소",
   AND(ISNUMBER(G178),MOD(G178,3)=0),"배",
   AND(ISNUMBER(G178),G178&gt;0),"자"
)</f>
        <v>0</v>
      </c>
      <c r="AI178" s="30"/>
      <c r="AJ178" s="3">
        <f t="shared" si="90"/>
        <v>0</v>
      </c>
      <c r="AK178" s="3">
        <f t="shared" si="91"/>
        <v>0</v>
      </c>
      <c r="AL178" s="3">
        <f t="shared" si="92"/>
        <v>6</v>
      </c>
      <c r="AM178" s="33"/>
      <c r="AN178" s="3">
        <f t="shared" si="93"/>
        <v>0</v>
      </c>
      <c r="AO178" s="3">
        <f t="shared" si="94"/>
        <v>0</v>
      </c>
      <c r="AP178" s="3">
        <f t="shared" si="95"/>
        <v>0</v>
      </c>
      <c r="AQ178" s="3">
        <f t="shared" si="96"/>
        <v>0</v>
      </c>
      <c r="AR178" s="3">
        <f t="shared" si="97"/>
        <v>0</v>
      </c>
      <c r="AS178" s="28" t="e">
        <f>#REF!</f>
        <v>#REF!</v>
      </c>
      <c r="AT178" s="28" t="e">
        <f>#REF!*2</f>
        <v>#REF!</v>
      </c>
      <c r="AU178" s="28" t="e">
        <f>#REF!</f>
        <v>#REF!</v>
      </c>
      <c r="AV178" s="28" t="e">
        <f>#REF!*2</f>
        <v>#REF!</v>
      </c>
      <c r="AW178" s="28" t="e">
        <f>#REF!</f>
        <v>#REF!</v>
      </c>
      <c r="AX178" s="28" t="e">
        <f>#REF!*2</f>
        <v>#REF!</v>
      </c>
      <c r="AY178" s="28" t="e">
        <f>#REF!</f>
        <v>#REF!</v>
      </c>
      <c r="AZ178" s="28" t="e">
        <f>#REF!*2</f>
        <v>#REF!</v>
      </c>
      <c r="BA178" s="28" t="e">
        <f>#REF!</f>
        <v>#REF!</v>
      </c>
      <c r="BB178" s="28" t="e">
        <f>#REF!*2</f>
        <v>#REF!</v>
      </c>
      <c r="BC178" s="28" t="e">
        <f>#REF!</f>
        <v>#REF!</v>
      </c>
      <c r="BD178" s="28" t="e">
        <f>#REF!*2</f>
        <v>#REF!</v>
      </c>
      <c r="BE178" s="9" t="e">
        <f>#REF!-#REF!</f>
        <v>#REF!</v>
      </c>
      <c r="BF178" s="9" t="e">
        <f>#REF!-#REF!</f>
        <v>#REF!</v>
      </c>
      <c r="BG178" s="9" t="e">
        <f>#REF!-#REF!</f>
        <v>#REF!</v>
      </c>
      <c r="BH178" s="9" t="e">
        <f>#REF!-#REF!</f>
        <v>#REF!</v>
      </c>
      <c r="BI178" s="9" t="e">
        <f>#REF!-#REF!</f>
        <v>#REF!</v>
      </c>
      <c r="BJ178" s="33"/>
      <c r="BK178" s="3">
        <f t="shared" si="98"/>
        <v>0</v>
      </c>
      <c r="BL178" s="3">
        <f t="shared" si="99"/>
        <v>0</v>
      </c>
      <c r="BM178" s="3">
        <f t="shared" si="100"/>
        <v>0</v>
      </c>
      <c r="BN178" s="3">
        <f t="shared" si="101"/>
        <v>0</v>
      </c>
      <c r="BO178" s="3">
        <f t="shared" si="102"/>
        <v>0</v>
      </c>
      <c r="BP178" s="28" t="e">
        <f>#REF!</f>
        <v>#REF!</v>
      </c>
      <c r="BQ178" s="28" t="e">
        <f>#REF!*2</f>
        <v>#REF!</v>
      </c>
      <c r="BR178" s="28" t="e">
        <f>#REF!</f>
        <v>#REF!</v>
      </c>
      <c r="BS178" s="28" t="e">
        <f>#REF!*2</f>
        <v>#REF!</v>
      </c>
      <c r="BT178" s="28" t="e">
        <f>#REF!</f>
        <v>#REF!</v>
      </c>
      <c r="BU178" s="28" t="e">
        <f>#REF!*2</f>
        <v>#REF!</v>
      </c>
      <c r="BV178" s="28" t="e">
        <f>#REF!</f>
        <v>#REF!</v>
      </c>
      <c r="BW178" s="28" t="e">
        <f>#REF!*2</f>
        <v>#REF!</v>
      </c>
      <c r="BX178" s="28" t="e">
        <f>#REF!</f>
        <v>#REF!</v>
      </c>
      <c r="BY178" s="28" t="e">
        <f>#REF!*2</f>
        <v>#REF!</v>
      </c>
      <c r="BZ178" s="28" t="e">
        <f>#REF!</f>
        <v>#REF!</v>
      </c>
      <c r="CA178" s="28" t="e">
        <f>#REF!*2</f>
        <v>#REF!</v>
      </c>
      <c r="CB178" s="9">
        <f t="shared" si="103"/>
        <v>0</v>
      </c>
      <c r="CC178" s="9">
        <f t="shared" si="104"/>
        <v>0</v>
      </c>
      <c r="CD178" s="9">
        <f t="shared" si="105"/>
        <v>0</v>
      </c>
      <c r="CE178" s="9">
        <f t="shared" si="106"/>
        <v>0</v>
      </c>
      <c r="CF178" s="9">
        <f t="shared" si="107"/>
        <v>0</v>
      </c>
      <c r="CG178" s="33"/>
      <c r="CH178" s="9">
        <f t="shared" si="108"/>
        <v>0</v>
      </c>
      <c r="CI178" s="9">
        <f t="shared" si="109"/>
        <v>0</v>
      </c>
      <c r="CJ178" s="9">
        <f t="shared" si="110"/>
        <v>0</v>
      </c>
      <c r="CK178" s="9">
        <f t="shared" si="111"/>
        <v>0</v>
      </c>
      <c r="CL178" s="9">
        <f t="shared" si="112"/>
        <v>0</v>
      </c>
      <c r="CM178" s="32"/>
      <c r="CN178" s="3">
        <f t="shared" si="113"/>
        <v>0</v>
      </c>
      <c r="CO178" s="3">
        <f t="shared" si="114"/>
        <v>0</v>
      </c>
      <c r="CP178" s="3">
        <f t="shared" si="115"/>
        <v>0</v>
      </c>
      <c r="CQ178" s="3">
        <f t="shared" si="116"/>
        <v>0</v>
      </c>
      <c r="CR178" s="3">
        <f t="shared" si="117"/>
        <v>0</v>
      </c>
      <c r="CS178" s="31"/>
      <c r="CT178" s="3" cm="1">
        <f t="array" ref="CT178">SUMPRODUCT(--(MOD(CH178:CL178,2)=1))</f>
        <v>0</v>
      </c>
      <c r="CU178" s="3">
        <f t="shared" si="118"/>
        <v>5</v>
      </c>
      <c r="CV178" s="30"/>
      <c r="CW178" s="3" cm="1">
        <f t="array" ref="CW178">SUMPRODUCT(--(MOD(CH178:CL178,10)&gt;=1), --(MOD(CH178:CL178,10)&lt;=5))</f>
        <v>0</v>
      </c>
      <c r="CX178" s="3">
        <f t="shared" si="119"/>
        <v>5</v>
      </c>
      <c r="CY178" s="30"/>
      <c r="CZ178" s="3" cm="1">
        <f t="array" ref="CZ178">IFERROR(COUNT(_xlfn._xlws.FILTER(CH178:CL178, ISNUMBER(MATCH(CH178:CL178, {2,3,5,7,11,13,17,19,23,29,31,37,41,43}, 0)))), 0)</f>
        <v>0</v>
      </c>
      <c r="DA178" s="3" cm="1">
        <f t="array" ref="DA178">IFERROR(COUNT(_xlfn._xlws.FILTER(CH178:CL178, ISNUMBER(MATCH(CH178:CL178, {1,4,8,10,14,16,20,22,25,26,28,32,34,35,38,40,44}, 0)))), 0)</f>
        <v>0</v>
      </c>
      <c r="DB178" s="3" cm="1">
        <f t="array" ref="DB178">IFERROR(COUNT(_xlfn._xlws.FILTER(CH178:CL178, ISNUMBER(MATCH(CH178:CL178, {6,9,12,15,18,21,24,27,30,33,36,39,42,45}, 0)))), 0)</f>
        <v>0</v>
      </c>
      <c r="DC178" s="29"/>
      <c r="DD178" s="28" t="e">
        <f>#REF!</f>
        <v>#REF!</v>
      </c>
      <c r="DE178" s="28" t="e">
        <f>#REF!*2</f>
        <v>#REF!</v>
      </c>
      <c r="DF178" s="28" t="e">
        <f>#REF!</f>
        <v>#REF!</v>
      </c>
      <c r="DG178" s="28" t="e">
        <f>#REF!*2</f>
        <v>#REF!</v>
      </c>
      <c r="DH178" s="28" t="e">
        <f>#REF!</f>
        <v>#REF!</v>
      </c>
      <c r="DI178" s="28" t="e">
        <f>#REF!*2</f>
        <v>#REF!</v>
      </c>
      <c r="DJ178" s="28" t="e">
        <f>#REF!</f>
        <v>#REF!</v>
      </c>
      <c r="DK178" s="28" t="e">
        <f>#REF!*2</f>
        <v>#REF!</v>
      </c>
      <c r="DL178" s="28" t="e">
        <f>#REF!</f>
        <v>#REF!</v>
      </c>
      <c r="DM178" s="28" t="e">
        <f>#REF!*2</f>
        <v>#REF!</v>
      </c>
      <c r="DN178" s="27"/>
      <c r="DO178" s="26"/>
      <c r="DP178" s="26"/>
      <c r="DQ178" s="26"/>
      <c r="DR178" s="26"/>
      <c r="DS178" s="26"/>
      <c r="DT178" s="25"/>
    </row>
    <row r="179" spans="2:124" x14ac:dyDescent="0.3"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2"/>
      <c r="I179" s="3">
        <f t="shared" si="80"/>
        <v>0</v>
      </c>
      <c r="J179" s="3">
        <f t="shared" si="81"/>
        <v>0</v>
      </c>
      <c r="K179" s="3">
        <f t="shared" si="82"/>
        <v>0</v>
      </c>
      <c r="L179" s="3">
        <f t="shared" si="83"/>
        <v>0</v>
      </c>
      <c r="M179" s="3">
        <f t="shared" si="84"/>
        <v>0</v>
      </c>
      <c r="N179" s="3">
        <f t="shared" si="85"/>
        <v>0</v>
      </c>
      <c r="O179" s="32"/>
      <c r="P179" s="3" cm="1">
        <f t="array" ref="P179">SUMPRODUCT(--(MOD(B179:G179,2)=1))</f>
        <v>0</v>
      </c>
      <c r="Q179" s="3">
        <f t="shared" si="86"/>
        <v>6</v>
      </c>
      <c r="R179" s="34"/>
      <c r="S179" s="3">
        <f t="shared" si="87"/>
        <v>0</v>
      </c>
      <c r="T179" s="3">
        <f t="shared" si="88"/>
        <v>6</v>
      </c>
      <c r="U179" s="34"/>
      <c r="V179" s="3" cm="1">
        <f t="array" ref="V179">SUMPRODUCT(--(MOD(B179:G179,10)&gt;=1), --(MOD(B179:G179,10)&lt;=5))</f>
        <v>0</v>
      </c>
      <c r="W179" s="3">
        <f t="shared" si="89"/>
        <v>6</v>
      </c>
      <c r="X179" s="34"/>
      <c r="Y179" s="3" cm="1">
        <f t="array" ref="Y179">IFERROR(COUNT(_xlfn._xlws.FILTER(B179:G179, ISNUMBER(MATCH(B179:G179, {2,3,5,7,11,13,17,19,23,29,31,37,41,43}, 0)))), 0)</f>
        <v>0</v>
      </c>
      <c r="Z179" s="3" cm="1">
        <f t="array" ref="Z179">IFERROR(COUNT(_xlfn._xlws.FILTER(B179:G179, ISNUMBER(MATCH(B179:G179, {1,4,8,10,14,16,20,22,25,26,28,32,34,35,38,40,44}, 0)))), 0)</f>
        <v>0</v>
      </c>
      <c r="AA179" s="3" cm="1">
        <f t="array" ref="AA179">IFERROR(COUNT(_xlfn._xlws.FILTER(B179:G179, ISNUMBER(MATCH(B179:G179, {6,9,12,15,18,21,24,27,30,33,36,39,42,45}, 0)))), 0)</f>
        <v>0</v>
      </c>
      <c r="AB179" s="30"/>
      <c r="AC179" s="26" cm="1">
        <f t="array" ref="AC179">_xlfn.IFS(
   OR(B179="",ISBLANK(B179),B179=0),0,
   ISNUMBER(MATCH(B179,{2,3,5,7,11,13,17,19,23,29,31,37,41,43},0)),"소",
   AND(ISNUMBER(B179),MOD(B179,3)=0),"배",
   AND(ISNUMBER(B179),B179&gt;0),"자"
)</f>
        <v>0</v>
      </c>
      <c r="AD179" s="26" cm="1">
        <f t="array" ref="AD179">_xlfn.IFS(
   OR(C179="",ISBLANK(C179),C179=0),0,
   ISNUMBER(MATCH(C179,{2,3,5,7,11,13,17,19,23,29,31,37,41,43},0)),"소",
   AND(ISNUMBER(C179),MOD(C179,3)=0),"배",
   AND(ISNUMBER(C179),C179&gt;0),"자"
)</f>
        <v>0</v>
      </c>
      <c r="AE179" s="26" cm="1">
        <f t="array" ref="AE179">_xlfn.IFS(
   OR(D179="",ISBLANK(D179),D179=0),0,
   ISNUMBER(MATCH(D179,{2,3,5,7,11,13,17,19,23,29,31,37,41,43},0)),"소",
   AND(ISNUMBER(D179),MOD(D179,3)=0),"배",
   AND(ISNUMBER(D179),D179&gt;0),"자"
)</f>
        <v>0</v>
      </c>
      <c r="AF179" s="26" cm="1">
        <f t="array" ref="AF179">_xlfn.IFS(
   OR(E179="",ISBLANK(E179),E179=0),0,
   ISNUMBER(MATCH(E179,{2,3,5,7,11,13,17,19,23,29,31,37,41,43},0)),"소",
   AND(ISNUMBER(E179),MOD(E179,3)=0),"배",
   AND(ISNUMBER(E179),E179&gt;0),"자"
)</f>
        <v>0</v>
      </c>
      <c r="AG179" s="26" cm="1">
        <f t="array" ref="AG179">_xlfn.IFS(
   OR(F179="",ISBLANK(F179),F179=0),0,
   ISNUMBER(MATCH(F179,{2,3,5,7,11,13,17,19,23,29,31,37,41,43},0)),"소",
   AND(ISNUMBER(F179),MOD(F179,3)=0),"배",
   AND(ISNUMBER(F179),F179&gt;0),"자"
)</f>
        <v>0</v>
      </c>
      <c r="AH179" s="26" cm="1">
        <f t="array" ref="AH179">_xlfn.IFS(
   OR(G179="",ISBLANK(G179),G179=0),0,
   ISNUMBER(MATCH(G179,{2,3,5,7,11,13,17,19,23,29,31,37,41,43},0)),"소",
   AND(ISNUMBER(G179),MOD(G179,3)=0),"배",
   AND(ISNUMBER(G179),G179&gt;0),"자"
)</f>
        <v>0</v>
      </c>
      <c r="AI179" s="30"/>
      <c r="AJ179" s="3">
        <f t="shared" si="90"/>
        <v>0</v>
      </c>
      <c r="AK179" s="3">
        <f t="shared" si="91"/>
        <v>0</v>
      </c>
      <c r="AL179" s="3">
        <f t="shared" si="92"/>
        <v>6</v>
      </c>
      <c r="AM179" s="33"/>
      <c r="AN179" s="3">
        <f t="shared" si="93"/>
        <v>0</v>
      </c>
      <c r="AO179" s="3">
        <f t="shared" si="94"/>
        <v>0</v>
      </c>
      <c r="AP179" s="3">
        <f t="shared" si="95"/>
        <v>0</v>
      </c>
      <c r="AQ179" s="3">
        <f t="shared" si="96"/>
        <v>0</v>
      </c>
      <c r="AR179" s="3">
        <f t="shared" si="97"/>
        <v>0</v>
      </c>
      <c r="AS179" s="28" t="e">
        <f>#REF!</f>
        <v>#REF!</v>
      </c>
      <c r="AT179" s="28" t="e">
        <f>#REF!*2</f>
        <v>#REF!</v>
      </c>
      <c r="AU179" s="28" t="e">
        <f>#REF!</f>
        <v>#REF!</v>
      </c>
      <c r="AV179" s="28" t="e">
        <f>#REF!*2</f>
        <v>#REF!</v>
      </c>
      <c r="AW179" s="28" t="e">
        <f>#REF!</f>
        <v>#REF!</v>
      </c>
      <c r="AX179" s="28" t="e">
        <f>#REF!*2</f>
        <v>#REF!</v>
      </c>
      <c r="AY179" s="28" t="e">
        <f>#REF!</f>
        <v>#REF!</v>
      </c>
      <c r="AZ179" s="28" t="e">
        <f>#REF!*2</f>
        <v>#REF!</v>
      </c>
      <c r="BA179" s="28" t="e">
        <f>#REF!</f>
        <v>#REF!</v>
      </c>
      <c r="BB179" s="28" t="e">
        <f>#REF!*2</f>
        <v>#REF!</v>
      </c>
      <c r="BC179" s="28" t="e">
        <f>#REF!</f>
        <v>#REF!</v>
      </c>
      <c r="BD179" s="28" t="e">
        <f>#REF!*2</f>
        <v>#REF!</v>
      </c>
      <c r="BE179" s="9" t="e">
        <f>#REF!-#REF!</f>
        <v>#REF!</v>
      </c>
      <c r="BF179" s="9" t="e">
        <f>#REF!-#REF!</f>
        <v>#REF!</v>
      </c>
      <c r="BG179" s="9" t="e">
        <f>#REF!-#REF!</f>
        <v>#REF!</v>
      </c>
      <c r="BH179" s="9" t="e">
        <f>#REF!-#REF!</f>
        <v>#REF!</v>
      </c>
      <c r="BI179" s="9" t="e">
        <f>#REF!-#REF!</f>
        <v>#REF!</v>
      </c>
      <c r="BJ179" s="33"/>
      <c r="BK179" s="3">
        <f t="shared" si="98"/>
        <v>0</v>
      </c>
      <c r="BL179" s="3">
        <f t="shared" si="99"/>
        <v>0</v>
      </c>
      <c r="BM179" s="3">
        <f t="shared" si="100"/>
        <v>0</v>
      </c>
      <c r="BN179" s="3">
        <f t="shared" si="101"/>
        <v>0</v>
      </c>
      <c r="BO179" s="3">
        <f t="shared" si="102"/>
        <v>0</v>
      </c>
      <c r="BP179" s="28" t="e">
        <f>#REF!</f>
        <v>#REF!</v>
      </c>
      <c r="BQ179" s="28" t="e">
        <f>#REF!*2</f>
        <v>#REF!</v>
      </c>
      <c r="BR179" s="28" t="e">
        <f>#REF!</f>
        <v>#REF!</v>
      </c>
      <c r="BS179" s="28" t="e">
        <f>#REF!*2</f>
        <v>#REF!</v>
      </c>
      <c r="BT179" s="28" t="e">
        <f>#REF!</f>
        <v>#REF!</v>
      </c>
      <c r="BU179" s="28" t="e">
        <f>#REF!*2</f>
        <v>#REF!</v>
      </c>
      <c r="BV179" s="28" t="e">
        <f>#REF!</f>
        <v>#REF!</v>
      </c>
      <c r="BW179" s="28" t="e">
        <f>#REF!*2</f>
        <v>#REF!</v>
      </c>
      <c r="BX179" s="28" t="e">
        <f>#REF!</f>
        <v>#REF!</v>
      </c>
      <c r="BY179" s="28" t="e">
        <f>#REF!*2</f>
        <v>#REF!</v>
      </c>
      <c r="BZ179" s="28" t="e">
        <f>#REF!</f>
        <v>#REF!</v>
      </c>
      <c r="CA179" s="28" t="e">
        <f>#REF!*2</f>
        <v>#REF!</v>
      </c>
      <c r="CB179" s="9">
        <f t="shared" si="103"/>
        <v>0</v>
      </c>
      <c r="CC179" s="9">
        <f t="shared" si="104"/>
        <v>0</v>
      </c>
      <c r="CD179" s="9">
        <f t="shared" si="105"/>
        <v>0</v>
      </c>
      <c r="CE179" s="9">
        <f t="shared" si="106"/>
        <v>0</v>
      </c>
      <c r="CF179" s="9">
        <f t="shared" si="107"/>
        <v>0</v>
      </c>
      <c r="CG179" s="33"/>
      <c r="CH179" s="9">
        <f t="shared" si="108"/>
        <v>0</v>
      </c>
      <c r="CI179" s="9">
        <f t="shared" si="109"/>
        <v>0</v>
      </c>
      <c r="CJ179" s="9">
        <f t="shared" si="110"/>
        <v>0</v>
      </c>
      <c r="CK179" s="9">
        <f t="shared" si="111"/>
        <v>0</v>
      </c>
      <c r="CL179" s="9">
        <f t="shared" si="112"/>
        <v>0</v>
      </c>
      <c r="CM179" s="32"/>
      <c r="CN179" s="3">
        <f t="shared" si="113"/>
        <v>0</v>
      </c>
      <c r="CO179" s="3">
        <f t="shared" si="114"/>
        <v>0</v>
      </c>
      <c r="CP179" s="3">
        <f t="shared" si="115"/>
        <v>0</v>
      </c>
      <c r="CQ179" s="3">
        <f t="shared" si="116"/>
        <v>0</v>
      </c>
      <c r="CR179" s="3">
        <f t="shared" si="117"/>
        <v>0</v>
      </c>
      <c r="CS179" s="31"/>
      <c r="CT179" s="3" cm="1">
        <f t="array" ref="CT179">SUMPRODUCT(--(MOD(CH179:CL179,2)=1))</f>
        <v>0</v>
      </c>
      <c r="CU179" s="3">
        <f t="shared" si="118"/>
        <v>5</v>
      </c>
      <c r="CV179" s="30"/>
      <c r="CW179" s="3" cm="1">
        <f t="array" ref="CW179">SUMPRODUCT(--(MOD(CH179:CL179,10)&gt;=1), --(MOD(CH179:CL179,10)&lt;=5))</f>
        <v>0</v>
      </c>
      <c r="CX179" s="3">
        <f t="shared" si="119"/>
        <v>5</v>
      </c>
      <c r="CY179" s="30"/>
      <c r="CZ179" s="3" cm="1">
        <f t="array" ref="CZ179">IFERROR(COUNT(_xlfn._xlws.FILTER(CH179:CL179, ISNUMBER(MATCH(CH179:CL179, {2,3,5,7,11,13,17,19,23,29,31,37,41,43}, 0)))), 0)</f>
        <v>0</v>
      </c>
      <c r="DA179" s="3" cm="1">
        <f t="array" ref="DA179">IFERROR(COUNT(_xlfn._xlws.FILTER(CH179:CL179, ISNUMBER(MATCH(CH179:CL179, {1,4,8,10,14,16,20,22,25,26,28,32,34,35,38,40,44}, 0)))), 0)</f>
        <v>0</v>
      </c>
      <c r="DB179" s="3" cm="1">
        <f t="array" ref="DB179">IFERROR(COUNT(_xlfn._xlws.FILTER(CH179:CL179, ISNUMBER(MATCH(CH179:CL179, {6,9,12,15,18,21,24,27,30,33,36,39,42,45}, 0)))), 0)</f>
        <v>0</v>
      </c>
      <c r="DC179" s="29"/>
      <c r="DD179" s="28" t="e">
        <f>#REF!</f>
        <v>#REF!</v>
      </c>
      <c r="DE179" s="28" t="e">
        <f>#REF!*2</f>
        <v>#REF!</v>
      </c>
      <c r="DF179" s="28" t="e">
        <f>#REF!</f>
        <v>#REF!</v>
      </c>
      <c r="DG179" s="28" t="e">
        <f>#REF!*2</f>
        <v>#REF!</v>
      </c>
      <c r="DH179" s="28" t="e">
        <f>#REF!</f>
        <v>#REF!</v>
      </c>
      <c r="DI179" s="28" t="e">
        <f>#REF!*2</f>
        <v>#REF!</v>
      </c>
      <c r="DJ179" s="28" t="e">
        <f>#REF!</f>
        <v>#REF!</v>
      </c>
      <c r="DK179" s="28" t="e">
        <f>#REF!*2</f>
        <v>#REF!</v>
      </c>
      <c r="DL179" s="28" t="e">
        <f>#REF!</f>
        <v>#REF!</v>
      </c>
      <c r="DM179" s="28" t="e">
        <f>#REF!*2</f>
        <v>#REF!</v>
      </c>
      <c r="DN179" s="27"/>
      <c r="DO179" s="26"/>
      <c r="DP179" s="26"/>
      <c r="DQ179" s="26"/>
      <c r="DR179" s="26"/>
      <c r="DS179" s="26"/>
      <c r="DT179" s="25"/>
    </row>
    <row r="180" spans="2:124" x14ac:dyDescent="0.3"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2"/>
      <c r="I180" s="3">
        <f t="shared" si="80"/>
        <v>0</v>
      </c>
      <c r="J180" s="3">
        <f t="shared" si="81"/>
        <v>0</v>
      </c>
      <c r="K180" s="3">
        <f t="shared" si="82"/>
        <v>0</v>
      </c>
      <c r="L180" s="3">
        <f t="shared" si="83"/>
        <v>0</v>
      </c>
      <c r="M180" s="3">
        <f t="shared" si="84"/>
        <v>0</v>
      </c>
      <c r="N180" s="3">
        <f t="shared" si="85"/>
        <v>0</v>
      </c>
      <c r="O180" s="32"/>
      <c r="P180" s="3" cm="1">
        <f t="array" ref="P180">SUMPRODUCT(--(MOD(B180:G180,2)=1))</f>
        <v>0</v>
      </c>
      <c r="Q180" s="3">
        <f t="shared" si="86"/>
        <v>6</v>
      </c>
      <c r="R180" s="34"/>
      <c r="S180" s="3">
        <f t="shared" si="87"/>
        <v>0</v>
      </c>
      <c r="T180" s="3">
        <f t="shared" si="88"/>
        <v>6</v>
      </c>
      <c r="U180" s="34"/>
      <c r="V180" s="3" cm="1">
        <f t="array" ref="V180">SUMPRODUCT(--(MOD(B180:G180,10)&gt;=1), --(MOD(B180:G180,10)&lt;=5))</f>
        <v>0</v>
      </c>
      <c r="W180" s="3">
        <f t="shared" si="89"/>
        <v>6</v>
      </c>
      <c r="X180" s="34"/>
      <c r="Y180" s="3" cm="1">
        <f t="array" ref="Y180">IFERROR(COUNT(_xlfn._xlws.FILTER(B180:G180, ISNUMBER(MATCH(B180:G180, {2,3,5,7,11,13,17,19,23,29,31,37,41,43}, 0)))), 0)</f>
        <v>0</v>
      </c>
      <c r="Z180" s="3" cm="1">
        <f t="array" ref="Z180">IFERROR(COUNT(_xlfn._xlws.FILTER(B180:G180, ISNUMBER(MATCH(B180:G180, {1,4,8,10,14,16,20,22,25,26,28,32,34,35,38,40,44}, 0)))), 0)</f>
        <v>0</v>
      </c>
      <c r="AA180" s="3" cm="1">
        <f t="array" ref="AA180">IFERROR(COUNT(_xlfn._xlws.FILTER(B180:G180, ISNUMBER(MATCH(B180:G180, {6,9,12,15,18,21,24,27,30,33,36,39,42,45}, 0)))), 0)</f>
        <v>0</v>
      </c>
      <c r="AB180" s="30"/>
      <c r="AC180" s="26" cm="1">
        <f t="array" ref="AC180">_xlfn.IFS(
   OR(B180="",ISBLANK(B180),B180=0),0,
   ISNUMBER(MATCH(B180,{2,3,5,7,11,13,17,19,23,29,31,37,41,43},0)),"소",
   AND(ISNUMBER(B180),MOD(B180,3)=0),"배",
   AND(ISNUMBER(B180),B180&gt;0),"자"
)</f>
        <v>0</v>
      </c>
      <c r="AD180" s="26" cm="1">
        <f t="array" ref="AD180">_xlfn.IFS(
   OR(C180="",ISBLANK(C180),C180=0),0,
   ISNUMBER(MATCH(C180,{2,3,5,7,11,13,17,19,23,29,31,37,41,43},0)),"소",
   AND(ISNUMBER(C180),MOD(C180,3)=0),"배",
   AND(ISNUMBER(C180),C180&gt;0),"자"
)</f>
        <v>0</v>
      </c>
      <c r="AE180" s="26" cm="1">
        <f t="array" ref="AE180">_xlfn.IFS(
   OR(D180="",ISBLANK(D180),D180=0),0,
   ISNUMBER(MATCH(D180,{2,3,5,7,11,13,17,19,23,29,31,37,41,43},0)),"소",
   AND(ISNUMBER(D180),MOD(D180,3)=0),"배",
   AND(ISNUMBER(D180),D180&gt;0),"자"
)</f>
        <v>0</v>
      </c>
      <c r="AF180" s="26" cm="1">
        <f t="array" ref="AF180">_xlfn.IFS(
   OR(E180="",ISBLANK(E180),E180=0),0,
   ISNUMBER(MATCH(E180,{2,3,5,7,11,13,17,19,23,29,31,37,41,43},0)),"소",
   AND(ISNUMBER(E180),MOD(E180,3)=0),"배",
   AND(ISNUMBER(E180),E180&gt;0),"자"
)</f>
        <v>0</v>
      </c>
      <c r="AG180" s="26" cm="1">
        <f t="array" ref="AG180">_xlfn.IFS(
   OR(F180="",ISBLANK(F180),F180=0),0,
   ISNUMBER(MATCH(F180,{2,3,5,7,11,13,17,19,23,29,31,37,41,43},0)),"소",
   AND(ISNUMBER(F180),MOD(F180,3)=0),"배",
   AND(ISNUMBER(F180),F180&gt;0),"자"
)</f>
        <v>0</v>
      </c>
      <c r="AH180" s="26" cm="1">
        <f t="array" ref="AH180">_xlfn.IFS(
   OR(G180="",ISBLANK(G180),G180=0),0,
   ISNUMBER(MATCH(G180,{2,3,5,7,11,13,17,19,23,29,31,37,41,43},0)),"소",
   AND(ISNUMBER(G180),MOD(G180,3)=0),"배",
   AND(ISNUMBER(G180),G180&gt;0),"자"
)</f>
        <v>0</v>
      </c>
      <c r="AI180" s="30"/>
      <c r="AJ180" s="3">
        <f t="shared" si="90"/>
        <v>0</v>
      </c>
      <c r="AK180" s="3">
        <f t="shared" si="91"/>
        <v>0</v>
      </c>
      <c r="AL180" s="3">
        <f t="shared" si="92"/>
        <v>6</v>
      </c>
      <c r="AM180" s="33"/>
      <c r="AN180" s="3">
        <f t="shared" si="93"/>
        <v>0</v>
      </c>
      <c r="AO180" s="3">
        <f t="shared" si="94"/>
        <v>0</v>
      </c>
      <c r="AP180" s="3">
        <f t="shared" si="95"/>
        <v>0</v>
      </c>
      <c r="AQ180" s="3">
        <f t="shared" si="96"/>
        <v>0</v>
      </c>
      <c r="AR180" s="3">
        <f t="shared" si="97"/>
        <v>0</v>
      </c>
      <c r="AS180" s="28" t="e">
        <f>#REF!</f>
        <v>#REF!</v>
      </c>
      <c r="AT180" s="28" t="e">
        <f>#REF!*2</f>
        <v>#REF!</v>
      </c>
      <c r="AU180" s="28" t="e">
        <f>#REF!</f>
        <v>#REF!</v>
      </c>
      <c r="AV180" s="28" t="e">
        <f>#REF!*2</f>
        <v>#REF!</v>
      </c>
      <c r="AW180" s="28" t="e">
        <f>#REF!</f>
        <v>#REF!</v>
      </c>
      <c r="AX180" s="28" t="e">
        <f>#REF!*2</f>
        <v>#REF!</v>
      </c>
      <c r="AY180" s="28" t="e">
        <f>#REF!</f>
        <v>#REF!</v>
      </c>
      <c r="AZ180" s="28" t="e">
        <f>#REF!*2</f>
        <v>#REF!</v>
      </c>
      <c r="BA180" s="28" t="e">
        <f>#REF!</f>
        <v>#REF!</v>
      </c>
      <c r="BB180" s="28" t="e">
        <f>#REF!*2</f>
        <v>#REF!</v>
      </c>
      <c r="BC180" s="28" t="e">
        <f>#REF!</f>
        <v>#REF!</v>
      </c>
      <c r="BD180" s="28" t="e">
        <f>#REF!*2</f>
        <v>#REF!</v>
      </c>
      <c r="BE180" s="9" t="e">
        <f>#REF!-#REF!</f>
        <v>#REF!</v>
      </c>
      <c r="BF180" s="9" t="e">
        <f>#REF!-#REF!</f>
        <v>#REF!</v>
      </c>
      <c r="BG180" s="9" t="e">
        <f>#REF!-#REF!</f>
        <v>#REF!</v>
      </c>
      <c r="BH180" s="9" t="e">
        <f>#REF!-#REF!</f>
        <v>#REF!</v>
      </c>
      <c r="BI180" s="9" t="e">
        <f>#REF!-#REF!</f>
        <v>#REF!</v>
      </c>
      <c r="BJ180" s="33"/>
      <c r="BK180" s="3">
        <f t="shared" si="98"/>
        <v>0</v>
      </c>
      <c r="BL180" s="3">
        <f t="shared" si="99"/>
        <v>0</v>
      </c>
      <c r="BM180" s="3">
        <f t="shared" si="100"/>
        <v>0</v>
      </c>
      <c r="BN180" s="3">
        <f t="shared" si="101"/>
        <v>0</v>
      </c>
      <c r="BO180" s="3">
        <f t="shared" si="102"/>
        <v>0</v>
      </c>
      <c r="BP180" s="28" t="e">
        <f>#REF!</f>
        <v>#REF!</v>
      </c>
      <c r="BQ180" s="28" t="e">
        <f>#REF!*2</f>
        <v>#REF!</v>
      </c>
      <c r="BR180" s="28" t="e">
        <f>#REF!</f>
        <v>#REF!</v>
      </c>
      <c r="BS180" s="28" t="e">
        <f>#REF!*2</f>
        <v>#REF!</v>
      </c>
      <c r="BT180" s="28" t="e">
        <f>#REF!</f>
        <v>#REF!</v>
      </c>
      <c r="BU180" s="28" t="e">
        <f>#REF!*2</f>
        <v>#REF!</v>
      </c>
      <c r="BV180" s="28" t="e">
        <f>#REF!</f>
        <v>#REF!</v>
      </c>
      <c r="BW180" s="28" t="e">
        <f>#REF!*2</f>
        <v>#REF!</v>
      </c>
      <c r="BX180" s="28" t="e">
        <f>#REF!</f>
        <v>#REF!</v>
      </c>
      <c r="BY180" s="28" t="e">
        <f>#REF!*2</f>
        <v>#REF!</v>
      </c>
      <c r="BZ180" s="28" t="e">
        <f>#REF!</f>
        <v>#REF!</v>
      </c>
      <c r="CA180" s="28" t="e">
        <f>#REF!*2</f>
        <v>#REF!</v>
      </c>
      <c r="CB180" s="9">
        <f t="shared" si="103"/>
        <v>0</v>
      </c>
      <c r="CC180" s="9">
        <f t="shared" si="104"/>
        <v>0</v>
      </c>
      <c r="CD180" s="9">
        <f t="shared" si="105"/>
        <v>0</v>
      </c>
      <c r="CE180" s="9">
        <f t="shared" si="106"/>
        <v>0</v>
      </c>
      <c r="CF180" s="9">
        <f t="shared" si="107"/>
        <v>0</v>
      </c>
      <c r="CG180" s="33"/>
      <c r="CH180" s="9">
        <f t="shared" si="108"/>
        <v>0</v>
      </c>
      <c r="CI180" s="9">
        <f t="shared" si="109"/>
        <v>0</v>
      </c>
      <c r="CJ180" s="9">
        <f t="shared" si="110"/>
        <v>0</v>
      </c>
      <c r="CK180" s="9">
        <f t="shared" si="111"/>
        <v>0</v>
      </c>
      <c r="CL180" s="9">
        <f t="shared" si="112"/>
        <v>0</v>
      </c>
      <c r="CM180" s="32"/>
      <c r="CN180" s="3">
        <f t="shared" si="113"/>
        <v>0</v>
      </c>
      <c r="CO180" s="3">
        <f t="shared" si="114"/>
        <v>0</v>
      </c>
      <c r="CP180" s="3">
        <f t="shared" si="115"/>
        <v>0</v>
      </c>
      <c r="CQ180" s="3">
        <f t="shared" si="116"/>
        <v>0</v>
      </c>
      <c r="CR180" s="3">
        <f t="shared" si="117"/>
        <v>0</v>
      </c>
      <c r="CS180" s="31"/>
      <c r="CT180" s="3" cm="1">
        <f t="array" ref="CT180">SUMPRODUCT(--(MOD(CH180:CL180,2)=1))</f>
        <v>0</v>
      </c>
      <c r="CU180" s="3">
        <f t="shared" si="118"/>
        <v>5</v>
      </c>
      <c r="CV180" s="30"/>
      <c r="CW180" s="3" cm="1">
        <f t="array" ref="CW180">SUMPRODUCT(--(MOD(CH180:CL180,10)&gt;=1), --(MOD(CH180:CL180,10)&lt;=5))</f>
        <v>0</v>
      </c>
      <c r="CX180" s="3">
        <f t="shared" si="119"/>
        <v>5</v>
      </c>
      <c r="CY180" s="30"/>
      <c r="CZ180" s="3" cm="1">
        <f t="array" ref="CZ180">IFERROR(COUNT(_xlfn._xlws.FILTER(CH180:CL180, ISNUMBER(MATCH(CH180:CL180, {2,3,5,7,11,13,17,19,23,29,31,37,41,43}, 0)))), 0)</f>
        <v>0</v>
      </c>
      <c r="DA180" s="3" cm="1">
        <f t="array" ref="DA180">IFERROR(COUNT(_xlfn._xlws.FILTER(CH180:CL180, ISNUMBER(MATCH(CH180:CL180, {1,4,8,10,14,16,20,22,25,26,28,32,34,35,38,40,44}, 0)))), 0)</f>
        <v>0</v>
      </c>
      <c r="DB180" s="3" cm="1">
        <f t="array" ref="DB180">IFERROR(COUNT(_xlfn._xlws.FILTER(CH180:CL180, ISNUMBER(MATCH(CH180:CL180, {6,9,12,15,18,21,24,27,30,33,36,39,42,45}, 0)))), 0)</f>
        <v>0</v>
      </c>
      <c r="DC180" s="29"/>
      <c r="DD180" s="28" t="e">
        <f>#REF!</f>
        <v>#REF!</v>
      </c>
      <c r="DE180" s="28" t="e">
        <f>#REF!*2</f>
        <v>#REF!</v>
      </c>
      <c r="DF180" s="28" t="e">
        <f>#REF!</f>
        <v>#REF!</v>
      </c>
      <c r="DG180" s="28" t="e">
        <f>#REF!*2</f>
        <v>#REF!</v>
      </c>
      <c r="DH180" s="28" t="e">
        <f>#REF!</f>
        <v>#REF!</v>
      </c>
      <c r="DI180" s="28" t="e">
        <f>#REF!*2</f>
        <v>#REF!</v>
      </c>
      <c r="DJ180" s="28" t="e">
        <f>#REF!</f>
        <v>#REF!</v>
      </c>
      <c r="DK180" s="28" t="e">
        <f>#REF!*2</f>
        <v>#REF!</v>
      </c>
      <c r="DL180" s="28" t="e">
        <f>#REF!</f>
        <v>#REF!</v>
      </c>
      <c r="DM180" s="28" t="e">
        <f>#REF!*2</f>
        <v>#REF!</v>
      </c>
      <c r="DN180" s="27"/>
      <c r="DO180" s="26"/>
      <c r="DP180" s="26"/>
      <c r="DQ180" s="26"/>
      <c r="DR180" s="26"/>
      <c r="DS180" s="26"/>
      <c r="DT180" s="25"/>
    </row>
    <row r="181" spans="2:124" x14ac:dyDescent="0.3"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2"/>
      <c r="I181" s="3">
        <f t="shared" si="80"/>
        <v>0</v>
      </c>
      <c r="J181" s="3">
        <f t="shared" si="81"/>
        <v>0</v>
      </c>
      <c r="K181" s="3">
        <f t="shared" si="82"/>
        <v>0</v>
      </c>
      <c r="L181" s="3">
        <f t="shared" si="83"/>
        <v>0</v>
      </c>
      <c r="M181" s="3">
        <f t="shared" si="84"/>
        <v>0</v>
      </c>
      <c r="N181" s="3">
        <f t="shared" si="85"/>
        <v>0</v>
      </c>
      <c r="O181" s="32"/>
      <c r="P181" s="3" cm="1">
        <f t="array" ref="P181">SUMPRODUCT(--(MOD(B181:G181,2)=1))</f>
        <v>0</v>
      </c>
      <c r="Q181" s="3">
        <f t="shared" si="86"/>
        <v>6</v>
      </c>
      <c r="R181" s="34"/>
      <c r="S181" s="3">
        <f t="shared" si="87"/>
        <v>0</v>
      </c>
      <c r="T181" s="3">
        <f t="shared" si="88"/>
        <v>6</v>
      </c>
      <c r="U181" s="34"/>
      <c r="V181" s="3" cm="1">
        <f t="array" ref="V181">SUMPRODUCT(--(MOD(B181:G181,10)&gt;=1), --(MOD(B181:G181,10)&lt;=5))</f>
        <v>0</v>
      </c>
      <c r="W181" s="3">
        <f t="shared" si="89"/>
        <v>6</v>
      </c>
      <c r="X181" s="34"/>
      <c r="Y181" s="3" cm="1">
        <f t="array" ref="Y181">IFERROR(COUNT(_xlfn._xlws.FILTER(B181:G181, ISNUMBER(MATCH(B181:G181, {2,3,5,7,11,13,17,19,23,29,31,37,41,43}, 0)))), 0)</f>
        <v>0</v>
      </c>
      <c r="Z181" s="3" cm="1">
        <f t="array" ref="Z181">IFERROR(COUNT(_xlfn._xlws.FILTER(B181:G181, ISNUMBER(MATCH(B181:G181, {1,4,8,10,14,16,20,22,25,26,28,32,34,35,38,40,44}, 0)))), 0)</f>
        <v>0</v>
      </c>
      <c r="AA181" s="3" cm="1">
        <f t="array" ref="AA181">IFERROR(COUNT(_xlfn._xlws.FILTER(B181:G181, ISNUMBER(MATCH(B181:G181, {6,9,12,15,18,21,24,27,30,33,36,39,42,45}, 0)))), 0)</f>
        <v>0</v>
      </c>
      <c r="AB181" s="30"/>
      <c r="AC181" s="26" cm="1">
        <f t="array" ref="AC181">_xlfn.IFS(
   OR(B181="",ISBLANK(B181),B181=0),0,
   ISNUMBER(MATCH(B181,{2,3,5,7,11,13,17,19,23,29,31,37,41,43},0)),"소",
   AND(ISNUMBER(B181),MOD(B181,3)=0),"배",
   AND(ISNUMBER(B181),B181&gt;0),"자"
)</f>
        <v>0</v>
      </c>
      <c r="AD181" s="26" cm="1">
        <f t="array" ref="AD181">_xlfn.IFS(
   OR(C181="",ISBLANK(C181),C181=0),0,
   ISNUMBER(MATCH(C181,{2,3,5,7,11,13,17,19,23,29,31,37,41,43},0)),"소",
   AND(ISNUMBER(C181),MOD(C181,3)=0),"배",
   AND(ISNUMBER(C181),C181&gt;0),"자"
)</f>
        <v>0</v>
      </c>
      <c r="AE181" s="26" cm="1">
        <f t="array" ref="AE181">_xlfn.IFS(
   OR(D181="",ISBLANK(D181),D181=0),0,
   ISNUMBER(MATCH(D181,{2,3,5,7,11,13,17,19,23,29,31,37,41,43},0)),"소",
   AND(ISNUMBER(D181),MOD(D181,3)=0),"배",
   AND(ISNUMBER(D181),D181&gt;0),"자"
)</f>
        <v>0</v>
      </c>
      <c r="AF181" s="26" cm="1">
        <f t="array" ref="AF181">_xlfn.IFS(
   OR(E181="",ISBLANK(E181),E181=0),0,
   ISNUMBER(MATCH(E181,{2,3,5,7,11,13,17,19,23,29,31,37,41,43},0)),"소",
   AND(ISNUMBER(E181),MOD(E181,3)=0),"배",
   AND(ISNUMBER(E181),E181&gt;0),"자"
)</f>
        <v>0</v>
      </c>
      <c r="AG181" s="26" cm="1">
        <f t="array" ref="AG181">_xlfn.IFS(
   OR(F181="",ISBLANK(F181),F181=0),0,
   ISNUMBER(MATCH(F181,{2,3,5,7,11,13,17,19,23,29,31,37,41,43},0)),"소",
   AND(ISNUMBER(F181),MOD(F181,3)=0),"배",
   AND(ISNUMBER(F181),F181&gt;0),"자"
)</f>
        <v>0</v>
      </c>
      <c r="AH181" s="26" cm="1">
        <f t="array" ref="AH181">_xlfn.IFS(
   OR(G181="",ISBLANK(G181),G181=0),0,
   ISNUMBER(MATCH(G181,{2,3,5,7,11,13,17,19,23,29,31,37,41,43},0)),"소",
   AND(ISNUMBER(G181),MOD(G181,3)=0),"배",
   AND(ISNUMBER(G181),G181&gt;0),"자"
)</f>
        <v>0</v>
      </c>
      <c r="AI181" s="30"/>
      <c r="AJ181" s="3">
        <f t="shared" si="90"/>
        <v>0</v>
      </c>
      <c r="AK181" s="3">
        <f t="shared" si="91"/>
        <v>0</v>
      </c>
      <c r="AL181" s="3">
        <f t="shared" si="92"/>
        <v>6</v>
      </c>
      <c r="AM181" s="33"/>
      <c r="AN181" s="3">
        <f t="shared" si="93"/>
        <v>0</v>
      </c>
      <c r="AO181" s="3">
        <f t="shared" si="94"/>
        <v>0</v>
      </c>
      <c r="AP181" s="3">
        <f t="shared" si="95"/>
        <v>0</v>
      </c>
      <c r="AQ181" s="3">
        <f t="shared" si="96"/>
        <v>0</v>
      </c>
      <c r="AR181" s="3">
        <f t="shared" si="97"/>
        <v>0</v>
      </c>
      <c r="AS181" s="28" t="e">
        <f>#REF!</f>
        <v>#REF!</v>
      </c>
      <c r="AT181" s="28" t="e">
        <f>#REF!*2</f>
        <v>#REF!</v>
      </c>
      <c r="AU181" s="28" t="e">
        <f>#REF!</f>
        <v>#REF!</v>
      </c>
      <c r="AV181" s="28" t="e">
        <f>#REF!*2</f>
        <v>#REF!</v>
      </c>
      <c r="AW181" s="28" t="e">
        <f>#REF!</f>
        <v>#REF!</v>
      </c>
      <c r="AX181" s="28" t="e">
        <f>#REF!*2</f>
        <v>#REF!</v>
      </c>
      <c r="AY181" s="28" t="e">
        <f>#REF!</f>
        <v>#REF!</v>
      </c>
      <c r="AZ181" s="28" t="e">
        <f>#REF!*2</f>
        <v>#REF!</v>
      </c>
      <c r="BA181" s="28" t="e">
        <f>#REF!</f>
        <v>#REF!</v>
      </c>
      <c r="BB181" s="28" t="e">
        <f>#REF!*2</f>
        <v>#REF!</v>
      </c>
      <c r="BC181" s="28" t="e">
        <f>#REF!</f>
        <v>#REF!</v>
      </c>
      <c r="BD181" s="28" t="e">
        <f>#REF!*2</f>
        <v>#REF!</v>
      </c>
      <c r="BE181" s="9" t="e">
        <f>#REF!-#REF!</f>
        <v>#REF!</v>
      </c>
      <c r="BF181" s="9" t="e">
        <f>#REF!-#REF!</f>
        <v>#REF!</v>
      </c>
      <c r="BG181" s="9" t="e">
        <f>#REF!-#REF!</f>
        <v>#REF!</v>
      </c>
      <c r="BH181" s="9" t="e">
        <f>#REF!-#REF!</f>
        <v>#REF!</v>
      </c>
      <c r="BI181" s="9" t="e">
        <f>#REF!-#REF!</f>
        <v>#REF!</v>
      </c>
      <c r="BJ181" s="33"/>
      <c r="BK181" s="3">
        <f t="shared" si="98"/>
        <v>0</v>
      </c>
      <c r="BL181" s="3">
        <f t="shared" si="99"/>
        <v>0</v>
      </c>
      <c r="BM181" s="3">
        <f t="shared" si="100"/>
        <v>0</v>
      </c>
      <c r="BN181" s="3">
        <f t="shared" si="101"/>
        <v>0</v>
      </c>
      <c r="BO181" s="3">
        <f t="shared" si="102"/>
        <v>0</v>
      </c>
      <c r="BP181" s="28" t="e">
        <f>#REF!</f>
        <v>#REF!</v>
      </c>
      <c r="BQ181" s="28" t="e">
        <f>#REF!*2</f>
        <v>#REF!</v>
      </c>
      <c r="BR181" s="28" t="e">
        <f>#REF!</f>
        <v>#REF!</v>
      </c>
      <c r="BS181" s="28" t="e">
        <f>#REF!*2</f>
        <v>#REF!</v>
      </c>
      <c r="BT181" s="28" t="e">
        <f>#REF!</f>
        <v>#REF!</v>
      </c>
      <c r="BU181" s="28" t="e">
        <f>#REF!*2</f>
        <v>#REF!</v>
      </c>
      <c r="BV181" s="28" t="e">
        <f>#REF!</f>
        <v>#REF!</v>
      </c>
      <c r="BW181" s="28" t="e">
        <f>#REF!*2</f>
        <v>#REF!</v>
      </c>
      <c r="BX181" s="28" t="e">
        <f>#REF!</f>
        <v>#REF!</v>
      </c>
      <c r="BY181" s="28" t="e">
        <f>#REF!*2</f>
        <v>#REF!</v>
      </c>
      <c r="BZ181" s="28" t="e">
        <f>#REF!</f>
        <v>#REF!</v>
      </c>
      <c r="CA181" s="28" t="e">
        <f>#REF!*2</f>
        <v>#REF!</v>
      </c>
      <c r="CB181" s="9">
        <f t="shared" si="103"/>
        <v>0</v>
      </c>
      <c r="CC181" s="9">
        <f t="shared" si="104"/>
        <v>0</v>
      </c>
      <c r="CD181" s="9">
        <f t="shared" si="105"/>
        <v>0</v>
      </c>
      <c r="CE181" s="9">
        <f t="shared" si="106"/>
        <v>0</v>
      </c>
      <c r="CF181" s="9">
        <f t="shared" si="107"/>
        <v>0</v>
      </c>
      <c r="CG181" s="33"/>
      <c r="CH181" s="9">
        <f t="shared" si="108"/>
        <v>0</v>
      </c>
      <c r="CI181" s="9">
        <f t="shared" si="109"/>
        <v>0</v>
      </c>
      <c r="CJ181" s="9">
        <f t="shared" si="110"/>
        <v>0</v>
      </c>
      <c r="CK181" s="9">
        <f t="shared" si="111"/>
        <v>0</v>
      </c>
      <c r="CL181" s="9">
        <f t="shared" si="112"/>
        <v>0</v>
      </c>
      <c r="CM181" s="32"/>
      <c r="CN181" s="3">
        <f t="shared" si="113"/>
        <v>0</v>
      </c>
      <c r="CO181" s="3">
        <f t="shared" si="114"/>
        <v>0</v>
      </c>
      <c r="CP181" s="3">
        <f t="shared" si="115"/>
        <v>0</v>
      </c>
      <c r="CQ181" s="3">
        <f t="shared" si="116"/>
        <v>0</v>
      </c>
      <c r="CR181" s="3">
        <f t="shared" si="117"/>
        <v>0</v>
      </c>
      <c r="CS181" s="31"/>
      <c r="CT181" s="3" cm="1">
        <f t="array" ref="CT181">SUMPRODUCT(--(MOD(CH181:CL181,2)=1))</f>
        <v>0</v>
      </c>
      <c r="CU181" s="3">
        <f t="shared" si="118"/>
        <v>5</v>
      </c>
      <c r="CV181" s="30"/>
      <c r="CW181" s="3" cm="1">
        <f t="array" ref="CW181">SUMPRODUCT(--(MOD(CH181:CL181,10)&gt;=1), --(MOD(CH181:CL181,10)&lt;=5))</f>
        <v>0</v>
      </c>
      <c r="CX181" s="3">
        <f t="shared" si="119"/>
        <v>5</v>
      </c>
      <c r="CY181" s="30"/>
      <c r="CZ181" s="3" cm="1">
        <f t="array" ref="CZ181">IFERROR(COUNT(_xlfn._xlws.FILTER(CH181:CL181, ISNUMBER(MATCH(CH181:CL181, {2,3,5,7,11,13,17,19,23,29,31,37,41,43}, 0)))), 0)</f>
        <v>0</v>
      </c>
      <c r="DA181" s="3" cm="1">
        <f t="array" ref="DA181">IFERROR(COUNT(_xlfn._xlws.FILTER(CH181:CL181, ISNUMBER(MATCH(CH181:CL181, {1,4,8,10,14,16,20,22,25,26,28,32,34,35,38,40,44}, 0)))), 0)</f>
        <v>0</v>
      </c>
      <c r="DB181" s="3" cm="1">
        <f t="array" ref="DB181">IFERROR(COUNT(_xlfn._xlws.FILTER(CH181:CL181, ISNUMBER(MATCH(CH181:CL181, {6,9,12,15,18,21,24,27,30,33,36,39,42,45}, 0)))), 0)</f>
        <v>0</v>
      </c>
      <c r="DC181" s="29"/>
      <c r="DD181" s="28" t="e">
        <f>#REF!</f>
        <v>#REF!</v>
      </c>
      <c r="DE181" s="28" t="e">
        <f>#REF!*2</f>
        <v>#REF!</v>
      </c>
      <c r="DF181" s="28" t="e">
        <f>#REF!</f>
        <v>#REF!</v>
      </c>
      <c r="DG181" s="28" t="e">
        <f>#REF!*2</f>
        <v>#REF!</v>
      </c>
      <c r="DH181" s="28" t="e">
        <f>#REF!</f>
        <v>#REF!</v>
      </c>
      <c r="DI181" s="28" t="e">
        <f>#REF!*2</f>
        <v>#REF!</v>
      </c>
      <c r="DJ181" s="28" t="e">
        <f>#REF!</f>
        <v>#REF!</v>
      </c>
      <c r="DK181" s="28" t="e">
        <f>#REF!*2</f>
        <v>#REF!</v>
      </c>
      <c r="DL181" s="28" t="e">
        <f>#REF!</f>
        <v>#REF!</v>
      </c>
      <c r="DM181" s="28" t="e">
        <f>#REF!*2</f>
        <v>#REF!</v>
      </c>
      <c r="DN181" s="27"/>
      <c r="DO181" s="26"/>
      <c r="DP181" s="26"/>
      <c r="DQ181" s="26"/>
      <c r="DR181" s="26"/>
      <c r="DS181" s="26"/>
      <c r="DT181" s="25"/>
    </row>
    <row r="182" spans="2:124" x14ac:dyDescent="0.3"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2"/>
      <c r="I182" s="3">
        <f t="shared" si="80"/>
        <v>0</v>
      </c>
      <c r="J182" s="3">
        <f t="shared" si="81"/>
        <v>0</v>
      </c>
      <c r="K182" s="3">
        <f t="shared" si="82"/>
        <v>0</v>
      </c>
      <c r="L182" s="3">
        <f t="shared" si="83"/>
        <v>0</v>
      </c>
      <c r="M182" s="3">
        <f t="shared" si="84"/>
        <v>0</v>
      </c>
      <c r="N182" s="3">
        <f t="shared" si="85"/>
        <v>0</v>
      </c>
      <c r="O182" s="32"/>
      <c r="P182" s="3" cm="1">
        <f t="array" ref="P182">SUMPRODUCT(--(MOD(B182:G182,2)=1))</f>
        <v>0</v>
      </c>
      <c r="Q182" s="3">
        <f t="shared" si="86"/>
        <v>6</v>
      </c>
      <c r="R182" s="34"/>
      <c r="S182" s="3">
        <f t="shared" si="87"/>
        <v>0</v>
      </c>
      <c r="T182" s="3">
        <f t="shared" si="88"/>
        <v>6</v>
      </c>
      <c r="U182" s="34"/>
      <c r="V182" s="3" cm="1">
        <f t="array" ref="V182">SUMPRODUCT(--(MOD(B182:G182,10)&gt;=1), --(MOD(B182:G182,10)&lt;=5))</f>
        <v>0</v>
      </c>
      <c r="W182" s="3">
        <f t="shared" si="89"/>
        <v>6</v>
      </c>
      <c r="X182" s="34"/>
      <c r="Y182" s="3" cm="1">
        <f t="array" ref="Y182">IFERROR(COUNT(_xlfn._xlws.FILTER(B182:G182, ISNUMBER(MATCH(B182:G182, {2,3,5,7,11,13,17,19,23,29,31,37,41,43}, 0)))), 0)</f>
        <v>0</v>
      </c>
      <c r="Z182" s="3" cm="1">
        <f t="array" ref="Z182">IFERROR(COUNT(_xlfn._xlws.FILTER(B182:G182, ISNUMBER(MATCH(B182:G182, {1,4,8,10,14,16,20,22,25,26,28,32,34,35,38,40,44}, 0)))), 0)</f>
        <v>0</v>
      </c>
      <c r="AA182" s="3" cm="1">
        <f t="array" ref="AA182">IFERROR(COUNT(_xlfn._xlws.FILTER(B182:G182, ISNUMBER(MATCH(B182:G182, {6,9,12,15,18,21,24,27,30,33,36,39,42,45}, 0)))), 0)</f>
        <v>0</v>
      </c>
      <c r="AB182" s="30"/>
      <c r="AC182" s="26" cm="1">
        <f t="array" ref="AC182">_xlfn.IFS(
   OR(B182="",ISBLANK(B182),B182=0),0,
   ISNUMBER(MATCH(B182,{2,3,5,7,11,13,17,19,23,29,31,37,41,43},0)),"소",
   AND(ISNUMBER(B182),MOD(B182,3)=0),"배",
   AND(ISNUMBER(B182),B182&gt;0),"자"
)</f>
        <v>0</v>
      </c>
      <c r="AD182" s="26" cm="1">
        <f t="array" ref="AD182">_xlfn.IFS(
   OR(C182="",ISBLANK(C182),C182=0),0,
   ISNUMBER(MATCH(C182,{2,3,5,7,11,13,17,19,23,29,31,37,41,43},0)),"소",
   AND(ISNUMBER(C182),MOD(C182,3)=0),"배",
   AND(ISNUMBER(C182),C182&gt;0),"자"
)</f>
        <v>0</v>
      </c>
      <c r="AE182" s="26" cm="1">
        <f t="array" ref="AE182">_xlfn.IFS(
   OR(D182="",ISBLANK(D182),D182=0),0,
   ISNUMBER(MATCH(D182,{2,3,5,7,11,13,17,19,23,29,31,37,41,43},0)),"소",
   AND(ISNUMBER(D182),MOD(D182,3)=0),"배",
   AND(ISNUMBER(D182),D182&gt;0),"자"
)</f>
        <v>0</v>
      </c>
      <c r="AF182" s="26" cm="1">
        <f t="array" ref="AF182">_xlfn.IFS(
   OR(E182="",ISBLANK(E182),E182=0),0,
   ISNUMBER(MATCH(E182,{2,3,5,7,11,13,17,19,23,29,31,37,41,43},0)),"소",
   AND(ISNUMBER(E182),MOD(E182,3)=0),"배",
   AND(ISNUMBER(E182),E182&gt;0),"자"
)</f>
        <v>0</v>
      </c>
      <c r="AG182" s="26" cm="1">
        <f t="array" ref="AG182">_xlfn.IFS(
   OR(F182="",ISBLANK(F182),F182=0),0,
   ISNUMBER(MATCH(F182,{2,3,5,7,11,13,17,19,23,29,31,37,41,43},0)),"소",
   AND(ISNUMBER(F182),MOD(F182,3)=0),"배",
   AND(ISNUMBER(F182),F182&gt;0),"자"
)</f>
        <v>0</v>
      </c>
      <c r="AH182" s="26" cm="1">
        <f t="array" ref="AH182">_xlfn.IFS(
   OR(G182="",ISBLANK(G182),G182=0),0,
   ISNUMBER(MATCH(G182,{2,3,5,7,11,13,17,19,23,29,31,37,41,43},0)),"소",
   AND(ISNUMBER(G182),MOD(G182,3)=0),"배",
   AND(ISNUMBER(G182),G182&gt;0),"자"
)</f>
        <v>0</v>
      </c>
      <c r="AI182" s="30"/>
      <c r="AJ182" s="3">
        <f t="shared" si="90"/>
        <v>0</v>
      </c>
      <c r="AK182" s="3">
        <f t="shared" si="91"/>
        <v>0</v>
      </c>
      <c r="AL182" s="3">
        <f t="shared" si="92"/>
        <v>6</v>
      </c>
      <c r="AM182" s="33"/>
      <c r="AN182" s="3">
        <f t="shared" si="93"/>
        <v>0</v>
      </c>
      <c r="AO182" s="3">
        <f t="shared" si="94"/>
        <v>0</v>
      </c>
      <c r="AP182" s="3">
        <f t="shared" si="95"/>
        <v>0</v>
      </c>
      <c r="AQ182" s="3">
        <f t="shared" si="96"/>
        <v>0</v>
      </c>
      <c r="AR182" s="3">
        <f t="shared" si="97"/>
        <v>0</v>
      </c>
      <c r="AS182" s="28" t="e">
        <f>#REF!</f>
        <v>#REF!</v>
      </c>
      <c r="AT182" s="28" t="e">
        <f>#REF!*2</f>
        <v>#REF!</v>
      </c>
      <c r="AU182" s="28" t="e">
        <f>#REF!</f>
        <v>#REF!</v>
      </c>
      <c r="AV182" s="28" t="e">
        <f>#REF!*2</f>
        <v>#REF!</v>
      </c>
      <c r="AW182" s="28" t="e">
        <f>#REF!</f>
        <v>#REF!</v>
      </c>
      <c r="AX182" s="28" t="e">
        <f>#REF!*2</f>
        <v>#REF!</v>
      </c>
      <c r="AY182" s="28" t="e">
        <f>#REF!</f>
        <v>#REF!</v>
      </c>
      <c r="AZ182" s="28" t="e">
        <f>#REF!*2</f>
        <v>#REF!</v>
      </c>
      <c r="BA182" s="28" t="e">
        <f>#REF!</f>
        <v>#REF!</v>
      </c>
      <c r="BB182" s="28" t="e">
        <f>#REF!*2</f>
        <v>#REF!</v>
      </c>
      <c r="BC182" s="28" t="e">
        <f>#REF!</f>
        <v>#REF!</v>
      </c>
      <c r="BD182" s="28" t="e">
        <f>#REF!*2</f>
        <v>#REF!</v>
      </c>
      <c r="BE182" s="9" t="e">
        <f>#REF!-#REF!</f>
        <v>#REF!</v>
      </c>
      <c r="BF182" s="9" t="e">
        <f>#REF!-#REF!</f>
        <v>#REF!</v>
      </c>
      <c r="BG182" s="9" t="e">
        <f>#REF!-#REF!</f>
        <v>#REF!</v>
      </c>
      <c r="BH182" s="9" t="e">
        <f>#REF!-#REF!</f>
        <v>#REF!</v>
      </c>
      <c r="BI182" s="9" t="e">
        <f>#REF!-#REF!</f>
        <v>#REF!</v>
      </c>
      <c r="BJ182" s="33"/>
      <c r="BK182" s="3">
        <f t="shared" si="98"/>
        <v>0</v>
      </c>
      <c r="BL182" s="3">
        <f t="shared" si="99"/>
        <v>0</v>
      </c>
      <c r="BM182" s="3">
        <f t="shared" si="100"/>
        <v>0</v>
      </c>
      <c r="BN182" s="3">
        <f t="shared" si="101"/>
        <v>0</v>
      </c>
      <c r="BO182" s="3">
        <f t="shared" si="102"/>
        <v>0</v>
      </c>
      <c r="BP182" s="28" t="e">
        <f>#REF!</f>
        <v>#REF!</v>
      </c>
      <c r="BQ182" s="28" t="e">
        <f>#REF!*2</f>
        <v>#REF!</v>
      </c>
      <c r="BR182" s="28" t="e">
        <f>#REF!</f>
        <v>#REF!</v>
      </c>
      <c r="BS182" s="28" t="e">
        <f>#REF!*2</f>
        <v>#REF!</v>
      </c>
      <c r="BT182" s="28" t="e">
        <f>#REF!</f>
        <v>#REF!</v>
      </c>
      <c r="BU182" s="28" t="e">
        <f>#REF!*2</f>
        <v>#REF!</v>
      </c>
      <c r="BV182" s="28" t="e">
        <f>#REF!</f>
        <v>#REF!</v>
      </c>
      <c r="BW182" s="28" t="e">
        <f>#REF!*2</f>
        <v>#REF!</v>
      </c>
      <c r="BX182" s="28" t="e">
        <f>#REF!</f>
        <v>#REF!</v>
      </c>
      <c r="BY182" s="28" t="e">
        <f>#REF!*2</f>
        <v>#REF!</v>
      </c>
      <c r="BZ182" s="28" t="e">
        <f>#REF!</f>
        <v>#REF!</v>
      </c>
      <c r="CA182" s="28" t="e">
        <f>#REF!*2</f>
        <v>#REF!</v>
      </c>
      <c r="CB182" s="9">
        <f t="shared" si="103"/>
        <v>0</v>
      </c>
      <c r="CC182" s="9">
        <f t="shared" si="104"/>
        <v>0</v>
      </c>
      <c r="CD182" s="9">
        <f t="shared" si="105"/>
        <v>0</v>
      </c>
      <c r="CE182" s="9">
        <f t="shared" si="106"/>
        <v>0</v>
      </c>
      <c r="CF182" s="9">
        <f t="shared" si="107"/>
        <v>0</v>
      </c>
      <c r="CG182" s="33"/>
      <c r="CH182" s="9">
        <f t="shared" si="108"/>
        <v>0</v>
      </c>
      <c r="CI182" s="9">
        <f t="shared" si="109"/>
        <v>0</v>
      </c>
      <c r="CJ182" s="9">
        <f t="shared" si="110"/>
        <v>0</v>
      </c>
      <c r="CK182" s="9">
        <f t="shared" si="111"/>
        <v>0</v>
      </c>
      <c r="CL182" s="9">
        <f t="shared" si="112"/>
        <v>0</v>
      </c>
      <c r="CM182" s="32"/>
      <c r="CN182" s="3">
        <f t="shared" si="113"/>
        <v>0</v>
      </c>
      <c r="CO182" s="3">
        <f t="shared" si="114"/>
        <v>0</v>
      </c>
      <c r="CP182" s="3">
        <f t="shared" si="115"/>
        <v>0</v>
      </c>
      <c r="CQ182" s="3">
        <f t="shared" si="116"/>
        <v>0</v>
      </c>
      <c r="CR182" s="3">
        <f t="shared" si="117"/>
        <v>0</v>
      </c>
      <c r="CS182" s="31"/>
      <c r="CT182" s="3" cm="1">
        <f t="array" ref="CT182">SUMPRODUCT(--(MOD(CH182:CL182,2)=1))</f>
        <v>0</v>
      </c>
      <c r="CU182" s="3">
        <f t="shared" si="118"/>
        <v>5</v>
      </c>
      <c r="CV182" s="30"/>
      <c r="CW182" s="3" cm="1">
        <f t="array" ref="CW182">SUMPRODUCT(--(MOD(CH182:CL182,10)&gt;=1), --(MOD(CH182:CL182,10)&lt;=5))</f>
        <v>0</v>
      </c>
      <c r="CX182" s="3">
        <f t="shared" si="119"/>
        <v>5</v>
      </c>
      <c r="CY182" s="30"/>
      <c r="CZ182" s="3" cm="1">
        <f t="array" ref="CZ182">IFERROR(COUNT(_xlfn._xlws.FILTER(CH182:CL182, ISNUMBER(MATCH(CH182:CL182, {2,3,5,7,11,13,17,19,23,29,31,37,41,43}, 0)))), 0)</f>
        <v>0</v>
      </c>
      <c r="DA182" s="3" cm="1">
        <f t="array" ref="DA182">IFERROR(COUNT(_xlfn._xlws.FILTER(CH182:CL182, ISNUMBER(MATCH(CH182:CL182, {1,4,8,10,14,16,20,22,25,26,28,32,34,35,38,40,44}, 0)))), 0)</f>
        <v>0</v>
      </c>
      <c r="DB182" s="3" cm="1">
        <f t="array" ref="DB182">IFERROR(COUNT(_xlfn._xlws.FILTER(CH182:CL182, ISNUMBER(MATCH(CH182:CL182, {6,9,12,15,18,21,24,27,30,33,36,39,42,45}, 0)))), 0)</f>
        <v>0</v>
      </c>
      <c r="DC182" s="29"/>
      <c r="DD182" s="28" t="e">
        <f>#REF!</f>
        <v>#REF!</v>
      </c>
      <c r="DE182" s="28" t="e">
        <f>#REF!*2</f>
        <v>#REF!</v>
      </c>
      <c r="DF182" s="28" t="e">
        <f>#REF!</f>
        <v>#REF!</v>
      </c>
      <c r="DG182" s="28" t="e">
        <f>#REF!*2</f>
        <v>#REF!</v>
      </c>
      <c r="DH182" s="28" t="e">
        <f>#REF!</f>
        <v>#REF!</v>
      </c>
      <c r="DI182" s="28" t="e">
        <f>#REF!*2</f>
        <v>#REF!</v>
      </c>
      <c r="DJ182" s="28" t="e">
        <f>#REF!</f>
        <v>#REF!</v>
      </c>
      <c r="DK182" s="28" t="e">
        <f>#REF!*2</f>
        <v>#REF!</v>
      </c>
      <c r="DL182" s="28" t="e">
        <f>#REF!</f>
        <v>#REF!</v>
      </c>
      <c r="DM182" s="28" t="e">
        <f>#REF!*2</f>
        <v>#REF!</v>
      </c>
      <c r="DN182" s="27"/>
      <c r="DO182" s="26"/>
      <c r="DP182" s="26"/>
      <c r="DQ182" s="26"/>
      <c r="DR182" s="26"/>
      <c r="DS182" s="26"/>
      <c r="DT182" s="25"/>
    </row>
    <row r="183" spans="2:124" x14ac:dyDescent="0.3"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2"/>
      <c r="I183" s="3">
        <f t="shared" si="80"/>
        <v>0</v>
      </c>
      <c r="J183" s="3">
        <f t="shared" si="81"/>
        <v>0</v>
      </c>
      <c r="K183" s="3">
        <f t="shared" si="82"/>
        <v>0</v>
      </c>
      <c r="L183" s="3">
        <f t="shared" si="83"/>
        <v>0</v>
      </c>
      <c r="M183" s="3">
        <f t="shared" si="84"/>
        <v>0</v>
      </c>
      <c r="N183" s="3">
        <f t="shared" si="85"/>
        <v>0</v>
      </c>
      <c r="O183" s="32"/>
      <c r="P183" s="3" cm="1">
        <f t="array" ref="P183">SUMPRODUCT(--(MOD(B183:G183,2)=1))</f>
        <v>0</v>
      </c>
      <c r="Q183" s="3">
        <f t="shared" si="86"/>
        <v>6</v>
      </c>
      <c r="R183" s="34"/>
      <c r="S183" s="3">
        <f t="shared" si="87"/>
        <v>0</v>
      </c>
      <c r="T183" s="3">
        <f t="shared" si="88"/>
        <v>6</v>
      </c>
      <c r="U183" s="34"/>
      <c r="V183" s="3" cm="1">
        <f t="array" ref="V183">SUMPRODUCT(--(MOD(B183:G183,10)&gt;=1), --(MOD(B183:G183,10)&lt;=5))</f>
        <v>0</v>
      </c>
      <c r="W183" s="3">
        <f t="shared" si="89"/>
        <v>6</v>
      </c>
      <c r="X183" s="34"/>
      <c r="Y183" s="3" cm="1">
        <f t="array" ref="Y183">IFERROR(COUNT(_xlfn._xlws.FILTER(B183:G183, ISNUMBER(MATCH(B183:G183, {2,3,5,7,11,13,17,19,23,29,31,37,41,43}, 0)))), 0)</f>
        <v>0</v>
      </c>
      <c r="Z183" s="3" cm="1">
        <f t="array" ref="Z183">IFERROR(COUNT(_xlfn._xlws.FILTER(B183:G183, ISNUMBER(MATCH(B183:G183, {1,4,8,10,14,16,20,22,25,26,28,32,34,35,38,40,44}, 0)))), 0)</f>
        <v>0</v>
      </c>
      <c r="AA183" s="3" cm="1">
        <f t="array" ref="AA183">IFERROR(COUNT(_xlfn._xlws.FILTER(B183:G183, ISNUMBER(MATCH(B183:G183, {6,9,12,15,18,21,24,27,30,33,36,39,42,45}, 0)))), 0)</f>
        <v>0</v>
      </c>
      <c r="AB183" s="30"/>
      <c r="AC183" s="26" cm="1">
        <f t="array" ref="AC183">_xlfn.IFS(
   OR(B183="",ISBLANK(B183),B183=0),0,
   ISNUMBER(MATCH(B183,{2,3,5,7,11,13,17,19,23,29,31,37,41,43},0)),"소",
   AND(ISNUMBER(B183),MOD(B183,3)=0),"배",
   AND(ISNUMBER(B183),B183&gt;0),"자"
)</f>
        <v>0</v>
      </c>
      <c r="AD183" s="26" cm="1">
        <f t="array" ref="AD183">_xlfn.IFS(
   OR(C183="",ISBLANK(C183),C183=0),0,
   ISNUMBER(MATCH(C183,{2,3,5,7,11,13,17,19,23,29,31,37,41,43},0)),"소",
   AND(ISNUMBER(C183),MOD(C183,3)=0),"배",
   AND(ISNUMBER(C183),C183&gt;0),"자"
)</f>
        <v>0</v>
      </c>
      <c r="AE183" s="26" cm="1">
        <f t="array" ref="AE183">_xlfn.IFS(
   OR(D183="",ISBLANK(D183),D183=0),0,
   ISNUMBER(MATCH(D183,{2,3,5,7,11,13,17,19,23,29,31,37,41,43},0)),"소",
   AND(ISNUMBER(D183),MOD(D183,3)=0),"배",
   AND(ISNUMBER(D183),D183&gt;0),"자"
)</f>
        <v>0</v>
      </c>
      <c r="AF183" s="26" cm="1">
        <f t="array" ref="AF183">_xlfn.IFS(
   OR(E183="",ISBLANK(E183),E183=0),0,
   ISNUMBER(MATCH(E183,{2,3,5,7,11,13,17,19,23,29,31,37,41,43},0)),"소",
   AND(ISNUMBER(E183),MOD(E183,3)=0),"배",
   AND(ISNUMBER(E183),E183&gt;0),"자"
)</f>
        <v>0</v>
      </c>
      <c r="AG183" s="26" cm="1">
        <f t="array" ref="AG183">_xlfn.IFS(
   OR(F183="",ISBLANK(F183),F183=0),0,
   ISNUMBER(MATCH(F183,{2,3,5,7,11,13,17,19,23,29,31,37,41,43},0)),"소",
   AND(ISNUMBER(F183),MOD(F183,3)=0),"배",
   AND(ISNUMBER(F183),F183&gt;0),"자"
)</f>
        <v>0</v>
      </c>
      <c r="AH183" s="26" cm="1">
        <f t="array" ref="AH183">_xlfn.IFS(
   OR(G183="",ISBLANK(G183),G183=0),0,
   ISNUMBER(MATCH(G183,{2,3,5,7,11,13,17,19,23,29,31,37,41,43},0)),"소",
   AND(ISNUMBER(G183),MOD(G183,3)=0),"배",
   AND(ISNUMBER(G183),G183&gt;0),"자"
)</f>
        <v>0</v>
      </c>
      <c r="AI183" s="30"/>
      <c r="AJ183" s="3">
        <f t="shared" si="90"/>
        <v>0</v>
      </c>
      <c r="AK183" s="3">
        <f t="shared" si="91"/>
        <v>0</v>
      </c>
      <c r="AL183" s="3">
        <f t="shared" si="92"/>
        <v>6</v>
      </c>
      <c r="AM183" s="33"/>
      <c r="AN183" s="3">
        <f t="shared" si="93"/>
        <v>0</v>
      </c>
      <c r="AO183" s="3">
        <f t="shared" si="94"/>
        <v>0</v>
      </c>
      <c r="AP183" s="3">
        <f t="shared" si="95"/>
        <v>0</v>
      </c>
      <c r="AQ183" s="3">
        <f t="shared" si="96"/>
        <v>0</v>
      </c>
      <c r="AR183" s="3">
        <f t="shared" si="97"/>
        <v>0</v>
      </c>
      <c r="AS183" s="28" t="e">
        <f>#REF!</f>
        <v>#REF!</v>
      </c>
      <c r="AT183" s="28" t="e">
        <f>#REF!*2</f>
        <v>#REF!</v>
      </c>
      <c r="AU183" s="28" t="e">
        <f>#REF!</f>
        <v>#REF!</v>
      </c>
      <c r="AV183" s="28" t="e">
        <f>#REF!*2</f>
        <v>#REF!</v>
      </c>
      <c r="AW183" s="28" t="e">
        <f>#REF!</f>
        <v>#REF!</v>
      </c>
      <c r="AX183" s="28" t="e">
        <f>#REF!*2</f>
        <v>#REF!</v>
      </c>
      <c r="AY183" s="28" t="e">
        <f>#REF!</f>
        <v>#REF!</v>
      </c>
      <c r="AZ183" s="28" t="e">
        <f>#REF!*2</f>
        <v>#REF!</v>
      </c>
      <c r="BA183" s="28" t="e">
        <f>#REF!</f>
        <v>#REF!</v>
      </c>
      <c r="BB183" s="28" t="e">
        <f>#REF!*2</f>
        <v>#REF!</v>
      </c>
      <c r="BC183" s="28" t="e">
        <f>#REF!</f>
        <v>#REF!</v>
      </c>
      <c r="BD183" s="28" t="e">
        <f>#REF!*2</f>
        <v>#REF!</v>
      </c>
      <c r="BE183" s="9" t="e">
        <f>#REF!-#REF!</f>
        <v>#REF!</v>
      </c>
      <c r="BF183" s="9" t="e">
        <f>#REF!-#REF!</f>
        <v>#REF!</v>
      </c>
      <c r="BG183" s="9" t="e">
        <f>#REF!-#REF!</f>
        <v>#REF!</v>
      </c>
      <c r="BH183" s="9" t="e">
        <f>#REF!-#REF!</f>
        <v>#REF!</v>
      </c>
      <c r="BI183" s="9" t="e">
        <f>#REF!-#REF!</f>
        <v>#REF!</v>
      </c>
      <c r="BJ183" s="33"/>
      <c r="BK183" s="3">
        <f t="shared" si="98"/>
        <v>0</v>
      </c>
      <c r="BL183" s="3">
        <f t="shared" si="99"/>
        <v>0</v>
      </c>
      <c r="BM183" s="3">
        <f t="shared" si="100"/>
        <v>0</v>
      </c>
      <c r="BN183" s="3">
        <f t="shared" si="101"/>
        <v>0</v>
      </c>
      <c r="BO183" s="3">
        <f t="shared" si="102"/>
        <v>0</v>
      </c>
      <c r="BP183" s="28" t="e">
        <f>#REF!</f>
        <v>#REF!</v>
      </c>
      <c r="BQ183" s="28" t="e">
        <f>#REF!*2</f>
        <v>#REF!</v>
      </c>
      <c r="BR183" s="28" t="e">
        <f>#REF!</f>
        <v>#REF!</v>
      </c>
      <c r="BS183" s="28" t="e">
        <f>#REF!*2</f>
        <v>#REF!</v>
      </c>
      <c r="BT183" s="28" t="e">
        <f>#REF!</f>
        <v>#REF!</v>
      </c>
      <c r="BU183" s="28" t="e">
        <f>#REF!*2</f>
        <v>#REF!</v>
      </c>
      <c r="BV183" s="28" t="e">
        <f>#REF!</f>
        <v>#REF!</v>
      </c>
      <c r="BW183" s="28" t="e">
        <f>#REF!*2</f>
        <v>#REF!</v>
      </c>
      <c r="BX183" s="28" t="e">
        <f>#REF!</f>
        <v>#REF!</v>
      </c>
      <c r="BY183" s="28" t="e">
        <f>#REF!*2</f>
        <v>#REF!</v>
      </c>
      <c r="BZ183" s="28" t="e">
        <f>#REF!</f>
        <v>#REF!</v>
      </c>
      <c r="CA183" s="28" t="e">
        <f>#REF!*2</f>
        <v>#REF!</v>
      </c>
      <c r="CB183" s="9">
        <f t="shared" si="103"/>
        <v>0</v>
      </c>
      <c r="CC183" s="9">
        <f t="shared" si="104"/>
        <v>0</v>
      </c>
      <c r="CD183" s="9">
        <f t="shared" si="105"/>
        <v>0</v>
      </c>
      <c r="CE183" s="9">
        <f t="shared" si="106"/>
        <v>0</v>
      </c>
      <c r="CF183" s="9">
        <f t="shared" si="107"/>
        <v>0</v>
      </c>
      <c r="CG183" s="33"/>
      <c r="CH183" s="9">
        <f t="shared" si="108"/>
        <v>0</v>
      </c>
      <c r="CI183" s="9">
        <f t="shared" si="109"/>
        <v>0</v>
      </c>
      <c r="CJ183" s="9">
        <f t="shared" si="110"/>
        <v>0</v>
      </c>
      <c r="CK183" s="9">
        <f t="shared" si="111"/>
        <v>0</v>
      </c>
      <c r="CL183" s="9">
        <f t="shared" si="112"/>
        <v>0</v>
      </c>
      <c r="CM183" s="32"/>
      <c r="CN183" s="3">
        <f t="shared" si="113"/>
        <v>0</v>
      </c>
      <c r="CO183" s="3">
        <f t="shared" si="114"/>
        <v>0</v>
      </c>
      <c r="CP183" s="3">
        <f t="shared" si="115"/>
        <v>0</v>
      </c>
      <c r="CQ183" s="3">
        <f t="shared" si="116"/>
        <v>0</v>
      </c>
      <c r="CR183" s="3">
        <f t="shared" si="117"/>
        <v>0</v>
      </c>
      <c r="CS183" s="31"/>
      <c r="CT183" s="3" cm="1">
        <f t="array" ref="CT183">SUMPRODUCT(--(MOD(CH183:CL183,2)=1))</f>
        <v>0</v>
      </c>
      <c r="CU183" s="3">
        <f t="shared" si="118"/>
        <v>5</v>
      </c>
      <c r="CV183" s="30"/>
      <c r="CW183" s="3" cm="1">
        <f t="array" ref="CW183">SUMPRODUCT(--(MOD(CH183:CL183,10)&gt;=1), --(MOD(CH183:CL183,10)&lt;=5))</f>
        <v>0</v>
      </c>
      <c r="CX183" s="3">
        <f t="shared" si="119"/>
        <v>5</v>
      </c>
      <c r="CY183" s="30"/>
      <c r="CZ183" s="3" cm="1">
        <f t="array" ref="CZ183">IFERROR(COUNT(_xlfn._xlws.FILTER(CH183:CL183, ISNUMBER(MATCH(CH183:CL183, {2,3,5,7,11,13,17,19,23,29,31,37,41,43}, 0)))), 0)</f>
        <v>0</v>
      </c>
      <c r="DA183" s="3" cm="1">
        <f t="array" ref="DA183">IFERROR(COUNT(_xlfn._xlws.FILTER(CH183:CL183, ISNUMBER(MATCH(CH183:CL183, {1,4,8,10,14,16,20,22,25,26,28,32,34,35,38,40,44}, 0)))), 0)</f>
        <v>0</v>
      </c>
      <c r="DB183" s="3" cm="1">
        <f t="array" ref="DB183">IFERROR(COUNT(_xlfn._xlws.FILTER(CH183:CL183, ISNUMBER(MATCH(CH183:CL183, {6,9,12,15,18,21,24,27,30,33,36,39,42,45}, 0)))), 0)</f>
        <v>0</v>
      </c>
      <c r="DC183" s="29"/>
      <c r="DD183" s="28" t="e">
        <f>#REF!</f>
        <v>#REF!</v>
      </c>
      <c r="DE183" s="28" t="e">
        <f>#REF!*2</f>
        <v>#REF!</v>
      </c>
      <c r="DF183" s="28" t="e">
        <f>#REF!</f>
        <v>#REF!</v>
      </c>
      <c r="DG183" s="28" t="e">
        <f>#REF!*2</f>
        <v>#REF!</v>
      </c>
      <c r="DH183" s="28" t="e">
        <f>#REF!</f>
        <v>#REF!</v>
      </c>
      <c r="DI183" s="28" t="e">
        <f>#REF!*2</f>
        <v>#REF!</v>
      </c>
      <c r="DJ183" s="28" t="e">
        <f>#REF!</f>
        <v>#REF!</v>
      </c>
      <c r="DK183" s="28" t="e">
        <f>#REF!*2</f>
        <v>#REF!</v>
      </c>
      <c r="DL183" s="28" t="e">
        <f>#REF!</f>
        <v>#REF!</v>
      </c>
      <c r="DM183" s="28" t="e">
        <f>#REF!*2</f>
        <v>#REF!</v>
      </c>
      <c r="DN183" s="27"/>
      <c r="DO183" s="26"/>
      <c r="DP183" s="26"/>
      <c r="DQ183" s="26"/>
      <c r="DR183" s="26"/>
      <c r="DS183" s="26"/>
      <c r="DT183" s="25"/>
    </row>
    <row r="184" spans="2:124" x14ac:dyDescent="0.3"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2"/>
      <c r="I184" s="3">
        <f t="shared" si="80"/>
        <v>0</v>
      </c>
      <c r="J184" s="3">
        <f t="shared" si="81"/>
        <v>0</v>
      </c>
      <c r="K184" s="3">
        <f t="shared" si="82"/>
        <v>0</v>
      </c>
      <c r="L184" s="3">
        <f t="shared" si="83"/>
        <v>0</v>
      </c>
      <c r="M184" s="3">
        <f t="shared" si="84"/>
        <v>0</v>
      </c>
      <c r="N184" s="3">
        <f t="shared" si="85"/>
        <v>0</v>
      </c>
      <c r="O184" s="32"/>
      <c r="P184" s="3" cm="1">
        <f t="array" ref="P184">SUMPRODUCT(--(MOD(B184:G184,2)=1))</f>
        <v>0</v>
      </c>
      <c r="Q184" s="3">
        <f t="shared" si="86"/>
        <v>6</v>
      </c>
      <c r="R184" s="34"/>
      <c r="S184" s="3">
        <f t="shared" si="87"/>
        <v>0</v>
      </c>
      <c r="T184" s="3">
        <f t="shared" si="88"/>
        <v>6</v>
      </c>
      <c r="U184" s="34"/>
      <c r="V184" s="3" cm="1">
        <f t="array" ref="V184">SUMPRODUCT(--(MOD(B184:G184,10)&gt;=1), --(MOD(B184:G184,10)&lt;=5))</f>
        <v>0</v>
      </c>
      <c r="W184" s="3">
        <f t="shared" si="89"/>
        <v>6</v>
      </c>
      <c r="X184" s="34"/>
      <c r="Y184" s="3" cm="1">
        <f t="array" ref="Y184">IFERROR(COUNT(_xlfn._xlws.FILTER(B184:G184, ISNUMBER(MATCH(B184:G184, {2,3,5,7,11,13,17,19,23,29,31,37,41,43}, 0)))), 0)</f>
        <v>0</v>
      </c>
      <c r="Z184" s="3" cm="1">
        <f t="array" ref="Z184">IFERROR(COUNT(_xlfn._xlws.FILTER(B184:G184, ISNUMBER(MATCH(B184:G184, {1,4,8,10,14,16,20,22,25,26,28,32,34,35,38,40,44}, 0)))), 0)</f>
        <v>0</v>
      </c>
      <c r="AA184" s="3" cm="1">
        <f t="array" ref="AA184">IFERROR(COUNT(_xlfn._xlws.FILTER(B184:G184, ISNUMBER(MATCH(B184:G184, {6,9,12,15,18,21,24,27,30,33,36,39,42,45}, 0)))), 0)</f>
        <v>0</v>
      </c>
      <c r="AB184" s="30"/>
      <c r="AC184" s="26" cm="1">
        <f t="array" ref="AC184">_xlfn.IFS(
   OR(B184="",ISBLANK(B184),B184=0),0,
   ISNUMBER(MATCH(B184,{2,3,5,7,11,13,17,19,23,29,31,37,41,43},0)),"소",
   AND(ISNUMBER(B184),MOD(B184,3)=0),"배",
   AND(ISNUMBER(B184),B184&gt;0),"자"
)</f>
        <v>0</v>
      </c>
      <c r="AD184" s="26" cm="1">
        <f t="array" ref="AD184">_xlfn.IFS(
   OR(C184="",ISBLANK(C184),C184=0),0,
   ISNUMBER(MATCH(C184,{2,3,5,7,11,13,17,19,23,29,31,37,41,43},0)),"소",
   AND(ISNUMBER(C184),MOD(C184,3)=0),"배",
   AND(ISNUMBER(C184),C184&gt;0),"자"
)</f>
        <v>0</v>
      </c>
      <c r="AE184" s="26" cm="1">
        <f t="array" ref="AE184">_xlfn.IFS(
   OR(D184="",ISBLANK(D184),D184=0),0,
   ISNUMBER(MATCH(D184,{2,3,5,7,11,13,17,19,23,29,31,37,41,43},0)),"소",
   AND(ISNUMBER(D184),MOD(D184,3)=0),"배",
   AND(ISNUMBER(D184),D184&gt;0),"자"
)</f>
        <v>0</v>
      </c>
      <c r="AF184" s="26" cm="1">
        <f t="array" ref="AF184">_xlfn.IFS(
   OR(E184="",ISBLANK(E184),E184=0),0,
   ISNUMBER(MATCH(E184,{2,3,5,7,11,13,17,19,23,29,31,37,41,43},0)),"소",
   AND(ISNUMBER(E184),MOD(E184,3)=0),"배",
   AND(ISNUMBER(E184),E184&gt;0),"자"
)</f>
        <v>0</v>
      </c>
      <c r="AG184" s="26" cm="1">
        <f t="array" ref="AG184">_xlfn.IFS(
   OR(F184="",ISBLANK(F184),F184=0),0,
   ISNUMBER(MATCH(F184,{2,3,5,7,11,13,17,19,23,29,31,37,41,43},0)),"소",
   AND(ISNUMBER(F184),MOD(F184,3)=0),"배",
   AND(ISNUMBER(F184),F184&gt;0),"자"
)</f>
        <v>0</v>
      </c>
      <c r="AH184" s="26" cm="1">
        <f t="array" ref="AH184">_xlfn.IFS(
   OR(G184="",ISBLANK(G184),G184=0),0,
   ISNUMBER(MATCH(G184,{2,3,5,7,11,13,17,19,23,29,31,37,41,43},0)),"소",
   AND(ISNUMBER(G184),MOD(G184,3)=0),"배",
   AND(ISNUMBER(G184),G184&gt;0),"자"
)</f>
        <v>0</v>
      </c>
      <c r="AI184" s="30"/>
      <c r="AJ184" s="3">
        <f t="shared" si="90"/>
        <v>0</v>
      </c>
      <c r="AK184" s="3">
        <f t="shared" si="91"/>
        <v>0</v>
      </c>
      <c r="AL184" s="3">
        <f t="shared" si="92"/>
        <v>6</v>
      </c>
      <c r="AM184" s="33"/>
      <c r="AN184" s="3">
        <f t="shared" si="93"/>
        <v>0</v>
      </c>
      <c r="AO184" s="3">
        <f t="shared" si="94"/>
        <v>0</v>
      </c>
      <c r="AP184" s="3">
        <f t="shared" si="95"/>
        <v>0</v>
      </c>
      <c r="AQ184" s="3">
        <f t="shared" si="96"/>
        <v>0</v>
      </c>
      <c r="AR184" s="3">
        <f t="shared" si="97"/>
        <v>0</v>
      </c>
      <c r="AS184" s="28" t="e">
        <f>#REF!</f>
        <v>#REF!</v>
      </c>
      <c r="AT184" s="28" t="e">
        <f>#REF!*2</f>
        <v>#REF!</v>
      </c>
      <c r="AU184" s="28" t="e">
        <f>#REF!</f>
        <v>#REF!</v>
      </c>
      <c r="AV184" s="28" t="e">
        <f>#REF!*2</f>
        <v>#REF!</v>
      </c>
      <c r="AW184" s="28" t="e">
        <f>#REF!</f>
        <v>#REF!</v>
      </c>
      <c r="AX184" s="28" t="e">
        <f>#REF!*2</f>
        <v>#REF!</v>
      </c>
      <c r="AY184" s="28" t="e">
        <f>#REF!</f>
        <v>#REF!</v>
      </c>
      <c r="AZ184" s="28" t="e">
        <f>#REF!*2</f>
        <v>#REF!</v>
      </c>
      <c r="BA184" s="28" t="e">
        <f>#REF!</f>
        <v>#REF!</v>
      </c>
      <c r="BB184" s="28" t="e">
        <f>#REF!*2</f>
        <v>#REF!</v>
      </c>
      <c r="BC184" s="28" t="e">
        <f>#REF!</f>
        <v>#REF!</v>
      </c>
      <c r="BD184" s="28" t="e">
        <f>#REF!*2</f>
        <v>#REF!</v>
      </c>
      <c r="BE184" s="9" t="e">
        <f>#REF!-#REF!</f>
        <v>#REF!</v>
      </c>
      <c r="BF184" s="9" t="e">
        <f>#REF!-#REF!</f>
        <v>#REF!</v>
      </c>
      <c r="BG184" s="9" t="e">
        <f>#REF!-#REF!</f>
        <v>#REF!</v>
      </c>
      <c r="BH184" s="9" t="e">
        <f>#REF!-#REF!</f>
        <v>#REF!</v>
      </c>
      <c r="BI184" s="9" t="e">
        <f>#REF!-#REF!</f>
        <v>#REF!</v>
      </c>
      <c r="BJ184" s="33"/>
      <c r="BK184" s="3">
        <f t="shared" si="98"/>
        <v>0</v>
      </c>
      <c r="BL184" s="3">
        <f t="shared" si="99"/>
        <v>0</v>
      </c>
      <c r="BM184" s="3">
        <f t="shared" si="100"/>
        <v>0</v>
      </c>
      <c r="BN184" s="3">
        <f t="shared" si="101"/>
        <v>0</v>
      </c>
      <c r="BO184" s="3">
        <f t="shared" si="102"/>
        <v>0</v>
      </c>
      <c r="BP184" s="28" t="e">
        <f>#REF!</f>
        <v>#REF!</v>
      </c>
      <c r="BQ184" s="28" t="e">
        <f>#REF!*2</f>
        <v>#REF!</v>
      </c>
      <c r="BR184" s="28" t="e">
        <f>#REF!</f>
        <v>#REF!</v>
      </c>
      <c r="BS184" s="28" t="e">
        <f>#REF!*2</f>
        <v>#REF!</v>
      </c>
      <c r="BT184" s="28" t="e">
        <f>#REF!</f>
        <v>#REF!</v>
      </c>
      <c r="BU184" s="28" t="e">
        <f>#REF!*2</f>
        <v>#REF!</v>
      </c>
      <c r="BV184" s="28" t="e">
        <f>#REF!</f>
        <v>#REF!</v>
      </c>
      <c r="BW184" s="28" t="e">
        <f>#REF!*2</f>
        <v>#REF!</v>
      </c>
      <c r="BX184" s="28" t="e">
        <f>#REF!</f>
        <v>#REF!</v>
      </c>
      <c r="BY184" s="28" t="e">
        <f>#REF!*2</f>
        <v>#REF!</v>
      </c>
      <c r="BZ184" s="28" t="e">
        <f>#REF!</f>
        <v>#REF!</v>
      </c>
      <c r="CA184" s="28" t="e">
        <f>#REF!*2</f>
        <v>#REF!</v>
      </c>
      <c r="CB184" s="9">
        <f t="shared" si="103"/>
        <v>0</v>
      </c>
      <c r="CC184" s="9">
        <f t="shared" si="104"/>
        <v>0</v>
      </c>
      <c r="CD184" s="9">
        <f t="shared" si="105"/>
        <v>0</v>
      </c>
      <c r="CE184" s="9">
        <f t="shared" si="106"/>
        <v>0</v>
      </c>
      <c r="CF184" s="9">
        <f t="shared" si="107"/>
        <v>0</v>
      </c>
      <c r="CG184" s="33"/>
      <c r="CH184" s="9">
        <f t="shared" si="108"/>
        <v>0</v>
      </c>
      <c r="CI184" s="9">
        <f t="shared" si="109"/>
        <v>0</v>
      </c>
      <c r="CJ184" s="9">
        <f t="shared" si="110"/>
        <v>0</v>
      </c>
      <c r="CK184" s="9">
        <f t="shared" si="111"/>
        <v>0</v>
      </c>
      <c r="CL184" s="9">
        <f t="shared" si="112"/>
        <v>0</v>
      </c>
      <c r="CM184" s="32"/>
      <c r="CN184" s="3">
        <f t="shared" si="113"/>
        <v>0</v>
      </c>
      <c r="CO184" s="3">
        <f t="shared" si="114"/>
        <v>0</v>
      </c>
      <c r="CP184" s="3">
        <f t="shared" si="115"/>
        <v>0</v>
      </c>
      <c r="CQ184" s="3">
        <f t="shared" si="116"/>
        <v>0</v>
      </c>
      <c r="CR184" s="3">
        <f t="shared" si="117"/>
        <v>0</v>
      </c>
      <c r="CS184" s="31"/>
      <c r="CT184" s="3" cm="1">
        <f t="array" ref="CT184">SUMPRODUCT(--(MOD(CH184:CL184,2)=1))</f>
        <v>0</v>
      </c>
      <c r="CU184" s="3">
        <f t="shared" si="118"/>
        <v>5</v>
      </c>
      <c r="CV184" s="30"/>
      <c r="CW184" s="3" cm="1">
        <f t="array" ref="CW184">SUMPRODUCT(--(MOD(CH184:CL184,10)&gt;=1), --(MOD(CH184:CL184,10)&lt;=5))</f>
        <v>0</v>
      </c>
      <c r="CX184" s="3">
        <f t="shared" si="119"/>
        <v>5</v>
      </c>
      <c r="CY184" s="30"/>
      <c r="CZ184" s="3" cm="1">
        <f t="array" ref="CZ184">IFERROR(COUNT(_xlfn._xlws.FILTER(CH184:CL184, ISNUMBER(MATCH(CH184:CL184, {2,3,5,7,11,13,17,19,23,29,31,37,41,43}, 0)))), 0)</f>
        <v>0</v>
      </c>
      <c r="DA184" s="3" cm="1">
        <f t="array" ref="DA184">IFERROR(COUNT(_xlfn._xlws.FILTER(CH184:CL184, ISNUMBER(MATCH(CH184:CL184, {1,4,8,10,14,16,20,22,25,26,28,32,34,35,38,40,44}, 0)))), 0)</f>
        <v>0</v>
      </c>
      <c r="DB184" s="3" cm="1">
        <f t="array" ref="DB184">IFERROR(COUNT(_xlfn._xlws.FILTER(CH184:CL184, ISNUMBER(MATCH(CH184:CL184, {6,9,12,15,18,21,24,27,30,33,36,39,42,45}, 0)))), 0)</f>
        <v>0</v>
      </c>
      <c r="DC184" s="29"/>
      <c r="DD184" s="28" t="e">
        <f>#REF!</f>
        <v>#REF!</v>
      </c>
      <c r="DE184" s="28" t="e">
        <f>#REF!*2</f>
        <v>#REF!</v>
      </c>
      <c r="DF184" s="28" t="e">
        <f>#REF!</f>
        <v>#REF!</v>
      </c>
      <c r="DG184" s="28" t="e">
        <f>#REF!*2</f>
        <v>#REF!</v>
      </c>
      <c r="DH184" s="28" t="e">
        <f>#REF!</f>
        <v>#REF!</v>
      </c>
      <c r="DI184" s="28" t="e">
        <f>#REF!*2</f>
        <v>#REF!</v>
      </c>
      <c r="DJ184" s="28" t="e">
        <f>#REF!</f>
        <v>#REF!</v>
      </c>
      <c r="DK184" s="28" t="e">
        <f>#REF!*2</f>
        <v>#REF!</v>
      </c>
      <c r="DL184" s="28" t="e">
        <f>#REF!</f>
        <v>#REF!</v>
      </c>
      <c r="DM184" s="28" t="e">
        <f>#REF!*2</f>
        <v>#REF!</v>
      </c>
      <c r="DN184" s="27"/>
      <c r="DO184" s="26"/>
      <c r="DP184" s="26"/>
      <c r="DQ184" s="26"/>
      <c r="DR184" s="26"/>
      <c r="DS184" s="26"/>
      <c r="DT184" s="25"/>
    </row>
    <row r="185" spans="2:124" x14ac:dyDescent="0.3"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2"/>
      <c r="I185" s="3">
        <f t="shared" si="80"/>
        <v>0</v>
      </c>
      <c r="J185" s="3">
        <f t="shared" si="81"/>
        <v>0</v>
      </c>
      <c r="K185" s="3">
        <f t="shared" si="82"/>
        <v>0</v>
      </c>
      <c r="L185" s="3">
        <f t="shared" si="83"/>
        <v>0</v>
      </c>
      <c r="M185" s="3">
        <f t="shared" si="84"/>
        <v>0</v>
      </c>
      <c r="N185" s="3">
        <f t="shared" si="85"/>
        <v>0</v>
      </c>
      <c r="O185" s="32"/>
      <c r="P185" s="3" cm="1">
        <f t="array" ref="P185">SUMPRODUCT(--(MOD(B185:G185,2)=1))</f>
        <v>0</v>
      </c>
      <c r="Q185" s="3">
        <f t="shared" si="86"/>
        <v>6</v>
      </c>
      <c r="R185" s="34"/>
      <c r="S185" s="3">
        <f t="shared" si="87"/>
        <v>0</v>
      </c>
      <c r="T185" s="3">
        <f t="shared" si="88"/>
        <v>6</v>
      </c>
      <c r="U185" s="34"/>
      <c r="V185" s="3" cm="1">
        <f t="array" ref="V185">SUMPRODUCT(--(MOD(B185:G185,10)&gt;=1), --(MOD(B185:G185,10)&lt;=5))</f>
        <v>0</v>
      </c>
      <c r="W185" s="3">
        <f t="shared" si="89"/>
        <v>6</v>
      </c>
      <c r="X185" s="34"/>
      <c r="Y185" s="3" cm="1">
        <f t="array" ref="Y185">IFERROR(COUNT(_xlfn._xlws.FILTER(B185:G185, ISNUMBER(MATCH(B185:G185, {2,3,5,7,11,13,17,19,23,29,31,37,41,43}, 0)))), 0)</f>
        <v>0</v>
      </c>
      <c r="Z185" s="3" cm="1">
        <f t="array" ref="Z185">IFERROR(COUNT(_xlfn._xlws.FILTER(B185:G185, ISNUMBER(MATCH(B185:G185, {1,4,8,10,14,16,20,22,25,26,28,32,34,35,38,40,44}, 0)))), 0)</f>
        <v>0</v>
      </c>
      <c r="AA185" s="3" cm="1">
        <f t="array" ref="AA185">IFERROR(COUNT(_xlfn._xlws.FILTER(B185:G185, ISNUMBER(MATCH(B185:G185, {6,9,12,15,18,21,24,27,30,33,36,39,42,45}, 0)))), 0)</f>
        <v>0</v>
      </c>
      <c r="AB185" s="30"/>
      <c r="AC185" s="26" cm="1">
        <f t="array" ref="AC185">_xlfn.IFS(
   OR(B185="",ISBLANK(B185),B185=0),0,
   ISNUMBER(MATCH(B185,{2,3,5,7,11,13,17,19,23,29,31,37,41,43},0)),"소",
   AND(ISNUMBER(B185),MOD(B185,3)=0),"배",
   AND(ISNUMBER(B185),B185&gt;0),"자"
)</f>
        <v>0</v>
      </c>
      <c r="AD185" s="26" cm="1">
        <f t="array" ref="AD185">_xlfn.IFS(
   OR(C185="",ISBLANK(C185),C185=0),0,
   ISNUMBER(MATCH(C185,{2,3,5,7,11,13,17,19,23,29,31,37,41,43},0)),"소",
   AND(ISNUMBER(C185),MOD(C185,3)=0),"배",
   AND(ISNUMBER(C185),C185&gt;0),"자"
)</f>
        <v>0</v>
      </c>
      <c r="AE185" s="26" cm="1">
        <f t="array" ref="AE185">_xlfn.IFS(
   OR(D185="",ISBLANK(D185),D185=0),0,
   ISNUMBER(MATCH(D185,{2,3,5,7,11,13,17,19,23,29,31,37,41,43},0)),"소",
   AND(ISNUMBER(D185),MOD(D185,3)=0),"배",
   AND(ISNUMBER(D185),D185&gt;0),"자"
)</f>
        <v>0</v>
      </c>
      <c r="AF185" s="26" cm="1">
        <f t="array" ref="AF185">_xlfn.IFS(
   OR(E185="",ISBLANK(E185),E185=0),0,
   ISNUMBER(MATCH(E185,{2,3,5,7,11,13,17,19,23,29,31,37,41,43},0)),"소",
   AND(ISNUMBER(E185),MOD(E185,3)=0),"배",
   AND(ISNUMBER(E185),E185&gt;0),"자"
)</f>
        <v>0</v>
      </c>
      <c r="AG185" s="26" cm="1">
        <f t="array" ref="AG185">_xlfn.IFS(
   OR(F185="",ISBLANK(F185),F185=0),0,
   ISNUMBER(MATCH(F185,{2,3,5,7,11,13,17,19,23,29,31,37,41,43},0)),"소",
   AND(ISNUMBER(F185),MOD(F185,3)=0),"배",
   AND(ISNUMBER(F185),F185&gt;0),"자"
)</f>
        <v>0</v>
      </c>
      <c r="AH185" s="26" cm="1">
        <f t="array" ref="AH185">_xlfn.IFS(
   OR(G185="",ISBLANK(G185),G185=0),0,
   ISNUMBER(MATCH(G185,{2,3,5,7,11,13,17,19,23,29,31,37,41,43},0)),"소",
   AND(ISNUMBER(G185),MOD(G185,3)=0),"배",
   AND(ISNUMBER(G185),G185&gt;0),"자"
)</f>
        <v>0</v>
      </c>
      <c r="AI185" s="30"/>
      <c r="AJ185" s="3">
        <f t="shared" si="90"/>
        <v>0</v>
      </c>
      <c r="AK185" s="3">
        <f t="shared" si="91"/>
        <v>0</v>
      </c>
      <c r="AL185" s="3">
        <f t="shared" si="92"/>
        <v>6</v>
      </c>
      <c r="AM185" s="33"/>
      <c r="AN185" s="3">
        <f t="shared" si="93"/>
        <v>0</v>
      </c>
      <c r="AO185" s="3">
        <f t="shared" si="94"/>
        <v>0</v>
      </c>
      <c r="AP185" s="3">
        <f t="shared" si="95"/>
        <v>0</v>
      </c>
      <c r="AQ185" s="3">
        <f t="shared" si="96"/>
        <v>0</v>
      </c>
      <c r="AR185" s="3">
        <f t="shared" si="97"/>
        <v>0</v>
      </c>
      <c r="AS185" s="28" t="e">
        <f>#REF!</f>
        <v>#REF!</v>
      </c>
      <c r="AT185" s="28" t="e">
        <f>#REF!*2</f>
        <v>#REF!</v>
      </c>
      <c r="AU185" s="28" t="e">
        <f>#REF!</f>
        <v>#REF!</v>
      </c>
      <c r="AV185" s="28" t="e">
        <f>#REF!*2</f>
        <v>#REF!</v>
      </c>
      <c r="AW185" s="28" t="e">
        <f>#REF!</f>
        <v>#REF!</v>
      </c>
      <c r="AX185" s="28" t="e">
        <f>#REF!*2</f>
        <v>#REF!</v>
      </c>
      <c r="AY185" s="28" t="e">
        <f>#REF!</f>
        <v>#REF!</v>
      </c>
      <c r="AZ185" s="28" t="e">
        <f>#REF!*2</f>
        <v>#REF!</v>
      </c>
      <c r="BA185" s="28" t="e">
        <f>#REF!</f>
        <v>#REF!</v>
      </c>
      <c r="BB185" s="28" t="e">
        <f>#REF!*2</f>
        <v>#REF!</v>
      </c>
      <c r="BC185" s="28" t="e">
        <f>#REF!</f>
        <v>#REF!</v>
      </c>
      <c r="BD185" s="28" t="e">
        <f>#REF!*2</f>
        <v>#REF!</v>
      </c>
      <c r="BE185" s="9" t="e">
        <f>#REF!-#REF!</f>
        <v>#REF!</v>
      </c>
      <c r="BF185" s="9" t="e">
        <f>#REF!-#REF!</f>
        <v>#REF!</v>
      </c>
      <c r="BG185" s="9" t="e">
        <f>#REF!-#REF!</f>
        <v>#REF!</v>
      </c>
      <c r="BH185" s="9" t="e">
        <f>#REF!-#REF!</f>
        <v>#REF!</v>
      </c>
      <c r="BI185" s="9" t="e">
        <f>#REF!-#REF!</f>
        <v>#REF!</v>
      </c>
      <c r="BJ185" s="33"/>
      <c r="BK185" s="3">
        <f t="shared" si="98"/>
        <v>0</v>
      </c>
      <c r="BL185" s="3">
        <f t="shared" si="99"/>
        <v>0</v>
      </c>
      <c r="BM185" s="3">
        <f t="shared" si="100"/>
        <v>0</v>
      </c>
      <c r="BN185" s="3">
        <f t="shared" si="101"/>
        <v>0</v>
      </c>
      <c r="BO185" s="3">
        <f t="shared" si="102"/>
        <v>0</v>
      </c>
      <c r="BP185" s="28" t="e">
        <f>#REF!</f>
        <v>#REF!</v>
      </c>
      <c r="BQ185" s="28" t="e">
        <f>#REF!*2</f>
        <v>#REF!</v>
      </c>
      <c r="BR185" s="28" t="e">
        <f>#REF!</f>
        <v>#REF!</v>
      </c>
      <c r="BS185" s="28" t="e">
        <f>#REF!*2</f>
        <v>#REF!</v>
      </c>
      <c r="BT185" s="28" t="e">
        <f>#REF!</f>
        <v>#REF!</v>
      </c>
      <c r="BU185" s="28" t="e">
        <f>#REF!*2</f>
        <v>#REF!</v>
      </c>
      <c r="BV185" s="28" t="e">
        <f>#REF!</f>
        <v>#REF!</v>
      </c>
      <c r="BW185" s="28" t="e">
        <f>#REF!*2</f>
        <v>#REF!</v>
      </c>
      <c r="BX185" s="28" t="e">
        <f>#REF!</f>
        <v>#REF!</v>
      </c>
      <c r="BY185" s="28" t="e">
        <f>#REF!*2</f>
        <v>#REF!</v>
      </c>
      <c r="BZ185" s="28" t="e">
        <f>#REF!</f>
        <v>#REF!</v>
      </c>
      <c r="CA185" s="28" t="e">
        <f>#REF!*2</f>
        <v>#REF!</v>
      </c>
      <c r="CB185" s="9">
        <f t="shared" si="103"/>
        <v>0</v>
      </c>
      <c r="CC185" s="9">
        <f t="shared" si="104"/>
        <v>0</v>
      </c>
      <c r="CD185" s="9">
        <f t="shared" si="105"/>
        <v>0</v>
      </c>
      <c r="CE185" s="9">
        <f t="shared" si="106"/>
        <v>0</v>
      </c>
      <c r="CF185" s="9">
        <f t="shared" si="107"/>
        <v>0</v>
      </c>
      <c r="CG185" s="33"/>
      <c r="CH185" s="9">
        <f t="shared" si="108"/>
        <v>0</v>
      </c>
      <c r="CI185" s="9">
        <f t="shared" si="109"/>
        <v>0</v>
      </c>
      <c r="CJ185" s="9">
        <f t="shared" si="110"/>
        <v>0</v>
      </c>
      <c r="CK185" s="9">
        <f t="shared" si="111"/>
        <v>0</v>
      </c>
      <c r="CL185" s="9">
        <f t="shared" si="112"/>
        <v>0</v>
      </c>
      <c r="CM185" s="32"/>
      <c r="CN185" s="3">
        <f t="shared" si="113"/>
        <v>0</v>
      </c>
      <c r="CO185" s="3">
        <f t="shared" si="114"/>
        <v>0</v>
      </c>
      <c r="CP185" s="3">
        <f t="shared" si="115"/>
        <v>0</v>
      </c>
      <c r="CQ185" s="3">
        <f t="shared" si="116"/>
        <v>0</v>
      </c>
      <c r="CR185" s="3">
        <f t="shared" si="117"/>
        <v>0</v>
      </c>
      <c r="CS185" s="31"/>
      <c r="CT185" s="3" cm="1">
        <f t="array" ref="CT185">SUMPRODUCT(--(MOD(CH185:CL185,2)=1))</f>
        <v>0</v>
      </c>
      <c r="CU185" s="3">
        <f t="shared" si="118"/>
        <v>5</v>
      </c>
      <c r="CV185" s="30"/>
      <c r="CW185" s="3" cm="1">
        <f t="array" ref="CW185">SUMPRODUCT(--(MOD(CH185:CL185,10)&gt;=1), --(MOD(CH185:CL185,10)&lt;=5))</f>
        <v>0</v>
      </c>
      <c r="CX185" s="3">
        <f t="shared" si="119"/>
        <v>5</v>
      </c>
      <c r="CY185" s="30"/>
      <c r="CZ185" s="3" cm="1">
        <f t="array" ref="CZ185">IFERROR(COUNT(_xlfn._xlws.FILTER(CH185:CL185, ISNUMBER(MATCH(CH185:CL185, {2,3,5,7,11,13,17,19,23,29,31,37,41,43}, 0)))), 0)</f>
        <v>0</v>
      </c>
      <c r="DA185" s="3" cm="1">
        <f t="array" ref="DA185">IFERROR(COUNT(_xlfn._xlws.FILTER(CH185:CL185, ISNUMBER(MATCH(CH185:CL185, {1,4,8,10,14,16,20,22,25,26,28,32,34,35,38,40,44}, 0)))), 0)</f>
        <v>0</v>
      </c>
      <c r="DB185" s="3" cm="1">
        <f t="array" ref="DB185">IFERROR(COUNT(_xlfn._xlws.FILTER(CH185:CL185, ISNUMBER(MATCH(CH185:CL185, {6,9,12,15,18,21,24,27,30,33,36,39,42,45}, 0)))), 0)</f>
        <v>0</v>
      </c>
      <c r="DC185" s="29"/>
      <c r="DD185" s="28" t="e">
        <f>#REF!</f>
        <v>#REF!</v>
      </c>
      <c r="DE185" s="28" t="e">
        <f>#REF!*2</f>
        <v>#REF!</v>
      </c>
      <c r="DF185" s="28" t="e">
        <f>#REF!</f>
        <v>#REF!</v>
      </c>
      <c r="DG185" s="28" t="e">
        <f>#REF!*2</f>
        <v>#REF!</v>
      </c>
      <c r="DH185" s="28" t="e">
        <f>#REF!</f>
        <v>#REF!</v>
      </c>
      <c r="DI185" s="28" t="e">
        <f>#REF!*2</f>
        <v>#REF!</v>
      </c>
      <c r="DJ185" s="28" t="e">
        <f>#REF!</f>
        <v>#REF!</v>
      </c>
      <c r="DK185" s="28" t="e">
        <f>#REF!*2</f>
        <v>#REF!</v>
      </c>
      <c r="DL185" s="28" t="e">
        <f>#REF!</f>
        <v>#REF!</v>
      </c>
      <c r="DM185" s="28" t="e">
        <f>#REF!*2</f>
        <v>#REF!</v>
      </c>
      <c r="DN185" s="27"/>
      <c r="DO185" s="26"/>
      <c r="DP185" s="26"/>
      <c r="DQ185" s="26"/>
      <c r="DR185" s="26"/>
      <c r="DS185" s="26"/>
      <c r="DT185" s="25"/>
    </row>
    <row r="186" spans="2:124" x14ac:dyDescent="0.3"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2"/>
      <c r="I186" s="3">
        <f t="shared" si="80"/>
        <v>0</v>
      </c>
      <c r="J186" s="3">
        <f t="shared" si="81"/>
        <v>0</v>
      </c>
      <c r="K186" s="3">
        <f t="shared" si="82"/>
        <v>0</v>
      </c>
      <c r="L186" s="3">
        <f t="shared" si="83"/>
        <v>0</v>
      </c>
      <c r="M186" s="3">
        <f t="shared" si="84"/>
        <v>0</v>
      </c>
      <c r="N186" s="3">
        <f t="shared" si="85"/>
        <v>0</v>
      </c>
      <c r="O186" s="32"/>
      <c r="P186" s="3" cm="1">
        <f t="array" ref="P186">SUMPRODUCT(--(MOD(B186:G186,2)=1))</f>
        <v>0</v>
      </c>
      <c r="Q186" s="3">
        <f t="shared" si="86"/>
        <v>6</v>
      </c>
      <c r="R186" s="34"/>
      <c r="S186" s="3">
        <f t="shared" si="87"/>
        <v>0</v>
      </c>
      <c r="T186" s="3">
        <f t="shared" si="88"/>
        <v>6</v>
      </c>
      <c r="U186" s="34"/>
      <c r="V186" s="3" cm="1">
        <f t="array" ref="V186">SUMPRODUCT(--(MOD(B186:G186,10)&gt;=1), --(MOD(B186:G186,10)&lt;=5))</f>
        <v>0</v>
      </c>
      <c r="W186" s="3">
        <f t="shared" si="89"/>
        <v>6</v>
      </c>
      <c r="X186" s="34"/>
      <c r="Y186" s="3" cm="1">
        <f t="array" ref="Y186">IFERROR(COUNT(_xlfn._xlws.FILTER(B186:G186, ISNUMBER(MATCH(B186:G186, {2,3,5,7,11,13,17,19,23,29,31,37,41,43}, 0)))), 0)</f>
        <v>0</v>
      </c>
      <c r="Z186" s="3" cm="1">
        <f t="array" ref="Z186">IFERROR(COUNT(_xlfn._xlws.FILTER(B186:G186, ISNUMBER(MATCH(B186:G186, {1,4,8,10,14,16,20,22,25,26,28,32,34,35,38,40,44}, 0)))), 0)</f>
        <v>0</v>
      </c>
      <c r="AA186" s="3" cm="1">
        <f t="array" ref="AA186">IFERROR(COUNT(_xlfn._xlws.FILTER(B186:G186, ISNUMBER(MATCH(B186:G186, {6,9,12,15,18,21,24,27,30,33,36,39,42,45}, 0)))), 0)</f>
        <v>0</v>
      </c>
      <c r="AB186" s="30"/>
      <c r="AC186" s="26" cm="1">
        <f t="array" ref="AC186">_xlfn.IFS(
   OR(B186="",ISBLANK(B186),B186=0),0,
   ISNUMBER(MATCH(B186,{2,3,5,7,11,13,17,19,23,29,31,37,41,43},0)),"소",
   AND(ISNUMBER(B186),MOD(B186,3)=0),"배",
   AND(ISNUMBER(B186),B186&gt;0),"자"
)</f>
        <v>0</v>
      </c>
      <c r="AD186" s="26" cm="1">
        <f t="array" ref="AD186">_xlfn.IFS(
   OR(C186="",ISBLANK(C186),C186=0),0,
   ISNUMBER(MATCH(C186,{2,3,5,7,11,13,17,19,23,29,31,37,41,43},0)),"소",
   AND(ISNUMBER(C186),MOD(C186,3)=0),"배",
   AND(ISNUMBER(C186),C186&gt;0),"자"
)</f>
        <v>0</v>
      </c>
      <c r="AE186" s="26" cm="1">
        <f t="array" ref="AE186">_xlfn.IFS(
   OR(D186="",ISBLANK(D186),D186=0),0,
   ISNUMBER(MATCH(D186,{2,3,5,7,11,13,17,19,23,29,31,37,41,43},0)),"소",
   AND(ISNUMBER(D186),MOD(D186,3)=0),"배",
   AND(ISNUMBER(D186),D186&gt;0),"자"
)</f>
        <v>0</v>
      </c>
      <c r="AF186" s="26" cm="1">
        <f t="array" ref="AF186">_xlfn.IFS(
   OR(E186="",ISBLANK(E186),E186=0),0,
   ISNUMBER(MATCH(E186,{2,3,5,7,11,13,17,19,23,29,31,37,41,43},0)),"소",
   AND(ISNUMBER(E186),MOD(E186,3)=0),"배",
   AND(ISNUMBER(E186),E186&gt;0),"자"
)</f>
        <v>0</v>
      </c>
      <c r="AG186" s="26" cm="1">
        <f t="array" ref="AG186">_xlfn.IFS(
   OR(F186="",ISBLANK(F186),F186=0),0,
   ISNUMBER(MATCH(F186,{2,3,5,7,11,13,17,19,23,29,31,37,41,43},0)),"소",
   AND(ISNUMBER(F186),MOD(F186,3)=0),"배",
   AND(ISNUMBER(F186),F186&gt;0),"자"
)</f>
        <v>0</v>
      </c>
      <c r="AH186" s="26" cm="1">
        <f t="array" ref="AH186">_xlfn.IFS(
   OR(G186="",ISBLANK(G186),G186=0),0,
   ISNUMBER(MATCH(G186,{2,3,5,7,11,13,17,19,23,29,31,37,41,43},0)),"소",
   AND(ISNUMBER(G186),MOD(G186,3)=0),"배",
   AND(ISNUMBER(G186),G186&gt;0),"자"
)</f>
        <v>0</v>
      </c>
      <c r="AI186" s="30"/>
      <c r="AJ186" s="3">
        <f t="shared" si="90"/>
        <v>0</v>
      </c>
      <c r="AK186" s="3">
        <f t="shared" si="91"/>
        <v>0</v>
      </c>
      <c r="AL186" s="3">
        <f t="shared" si="92"/>
        <v>6</v>
      </c>
      <c r="AM186" s="33"/>
      <c r="AN186" s="3">
        <f t="shared" si="93"/>
        <v>0</v>
      </c>
      <c r="AO186" s="3">
        <f t="shared" si="94"/>
        <v>0</v>
      </c>
      <c r="AP186" s="3">
        <f t="shared" si="95"/>
        <v>0</v>
      </c>
      <c r="AQ186" s="3">
        <f t="shared" si="96"/>
        <v>0</v>
      </c>
      <c r="AR186" s="3">
        <f t="shared" si="97"/>
        <v>0</v>
      </c>
      <c r="AS186" s="28" t="e">
        <f>#REF!</f>
        <v>#REF!</v>
      </c>
      <c r="AT186" s="28" t="e">
        <f>#REF!*2</f>
        <v>#REF!</v>
      </c>
      <c r="AU186" s="28" t="e">
        <f>#REF!</f>
        <v>#REF!</v>
      </c>
      <c r="AV186" s="28" t="e">
        <f>#REF!*2</f>
        <v>#REF!</v>
      </c>
      <c r="AW186" s="28" t="e">
        <f>#REF!</f>
        <v>#REF!</v>
      </c>
      <c r="AX186" s="28" t="e">
        <f>#REF!*2</f>
        <v>#REF!</v>
      </c>
      <c r="AY186" s="28" t="e">
        <f>#REF!</f>
        <v>#REF!</v>
      </c>
      <c r="AZ186" s="28" t="e">
        <f>#REF!*2</f>
        <v>#REF!</v>
      </c>
      <c r="BA186" s="28" t="e">
        <f>#REF!</f>
        <v>#REF!</v>
      </c>
      <c r="BB186" s="28" t="e">
        <f>#REF!*2</f>
        <v>#REF!</v>
      </c>
      <c r="BC186" s="28" t="e">
        <f>#REF!</f>
        <v>#REF!</v>
      </c>
      <c r="BD186" s="28" t="e">
        <f>#REF!*2</f>
        <v>#REF!</v>
      </c>
      <c r="BE186" s="9" t="e">
        <f>#REF!-#REF!</f>
        <v>#REF!</v>
      </c>
      <c r="BF186" s="9" t="e">
        <f>#REF!-#REF!</f>
        <v>#REF!</v>
      </c>
      <c r="BG186" s="9" t="e">
        <f>#REF!-#REF!</f>
        <v>#REF!</v>
      </c>
      <c r="BH186" s="9" t="e">
        <f>#REF!-#REF!</f>
        <v>#REF!</v>
      </c>
      <c r="BI186" s="9" t="e">
        <f>#REF!-#REF!</f>
        <v>#REF!</v>
      </c>
      <c r="BJ186" s="33"/>
      <c r="BK186" s="3">
        <f t="shared" si="98"/>
        <v>0</v>
      </c>
      <c r="BL186" s="3">
        <f t="shared" si="99"/>
        <v>0</v>
      </c>
      <c r="BM186" s="3">
        <f t="shared" si="100"/>
        <v>0</v>
      </c>
      <c r="BN186" s="3">
        <f t="shared" si="101"/>
        <v>0</v>
      </c>
      <c r="BO186" s="3">
        <f t="shared" si="102"/>
        <v>0</v>
      </c>
      <c r="BP186" s="28" t="e">
        <f>#REF!</f>
        <v>#REF!</v>
      </c>
      <c r="BQ186" s="28" t="e">
        <f>#REF!*2</f>
        <v>#REF!</v>
      </c>
      <c r="BR186" s="28" t="e">
        <f>#REF!</f>
        <v>#REF!</v>
      </c>
      <c r="BS186" s="28" t="e">
        <f>#REF!*2</f>
        <v>#REF!</v>
      </c>
      <c r="BT186" s="28" t="e">
        <f>#REF!</f>
        <v>#REF!</v>
      </c>
      <c r="BU186" s="28" t="e">
        <f>#REF!*2</f>
        <v>#REF!</v>
      </c>
      <c r="BV186" s="28" t="e">
        <f>#REF!</f>
        <v>#REF!</v>
      </c>
      <c r="BW186" s="28" t="e">
        <f>#REF!*2</f>
        <v>#REF!</v>
      </c>
      <c r="BX186" s="28" t="e">
        <f>#REF!</f>
        <v>#REF!</v>
      </c>
      <c r="BY186" s="28" t="e">
        <f>#REF!*2</f>
        <v>#REF!</v>
      </c>
      <c r="BZ186" s="28" t="e">
        <f>#REF!</f>
        <v>#REF!</v>
      </c>
      <c r="CA186" s="28" t="e">
        <f>#REF!*2</f>
        <v>#REF!</v>
      </c>
      <c r="CB186" s="9">
        <f t="shared" si="103"/>
        <v>0</v>
      </c>
      <c r="CC186" s="9">
        <f t="shared" si="104"/>
        <v>0</v>
      </c>
      <c r="CD186" s="9">
        <f t="shared" si="105"/>
        <v>0</v>
      </c>
      <c r="CE186" s="9">
        <f t="shared" si="106"/>
        <v>0</v>
      </c>
      <c r="CF186" s="9">
        <f t="shared" si="107"/>
        <v>0</v>
      </c>
      <c r="CG186" s="33"/>
      <c r="CH186" s="9">
        <f t="shared" si="108"/>
        <v>0</v>
      </c>
      <c r="CI186" s="9">
        <f t="shared" si="109"/>
        <v>0</v>
      </c>
      <c r="CJ186" s="9">
        <f t="shared" si="110"/>
        <v>0</v>
      </c>
      <c r="CK186" s="9">
        <f t="shared" si="111"/>
        <v>0</v>
      </c>
      <c r="CL186" s="9">
        <f t="shared" si="112"/>
        <v>0</v>
      </c>
      <c r="CM186" s="32"/>
      <c r="CN186" s="3">
        <f t="shared" si="113"/>
        <v>0</v>
      </c>
      <c r="CO186" s="3">
        <f t="shared" si="114"/>
        <v>0</v>
      </c>
      <c r="CP186" s="3">
        <f t="shared" si="115"/>
        <v>0</v>
      </c>
      <c r="CQ186" s="3">
        <f t="shared" si="116"/>
        <v>0</v>
      </c>
      <c r="CR186" s="3">
        <f t="shared" si="117"/>
        <v>0</v>
      </c>
      <c r="CS186" s="31"/>
      <c r="CT186" s="3" cm="1">
        <f t="array" ref="CT186">SUMPRODUCT(--(MOD(CH186:CL186,2)=1))</f>
        <v>0</v>
      </c>
      <c r="CU186" s="3">
        <f t="shared" si="118"/>
        <v>5</v>
      </c>
      <c r="CV186" s="30"/>
      <c r="CW186" s="3" cm="1">
        <f t="array" ref="CW186">SUMPRODUCT(--(MOD(CH186:CL186,10)&gt;=1), --(MOD(CH186:CL186,10)&lt;=5))</f>
        <v>0</v>
      </c>
      <c r="CX186" s="3">
        <f t="shared" si="119"/>
        <v>5</v>
      </c>
      <c r="CY186" s="30"/>
      <c r="CZ186" s="3" cm="1">
        <f t="array" ref="CZ186">IFERROR(COUNT(_xlfn._xlws.FILTER(CH186:CL186, ISNUMBER(MATCH(CH186:CL186, {2,3,5,7,11,13,17,19,23,29,31,37,41,43}, 0)))), 0)</f>
        <v>0</v>
      </c>
      <c r="DA186" s="3" cm="1">
        <f t="array" ref="DA186">IFERROR(COUNT(_xlfn._xlws.FILTER(CH186:CL186, ISNUMBER(MATCH(CH186:CL186, {1,4,8,10,14,16,20,22,25,26,28,32,34,35,38,40,44}, 0)))), 0)</f>
        <v>0</v>
      </c>
      <c r="DB186" s="3" cm="1">
        <f t="array" ref="DB186">IFERROR(COUNT(_xlfn._xlws.FILTER(CH186:CL186, ISNUMBER(MATCH(CH186:CL186, {6,9,12,15,18,21,24,27,30,33,36,39,42,45}, 0)))), 0)</f>
        <v>0</v>
      </c>
      <c r="DC186" s="29"/>
      <c r="DD186" s="28" t="e">
        <f>#REF!</f>
        <v>#REF!</v>
      </c>
      <c r="DE186" s="28" t="e">
        <f>#REF!*2</f>
        <v>#REF!</v>
      </c>
      <c r="DF186" s="28" t="e">
        <f>#REF!</f>
        <v>#REF!</v>
      </c>
      <c r="DG186" s="28" t="e">
        <f>#REF!*2</f>
        <v>#REF!</v>
      </c>
      <c r="DH186" s="28" t="e">
        <f>#REF!</f>
        <v>#REF!</v>
      </c>
      <c r="DI186" s="28" t="e">
        <f>#REF!*2</f>
        <v>#REF!</v>
      </c>
      <c r="DJ186" s="28" t="e">
        <f>#REF!</f>
        <v>#REF!</v>
      </c>
      <c r="DK186" s="28" t="e">
        <f>#REF!*2</f>
        <v>#REF!</v>
      </c>
      <c r="DL186" s="28" t="e">
        <f>#REF!</f>
        <v>#REF!</v>
      </c>
      <c r="DM186" s="28" t="e">
        <f>#REF!*2</f>
        <v>#REF!</v>
      </c>
      <c r="DN186" s="27"/>
      <c r="DO186" s="26"/>
      <c r="DP186" s="26"/>
      <c r="DQ186" s="26"/>
      <c r="DR186" s="26"/>
      <c r="DS186" s="26"/>
      <c r="DT186" s="25"/>
    </row>
    <row r="187" spans="2:124" x14ac:dyDescent="0.3"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2"/>
      <c r="I187" s="3">
        <f t="shared" si="80"/>
        <v>0</v>
      </c>
      <c r="J187" s="3">
        <f t="shared" si="81"/>
        <v>0</v>
      </c>
      <c r="K187" s="3">
        <f t="shared" si="82"/>
        <v>0</v>
      </c>
      <c r="L187" s="3">
        <f t="shared" si="83"/>
        <v>0</v>
      </c>
      <c r="M187" s="3">
        <f t="shared" si="84"/>
        <v>0</v>
      </c>
      <c r="N187" s="3">
        <f t="shared" si="85"/>
        <v>0</v>
      </c>
      <c r="O187" s="32"/>
      <c r="P187" s="3" cm="1">
        <f t="array" ref="P187">SUMPRODUCT(--(MOD(B187:G187,2)=1))</f>
        <v>0</v>
      </c>
      <c r="Q187" s="3">
        <f t="shared" si="86"/>
        <v>6</v>
      </c>
      <c r="R187" s="34"/>
      <c r="S187" s="3">
        <f t="shared" si="87"/>
        <v>0</v>
      </c>
      <c r="T187" s="3">
        <f t="shared" si="88"/>
        <v>6</v>
      </c>
      <c r="U187" s="34"/>
      <c r="V187" s="3" cm="1">
        <f t="array" ref="V187">SUMPRODUCT(--(MOD(B187:G187,10)&gt;=1), --(MOD(B187:G187,10)&lt;=5))</f>
        <v>0</v>
      </c>
      <c r="W187" s="3">
        <f t="shared" si="89"/>
        <v>6</v>
      </c>
      <c r="X187" s="34"/>
      <c r="Y187" s="3" cm="1">
        <f t="array" ref="Y187">IFERROR(COUNT(_xlfn._xlws.FILTER(B187:G187, ISNUMBER(MATCH(B187:G187, {2,3,5,7,11,13,17,19,23,29,31,37,41,43}, 0)))), 0)</f>
        <v>0</v>
      </c>
      <c r="Z187" s="3" cm="1">
        <f t="array" ref="Z187">IFERROR(COUNT(_xlfn._xlws.FILTER(B187:G187, ISNUMBER(MATCH(B187:G187, {1,4,8,10,14,16,20,22,25,26,28,32,34,35,38,40,44}, 0)))), 0)</f>
        <v>0</v>
      </c>
      <c r="AA187" s="3" cm="1">
        <f t="array" ref="AA187">IFERROR(COUNT(_xlfn._xlws.FILTER(B187:G187, ISNUMBER(MATCH(B187:G187, {6,9,12,15,18,21,24,27,30,33,36,39,42,45}, 0)))), 0)</f>
        <v>0</v>
      </c>
      <c r="AB187" s="30"/>
      <c r="AC187" s="26" cm="1">
        <f t="array" ref="AC187">_xlfn.IFS(
   OR(B187="",ISBLANK(B187),B187=0),0,
   ISNUMBER(MATCH(B187,{2,3,5,7,11,13,17,19,23,29,31,37,41,43},0)),"소",
   AND(ISNUMBER(B187),MOD(B187,3)=0),"배",
   AND(ISNUMBER(B187),B187&gt;0),"자"
)</f>
        <v>0</v>
      </c>
      <c r="AD187" s="26" cm="1">
        <f t="array" ref="AD187">_xlfn.IFS(
   OR(C187="",ISBLANK(C187),C187=0),0,
   ISNUMBER(MATCH(C187,{2,3,5,7,11,13,17,19,23,29,31,37,41,43},0)),"소",
   AND(ISNUMBER(C187),MOD(C187,3)=0),"배",
   AND(ISNUMBER(C187),C187&gt;0),"자"
)</f>
        <v>0</v>
      </c>
      <c r="AE187" s="26" cm="1">
        <f t="array" ref="AE187">_xlfn.IFS(
   OR(D187="",ISBLANK(D187),D187=0),0,
   ISNUMBER(MATCH(D187,{2,3,5,7,11,13,17,19,23,29,31,37,41,43},0)),"소",
   AND(ISNUMBER(D187),MOD(D187,3)=0),"배",
   AND(ISNUMBER(D187),D187&gt;0),"자"
)</f>
        <v>0</v>
      </c>
      <c r="AF187" s="26" cm="1">
        <f t="array" ref="AF187">_xlfn.IFS(
   OR(E187="",ISBLANK(E187),E187=0),0,
   ISNUMBER(MATCH(E187,{2,3,5,7,11,13,17,19,23,29,31,37,41,43},0)),"소",
   AND(ISNUMBER(E187),MOD(E187,3)=0),"배",
   AND(ISNUMBER(E187),E187&gt;0),"자"
)</f>
        <v>0</v>
      </c>
      <c r="AG187" s="26" cm="1">
        <f t="array" ref="AG187">_xlfn.IFS(
   OR(F187="",ISBLANK(F187),F187=0),0,
   ISNUMBER(MATCH(F187,{2,3,5,7,11,13,17,19,23,29,31,37,41,43},0)),"소",
   AND(ISNUMBER(F187),MOD(F187,3)=0),"배",
   AND(ISNUMBER(F187),F187&gt;0),"자"
)</f>
        <v>0</v>
      </c>
      <c r="AH187" s="26" cm="1">
        <f t="array" ref="AH187">_xlfn.IFS(
   OR(G187="",ISBLANK(G187),G187=0),0,
   ISNUMBER(MATCH(G187,{2,3,5,7,11,13,17,19,23,29,31,37,41,43},0)),"소",
   AND(ISNUMBER(G187),MOD(G187,3)=0),"배",
   AND(ISNUMBER(G187),G187&gt;0),"자"
)</f>
        <v>0</v>
      </c>
      <c r="AI187" s="30"/>
      <c r="AJ187" s="3">
        <f t="shared" si="90"/>
        <v>0</v>
      </c>
      <c r="AK187" s="3">
        <f t="shared" si="91"/>
        <v>0</v>
      </c>
      <c r="AL187" s="3">
        <f t="shared" si="92"/>
        <v>6</v>
      </c>
      <c r="AM187" s="33"/>
      <c r="AN187" s="3">
        <f t="shared" si="93"/>
        <v>0</v>
      </c>
      <c r="AO187" s="3">
        <f t="shared" si="94"/>
        <v>0</v>
      </c>
      <c r="AP187" s="3">
        <f t="shared" si="95"/>
        <v>0</v>
      </c>
      <c r="AQ187" s="3">
        <f t="shared" si="96"/>
        <v>0</v>
      </c>
      <c r="AR187" s="3">
        <f t="shared" si="97"/>
        <v>0</v>
      </c>
      <c r="AS187" s="28" t="e">
        <f>#REF!</f>
        <v>#REF!</v>
      </c>
      <c r="AT187" s="28" t="e">
        <f>#REF!*2</f>
        <v>#REF!</v>
      </c>
      <c r="AU187" s="28" t="e">
        <f>#REF!</f>
        <v>#REF!</v>
      </c>
      <c r="AV187" s="28" t="e">
        <f>#REF!*2</f>
        <v>#REF!</v>
      </c>
      <c r="AW187" s="28" t="e">
        <f>#REF!</f>
        <v>#REF!</v>
      </c>
      <c r="AX187" s="28" t="e">
        <f>#REF!*2</f>
        <v>#REF!</v>
      </c>
      <c r="AY187" s="28" t="e">
        <f>#REF!</f>
        <v>#REF!</v>
      </c>
      <c r="AZ187" s="28" t="e">
        <f>#REF!*2</f>
        <v>#REF!</v>
      </c>
      <c r="BA187" s="28" t="e">
        <f>#REF!</f>
        <v>#REF!</v>
      </c>
      <c r="BB187" s="28" t="e">
        <f>#REF!*2</f>
        <v>#REF!</v>
      </c>
      <c r="BC187" s="28" t="e">
        <f>#REF!</f>
        <v>#REF!</v>
      </c>
      <c r="BD187" s="28" t="e">
        <f>#REF!*2</f>
        <v>#REF!</v>
      </c>
      <c r="BE187" s="9" t="e">
        <f>#REF!-#REF!</f>
        <v>#REF!</v>
      </c>
      <c r="BF187" s="9" t="e">
        <f>#REF!-#REF!</f>
        <v>#REF!</v>
      </c>
      <c r="BG187" s="9" t="e">
        <f>#REF!-#REF!</f>
        <v>#REF!</v>
      </c>
      <c r="BH187" s="9" t="e">
        <f>#REF!-#REF!</f>
        <v>#REF!</v>
      </c>
      <c r="BI187" s="9" t="e">
        <f>#REF!-#REF!</f>
        <v>#REF!</v>
      </c>
      <c r="BJ187" s="33"/>
      <c r="BK187" s="3">
        <f t="shared" si="98"/>
        <v>0</v>
      </c>
      <c r="BL187" s="3">
        <f t="shared" si="99"/>
        <v>0</v>
      </c>
      <c r="BM187" s="3">
        <f t="shared" si="100"/>
        <v>0</v>
      </c>
      <c r="BN187" s="3">
        <f t="shared" si="101"/>
        <v>0</v>
      </c>
      <c r="BO187" s="3">
        <f t="shared" si="102"/>
        <v>0</v>
      </c>
      <c r="BP187" s="28" t="e">
        <f>#REF!</f>
        <v>#REF!</v>
      </c>
      <c r="BQ187" s="28" t="e">
        <f>#REF!*2</f>
        <v>#REF!</v>
      </c>
      <c r="BR187" s="28" t="e">
        <f>#REF!</f>
        <v>#REF!</v>
      </c>
      <c r="BS187" s="28" t="e">
        <f>#REF!*2</f>
        <v>#REF!</v>
      </c>
      <c r="BT187" s="28" t="e">
        <f>#REF!</f>
        <v>#REF!</v>
      </c>
      <c r="BU187" s="28" t="e">
        <f>#REF!*2</f>
        <v>#REF!</v>
      </c>
      <c r="BV187" s="28" t="e">
        <f>#REF!</f>
        <v>#REF!</v>
      </c>
      <c r="BW187" s="28" t="e">
        <f>#REF!*2</f>
        <v>#REF!</v>
      </c>
      <c r="BX187" s="28" t="e">
        <f>#REF!</f>
        <v>#REF!</v>
      </c>
      <c r="BY187" s="28" t="e">
        <f>#REF!*2</f>
        <v>#REF!</v>
      </c>
      <c r="BZ187" s="28" t="e">
        <f>#REF!</f>
        <v>#REF!</v>
      </c>
      <c r="CA187" s="28" t="e">
        <f>#REF!*2</f>
        <v>#REF!</v>
      </c>
      <c r="CB187" s="9">
        <f t="shared" si="103"/>
        <v>0</v>
      </c>
      <c r="CC187" s="9">
        <f t="shared" si="104"/>
        <v>0</v>
      </c>
      <c r="CD187" s="9">
        <f t="shared" si="105"/>
        <v>0</v>
      </c>
      <c r="CE187" s="9">
        <f t="shared" si="106"/>
        <v>0</v>
      </c>
      <c r="CF187" s="9">
        <f t="shared" si="107"/>
        <v>0</v>
      </c>
      <c r="CG187" s="33"/>
      <c r="CH187" s="9">
        <f t="shared" si="108"/>
        <v>0</v>
      </c>
      <c r="CI187" s="9">
        <f t="shared" si="109"/>
        <v>0</v>
      </c>
      <c r="CJ187" s="9">
        <f t="shared" si="110"/>
        <v>0</v>
      </c>
      <c r="CK187" s="9">
        <f t="shared" si="111"/>
        <v>0</v>
      </c>
      <c r="CL187" s="9">
        <f t="shared" si="112"/>
        <v>0</v>
      </c>
      <c r="CM187" s="32"/>
      <c r="CN187" s="3">
        <f t="shared" si="113"/>
        <v>0</v>
      </c>
      <c r="CO187" s="3">
        <f t="shared" si="114"/>
        <v>0</v>
      </c>
      <c r="CP187" s="3">
        <f t="shared" si="115"/>
        <v>0</v>
      </c>
      <c r="CQ187" s="3">
        <f t="shared" si="116"/>
        <v>0</v>
      </c>
      <c r="CR187" s="3">
        <f t="shared" si="117"/>
        <v>0</v>
      </c>
      <c r="CS187" s="31"/>
      <c r="CT187" s="3" cm="1">
        <f t="array" ref="CT187">SUMPRODUCT(--(MOD(CH187:CL187,2)=1))</f>
        <v>0</v>
      </c>
      <c r="CU187" s="3">
        <f t="shared" si="118"/>
        <v>5</v>
      </c>
      <c r="CV187" s="30"/>
      <c r="CW187" s="3" cm="1">
        <f t="array" ref="CW187">SUMPRODUCT(--(MOD(CH187:CL187,10)&gt;=1), --(MOD(CH187:CL187,10)&lt;=5))</f>
        <v>0</v>
      </c>
      <c r="CX187" s="3">
        <f t="shared" si="119"/>
        <v>5</v>
      </c>
      <c r="CY187" s="30"/>
      <c r="CZ187" s="3" cm="1">
        <f t="array" ref="CZ187">IFERROR(COUNT(_xlfn._xlws.FILTER(CH187:CL187, ISNUMBER(MATCH(CH187:CL187, {2,3,5,7,11,13,17,19,23,29,31,37,41,43}, 0)))), 0)</f>
        <v>0</v>
      </c>
      <c r="DA187" s="3" cm="1">
        <f t="array" ref="DA187">IFERROR(COUNT(_xlfn._xlws.FILTER(CH187:CL187, ISNUMBER(MATCH(CH187:CL187, {1,4,8,10,14,16,20,22,25,26,28,32,34,35,38,40,44}, 0)))), 0)</f>
        <v>0</v>
      </c>
      <c r="DB187" s="3" cm="1">
        <f t="array" ref="DB187">IFERROR(COUNT(_xlfn._xlws.FILTER(CH187:CL187, ISNUMBER(MATCH(CH187:CL187, {6,9,12,15,18,21,24,27,30,33,36,39,42,45}, 0)))), 0)</f>
        <v>0</v>
      </c>
      <c r="DC187" s="29"/>
      <c r="DD187" s="28" t="e">
        <f>#REF!</f>
        <v>#REF!</v>
      </c>
      <c r="DE187" s="28" t="e">
        <f>#REF!*2</f>
        <v>#REF!</v>
      </c>
      <c r="DF187" s="28" t="e">
        <f>#REF!</f>
        <v>#REF!</v>
      </c>
      <c r="DG187" s="28" t="e">
        <f>#REF!*2</f>
        <v>#REF!</v>
      </c>
      <c r="DH187" s="28" t="e">
        <f>#REF!</f>
        <v>#REF!</v>
      </c>
      <c r="DI187" s="28" t="e">
        <f>#REF!*2</f>
        <v>#REF!</v>
      </c>
      <c r="DJ187" s="28" t="e">
        <f>#REF!</f>
        <v>#REF!</v>
      </c>
      <c r="DK187" s="28" t="e">
        <f>#REF!*2</f>
        <v>#REF!</v>
      </c>
      <c r="DL187" s="28" t="e">
        <f>#REF!</f>
        <v>#REF!</v>
      </c>
      <c r="DM187" s="28" t="e">
        <f>#REF!*2</f>
        <v>#REF!</v>
      </c>
      <c r="DN187" s="27"/>
      <c r="DO187" s="26"/>
      <c r="DP187" s="26"/>
      <c r="DQ187" s="26"/>
      <c r="DR187" s="26"/>
      <c r="DS187" s="26"/>
      <c r="DT187" s="25"/>
    </row>
    <row r="188" spans="2:124" x14ac:dyDescent="0.3"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2"/>
      <c r="I188" s="3">
        <f t="shared" si="80"/>
        <v>0</v>
      </c>
      <c r="J188" s="3">
        <f t="shared" si="81"/>
        <v>0</v>
      </c>
      <c r="K188" s="3">
        <f t="shared" si="82"/>
        <v>0</v>
      </c>
      <c r="L188" s="3">
        <f t="shared" si="83"/>
        <v>0</v>
      </c>
      <c r="M188" s="3">
        <f t="shared" si="84"/>
        <v>0</v>
      </c>
      <c r="N188" s="3">
        <f t="shared" si="85"/>
        <v>0</v>
      </c>
      <c r="O188" s="32"/>
      <c r="P188" s="3" cm="1">
        <f t="array" ref="P188">SUMPRODUCT(--(MOD(B188:G188,2)=1))</f>
        <v>0</v>
      </c>
      <c r="Q188" s="3">
        <f t="shared" si="86"/>
        <v>6</v>
      </c>
      <c r="R188" s="34"/>
      <c r="S188" s="3">
        <f t="shared" si="87"/>
        <v>0</v>
      </c>
      <c r="T188" s="3">
        <f t="shared" si="88"/>
        <v>6</v>
      </c>
      <c r="U188" s="34"/>
      <c r="V188" s="3" cm="1">
        <f t="array" ref="V188">SUMPRODUCT(--(MOD(B188:G188,10)&gt;=1), --(MOD(B188:G188,10)&lt;=5))</f>
        <v>0</v>
      </c>
      <c r="W188" s="3">
        <f t="shared" si="89"/>
        <v>6</v>
      </c>
      <c r="X188" s="34"/>
      <c r="Y188" s="3" cm="1">
        <f t="array" ref="Y188">IFERROR(COUNT(_xlfn._xlws.FILTER(B188:G188, ISNUMBER(MATCH(B188:G188, {2,3,5,7,11,13,17,19,23,29,31,37,41,43}, 0)))), 0)</f>
        <v>0</v>
      </c>
      <c r="Z188" s="3" cm="1">
        <f t="array" ref="Z188">IFERROR(COUNT(_xlfn._xlws.FILTER(B188:G188, ISNUMBER(MATCH(B188:G188, {1,4,8,10,14,16,20,22,25,26,28,32,34,35,38,40,44}, 0)))), 0)</f>
        <v>0</v>
      </c>
      <c r="AA188" s="3" cm="1">
        <f t="array" ref="AA188">IFERROR(COUNT(_xlfn._xlws.FILTER(B188:G188, ISNUMBER(MATCH(B188:G188, {6,9,12,15,18,21,24,27,30,33,36,39,42,45}, 0)))), 0)</f>
        <v>0</v>
      </c>
      <c r="AB188" s="30"/>
      <c r="AC188" s="26" cm="1">
        <f t="array" ref="AC188">_xlfn.IFS(
   OR(B188="",ISBLANK(B188),B188=0),0,
   ISNUMBER(MATCH(B188,{2,3,5,7,11,13,17,19,23,29,31,37,41,43},0)),"소",
   AND(ISNUMBER(B188),MOD(B188,3)=0),"배",
   AND(ISNUMBER(B188),B188&gt;0),"자"
)</f>
        <v>0</v>
      </c>
      <c r="AD188" s="26" cm="1">
        <f t="array" ref="AD188">_xlfn.IFS(
   OR(C188="",ISBLANK(C188),C188=0),0,
   ISNUMBER(MATCH(C188,{2,3,5,7,11,13,17,19,23,29,31,37,41,43},0)),"소",
   AND(ISNUMBER(C188),MOD(C188,3)=0),"배",
   AND(ISNUMBER(C188),C188&gt;0),"자"
)</f>
        <v>0</v>
      </c>
      <c r="AE188" s="26" cm="1">
        <f t="array" ref="AE188">_xlfn.IFS(
   OR(D188="",ISBLANK(D188),D188=0),0,
   ISNUMBER(MATCH(D188,{2,3,5,7,11,13,17,19,23,29,31,37,41,43},0)),"소",
   AND(ISNUMBER(D188),MOD(D188,3)=0),"배",
   AND(ISNUMBER(D188),D188&gt;0),"자"
)</f>
        <v>0</v>
      </c>
      <c r="AF188" s="26" cm="1">
        <f t="array" ref="AF188">_xlfn.IFS(
   OR(E188="",ISBLANK(E188),E188=0),0,
   ISNUMBER(MATCH(E188,{2,3,5,7,11,13,17,19,23,29,31,37,41,43},0)),"소",
   AND(ISNUMBER(E188),MOD(E188,3)=0),"배",
   AND(ISNUMBER(E188),E188&gt;0),"자"
)</f>
        <v>0</v>
      </c>
      <c r="AG188" s="26" cm="1">
        <f t="array" ref="AG188">_xlfn.IFS(
   OR(F188="",ISBLANK(F188),F188=0),0,
   ISNUMBER(MATCH(F188,{2,3,5,7,11,13,17,19,23,29,31,37,41,43},0)),"소",
   AND(ISNUMBER(F188),MOD(F188,3)=0),"배",
   AND(ISNUMBER(F188),F188&gt;0),"자"
)</f>
        <v>0</v>
      </c>
      <c r="AH188" s="26" cm="1">
        <f t="array" ref="AH188">_xlfn.IFS(
   OR(G188="",ISBLANK(G188),G188=0),0,
   ISNUMBER(MATCH(G188,{2,3,5,7,11,13,17,19,23,29,31,37,41,43},0)),"소",
   AND(ISNUMBER(G188),MOD(G188,3)=0),"배",
   AND(ISNUMBER(G188),G188&gt;0),"자"
)</f>
        <v>0</v>
      </c>
      <c r="AI188" s="30"/>
      <c r="AJ188" s="3">
        <f t="shared" si="90"/>
        <v>0</v>
      </c>
      <c r="AK188" s="3">
        <f t="shared" si="91"/>
        <v>0</v>
      </c>
      <c r="AL188" s="3">
        <f t="shared" si="92"/>
        <v>6</v>
      </c>
      <c r="AM188" s="33"/>
      <c r="AN188" s="3">
        <f t="shared" si="93"/>
        <v>0</v>
      </c>
      <c r="AO188" s="3">
        <f t="shared" si="94"/>
        <v>0</v>
      </c>
      <c r="AP188" s="3">
        <f t="shared" si="95"/>
        <v>0</v>
      </c>
      <c r="AQ188" s="3">
        <f t="shared" si="96"/>
        <v>0</v>
      </c>
      <c r="AR188" s="3">
        <f t="shared" si="97"/>
        <v>0</v>
      </c>
      <c r="AS188" s="28" t="e">
        <f>#REF!</f>
        <v>#REF!</v>
      </c>
      <c r="AT188" s="28" t="e">
        <f>#REF!*2</f>
        <v>#REF!</v>
      </c>
      <c r="AU188" s="28" t="e">
        <f>#REF!</f>
        <v>#REF!</v>
      </c>
      <c r="AV188" s="28" t="e">
        <f>#REF!*2</f>
        <v>#REF!</v>
      </c>
      <c r="AW188" s="28" t="e">
        <f>#REF!</f>
        <v>#REF!</v>
      </c>
      <c r="AX188" s="28" t="e">
        <f>#REF!*2</f>
        <v>#REF!</v>
      </c>
      <c r="AY188" s="28" t="e">
        <f>#REF!</f>
        <v>#REF!</v>
      </c>
      <c r="AZ188" s="28" t="e">
        <f>#REF!*2</f>
        <v>#REF!</v>
      </c>
      <c r="BA188" s="28" t="e">
        <f>#REF!</f>
        <v>#REF!</v>
      </c>
      <c r="BB188" s="28" t="e">
        <f>#REF!*2</f>
        <v>#REF!</v>
      </c>
      <c r="BC188" s="28" t="e">
        <f>#REF!</f>
        <v>#REF!</v>
      </c>
      <c r="BD188" s="28" t="e">
        <f>#REF!*2</f>
        <v>#REF!</v>
      </c>
      <c r="BE188" s="9" t="e">
        <f>#REF!-#REF!</f>
        <v>#REF!</v>
      </c>
      <c r="BF188" s="9" t="e">
        <f>#REF!-#REF!</f>
        <v>#REF!</v>
      </c>
      <c r="BG188" s="9" t="e">
        <f>#REF!-#REF!</f>
        <v>#REF!</v>
      </c>
      <c r="BH188" s="9" t="e">
        <f>#REF!-#REF!</f>
        <v>#REF!</v>
      </c>
      <c r="BI188" s="9" t="e">
        <f>#REF!-#REF!</f>
        <v>#REF!</v>
      </c>
      <c r="BJ188" s="33"/>
      <c r="BK188" s="3">
        <f t="shared" si="98"/>
        <v>0</v>
      </c>
      <c r="BL188" s="3">
        <f t="shared" si="99"/>
        <v>0</v>
      </c>
      <c r="BM188" s="3">
        <f t="shared" si="100"/>
        <v>0</v>
      </c>
      <c r="BN188" s="3">
        <f t="shared" si="101"/>
        <v>0</v>
      </c>
      <c r="BO188" s="3">
        <f t="shared" si="102"/>
        <v>0</v>
      </c>
      <c r="BP188" s="28" t="e">
        <f>#REF!</f>
        <v>#REF!</v>
      </c>
      <c r="BQ188" s="28" t="e">
        <f>#REF!*2</f>
        <v>#REF!</v>
      </c>
      <c r="BR188" s="28" t="e">
        <f>#REF!</f>
        <v>#REF!</v>
      </c>
      <c r="BS188" s="28" t="e">
        <f>#REF!*2</f>
        <v>#REF!</v>
      </c>
      <c r="BT188" s="28" t="e">
        <f>#REF!</f>
        <v>#REF!</v>
      </c>
      <c r="BU188" s="28" t="e">
        <f>#REF!*2</f>
        <v>#REF!</v>
      </c>
      <c r="BV188" s="28" t="e">
        <f>#REF!</f>
        <v>#REF!</v>
      </c>
      <c r="BW188" s="28" t="e">
        <f>#REF!*2</f>
        <v>#REF!</v>
      </c>
      <c r="BX188" s="28" t="e">
        <f>#REF!</f>
        <v>#REF!</v>
      </c>
      <c r="BY188" s="28" t="e">
        <f>#REF!*2</f>
        <v>#REF!</v>
      </c>
      <c r="BZ188" s="28" t="e">
        <f>#REF!</f>
        <v>#REF!</v>
      </c>
      <c r="CA188" s="28" t="e">
        <f>#REF!*2</f>
        <v>#REF!</v>
      </c>
      <c r="CB188" s="9">
        <f t="shared" si="103"/>
        <v>0</v>
      </c>
      <c r="CC188" s="9">
        <f t="shared" si="104"/>
        <v>0</v>
      </c>
      <c r="CD188" s="9">
        <f t="shared" si="105"/>
        <v>0</v>
      </c>
      <c r="CE188" s="9">
        <f t="shared" si="106"/>
        <v>0</v>
      </c>
      <c r="CF188" s="9">
        <f t="shared" si="107"/>
        <v>0</v>
      </c>
      <c r="CG188" s="33"/>
      <c r="CH188" s="9">
        <f t="shared" si="108"/>
        <v>0</v>
      </c>
      <c r="CI188" s="9">
        <f t="shared" si="109"/>
        <v>0</v>
      </c>
      <c r="CJ188" s="9">
        <f t="shared" si="110"/>
        <v>0</v>
      </c>
      <c r="CK188" s="9">
        <f t="shared" si="111"/>
        <v>0</v>
      </c>
      <c r="CL188" s="9">
        <f t="shared" si="112"/>
        <v>0</v>
      </c>
      <c r="CM188" s="32"/>
      <c r="CN188" s="3">
        <f t="shared" si="113"/>
        <v>0</v>
      </c>
      <c r="CO188" s="3">
        <f t="shared" si="114"/>
        <v>0</v>
      </c>
      <c r="CP188" s="3">
        <f t="shared" si="115"/>
        <v>0</v>
      </c>
      <c r="CQ188" s="3">
        <f t="shared" si="116"/>
        <v>0</v>
      </c>
      <c r="CR188" s="3">
        <f t="shared" si="117"/>
        <v>0</v>
      </c>
      <c r="CS188" s="31"/>
      <c r="CT188" s="3" cm="1">
        <f t="array" ref="CT188">SUMPRODUCT(--(MOD(CH188:CL188,2)=1))</f>
        <v>0</v>
      </c>
      <c r="CU188" s="3">
        <f t="shared" si="118"/>
        <v>5</v>
      </c>
      <c r="CV188" s="30"/>
      <c r="CW188" s="3" cm="1">
        <f t="array" ref="CW188">SUMPRODUCT(--(MOD(CH188:CL188,10)&gt;=1), --(MOD(CH188:CL188,10)&lt;=5))</f>
        <v>0</v>
      </c>
      <c r="CX188" s="3">
        <f t="shared" si="119"/>
        <v>5</v>
      </c>
      <c r="CY188" s="30"/>
      <c r="CZ188" s="3" cm="1">
        <f t="array" ref="CZ188">IFERROR(COUNT(_xlfn._xlws.FILTER(CH188:CL188, ISNUMBER(MATCH(CH188:CL188, {2,3,5,7,11,13,17,19,23,29,31,37,41,43}, 0)))), 0)</f>
        <v>0</v>
      </c>
      <c r="DA188" s="3" cm="1">
        <f t="array" ref="DA188">IFERROR(COUNT(_xlfn._xlws.FILTER(CH188:CL188, ISNUMBER(MATCH(CH188:CL188, {1,4,8,10,14,16,20,22,25,26,28,32,34,35,38,40,44}, 0)))), 0)</f>
        <v>0</v>
      </c>
      <c r="DB188" s="3" cm="1">
        <f t="array" ref="DB188">IFERROR(COUNT(_xlfn._xlws.FILTER(CH188:CL188, ISNUMBER(MATCH(CH188:CL188, {6,9,12,15,18,21,24,27,30,33,36,39,42,45}, 0)))), 0)</f>
        <v>0</v>
      </c>
      <c r="DC188" s="29"/>
      <c r="DD188" s="28" t="e">
        <f>#REF!</f>
        <v>#REF!</v>
      </c>
      <c r="DE188" s="28" t="e">
        <f>#REF!*2</f>
        <v>#REF!</v>
      </c>
      <c r="DF188" s="28" t="e">
        <f>#REF!</f>
        <v>#REF!</v>
      </c>
      <c r="DG188" s="28" t="e">
        <f>#REF!*2</f>
        <v>#REF!</v>
      </c>
      <c r="DH188" s="28" t="e">
        <f>#REF!</f>
        <v>#REF!</v>
      </c>
      <c r="DI188" s="28" t="e">
        <f>#REF!*2</f>
        <v>#REF!</v>
      </c>
      <c r="DJ188" s="28" t="e">
        <f>#REF!</f>
        <v>#REF!</v>
      </c>
      <c r="DK188" s="28" t="e">
        <f>#REF!*2</f>
        <v>#REF!</v>
      </c>
      <c r="DL188" s="28" t="e">
        <f>#REF!</f>
        <v>#REF!</v>
      </c>
      <c r="DM188" s="28" t="e">
        <f>#REF!*2</f>
        <v>#REF!</v>
      </c>
      <c r="DN188" s="27"/>
      <c r="DO188" s="26"/>
      <c r="DP188" s="26"/>
      <c r="DQ188" s="26"/>
      <c r="DR188" s="26"/>
      <c r="DS188" s="26"/>
      <c r="DT188" s="25"/>
    </row>
    <row r="189" spans="2:124" x14ac:dyDescent="0.3"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2"/>
      <c r="I189" s="3">
        <f t="shared" si="80"/>
        <v>0</v>
      </c>
      <c r="J189" s="3">
        <f t="shared" si="81"/>
        <v>0</v>
      </c>
      <c r="K189" s="3">
        <f t="shared" si="82"/>
        <v>0</v>
      </c>
      <c r="L189" s="3">
        <f t="shared" si="83"/>
        <v>0</v>
      </c>
      <c r="M189" s="3">
        <f t="shared" si="84"/>
        <v>0</v>
      </c>
      <c r="N189" s="3">
        <f t="shared" si="85"/>
        <v>0</v>
      </c>
      <c r="O189" s="32"/>
      <c r="P189" s="3" cm="1">
        <f t="array" ref="P189">SUMPRODUCT(--(MOD(B189:G189,2)=1))</f>
        <v>0</v>
      </c>
      <c r="Q189" s="3">
        <f t="shared" si="86"/>
        <v>6</v>
      </c>
      <c r="R189" s="34"/>
      <c r="S189" s="3">
        <f t="shared" si="87"/>
        <v>0</v>
      </c>
      <c r="T189" s="3">
        <f t="shared" si="88"/>
        <v>6</v>
      </c>
      <c r="U189" s="34"/>
      <c r="V189" s="3" cm="1">
        <f t="array" ref="V189">SUMPRODUCT(--(MOD(B189:G189,10)&gt;=1), --(MOD(B189:G189,10)&lt;=5))</f>
        <v>0</v>
      </c>
      <c r="W189" s="3">
        <f t="shared" si="89"/>
        <v>6</v>
      </c>
      <c r="X189" s="34"/>
      <c r="Y189" s="3" cm="1">
        <f t="array" ref="Y189">IFERROR(COUNT(_xlfn._xlws.FILTER(B189:G189, ISNUMBER(MATCH(B189:G189, {2,3,5,7,11,13,17,19,23,29,31,37,41,43}, 0)))), 0)</f>
        <v>0</v>
      </c>
      <c r="Z189" s="3" cm="1">
        <f t="array" ref="Z189">IFERROR(COUNT(_xlfn._xlws.FILTER(B189:G189, ISNUMBER(MATCH(B189:G189, {1,4,8,10,14,16,20,22,25,26,28,32,34,35,38,40,44}, 0)))), 0)</f>
        <v>0</v>
      </c>
      <c r="AA189" s="3" cm="1">
        <f t="array" ref="AA189">IFERROR(COUNT(_xlfn._xlws.FILTER(B189:G189, ISNUMBER(MATCH(B189:G189, {6,9,12,15,18,21,24,27,30,33,36,39,42,45}, 0)))), 0)</f>
        <v>0</v>
      </c>
      <c r="AB189" s="30"/>
      <c r="AC189" s="26" cm="1">
        <f t="array" ref="AC189">_xlfn.IFS(
   OR(B189="",ISBLANK(B189),B189=0),0,
   ISNUMBER(MATCH(B189,{2,3,5,7,11,13,17,19,23,29,31,37,41,43},0)),"소",
   AND(ISNUMBER(B189),MOD(B189,3)=0),"배",
   AND(ISNUMBER(B189),B189&gt;0),"자"
)</f>
        <v>0</v>
      </c>
      <c r="AD189" s="26" cm="1">
        <f t="array" ref="AD189">_xlfn.IFS(
   OR(C189="",ISBLANK(C189),C189=0),0,
   ISNUMBER(MATCH(C189,{2,3,5,7,11,13,17,19,23,29,31,37,41,43},0)),"소",
   AND(ISNUMBER(C189),MOD(C189,3)=0),"배",
   AND(ISNUMBER(C189),C189&gt;0),"자"
)</f>
        <v>0</v>
      </c>
      <c r="AE189" s="26" cm="1">
        <f t="array" ref="AE189">_xlfn.IFS(
   OR(D189="",ISBLANK(D189),D189=0),0,
   ISNUMBER(MATCH(D189,{2,3,5,7,11,13,17,19,23,29,31,37,41,43},0)),"소",
   AND(ISNUMBER(D189),MOD(D189,3)=0),"배",
   AND(ISNUMBER(D189),D189&gt;0),"자"
)</f>
        <v>0</v>
      </c>
      <c r="AF189" s="26" cm="1">
        <f t="array" ref="AF189">_xlfn.IFS(
   OR(E189="",ISBLANK(E189),E189=0),0,
   ISNUMBER(MATCH(E189,{2,3,5,7,11,13,17,19,23,29,31,37,41,43},0)),"소",
   AND(ISNUMBER(E189),MOD(E189,3)=0),"배",
   AND(ISNUMBER(E189),E189&gt;0),"자"
)</f>
        <v>0</v>
      </c>
      <c r="AG189" s="26" cm="1">
        <f t="array" ref="AG189">_xlfn.IFS(
   OR(F189="",ISBLANK(F189),F189=0),0,
   ISNUMBER(MATCH(F189,{2,3,5,7,11,13,17,19,23,29,31,37,41,43},0)),"소",
   AND(ISNUMBER(F189),MOD(F189,3)=0),"배",
   AND(ISNUMBER(F189),F189&gt;0),"자"
)</f>
        <v>0</v>
      </c>
      <c r="AH189" s="26" cm="1">
        <f t="array" ref="AH189">_xlfn.IFS(
   OR(G189="",ISBLANK(G189),G189=0),0,
   ISNUMBER(MATCH(G189,{2,3,5,7,11,13,17,19,23,29,31,37,41,43},0)),"소",
   AND(ISNUMBER(G189),MOD(G189,3)=0),"배",
   AND(ISNUMBER(G189),G189&gt;0),"자"
)</f>
        <v>0</v>
      </c>
      <c r="AI189" s="30"/>
      <c r="AJ189" s="3">
        <f t="shared" si="90"/>
        <v>0</v>
      </c>
      <c r="AK189" s="3">
        <f t="shared" si="91"/>
        <v>0</v>
      </c>
      <c r="AL189" s="3">
        <f t="shared" si="92"/>
        <v>6</v>
      </c>
      <c r="AM189" s="33"/>
      <c r="AN189" s="3">
        <f t="shared" si="93"/>
        <v>0</v>
      </c>
      <c r="AO189" s="3">
        <f t="shared" si="94"/>
        <v>0</v>
      </c>
      <c r="AP189" s="3">
        <f t="shared" si="95"/>
        <v>0</v>
      </c>
      <c r="AQ189" s="3">
        <f t="shared" si="96"/>
        <v>0</v>
      </c>
      <c r="AR189" s="3">
        <f t="shared" si="97"/>
        <v>0</v>
      </c>
      <c r="AS189" s="28" t="e">
        <f>#REF!</f>
        <v>#REF!</v>
      </c>
      <c r="AT189" s="28" t="e">
        <f>#REF!*2</f>
        <v>#REF!</v>
      </c>
      <c r="AU189" s="28" t="e">
        <f>#REF!</f>
        <v>#REF!</v>
      </c>
      <c r="AV189" s="28" t="e">
        <f>#REF!*2</f>
        <v>#REF!</v>
      </c>
      <c r="AW189" s="28" t="e">
        <f>#REF!</f>
        <v>#REF!</v>
      </c>
      <c r="AX189" s="28" t="e">
        <f>#REF!*2</f>
        <v>#REF!</v>
      </c>
      <c r="AY189" s="28" t="e">
        <f>#REF!</f>
        <v>#REF!</v>
      </c>
      <c r="AZ189" s="28" t="e">
        <f>#REF!*2</f>
        <v>#REF!</v>
      </c>
      <c r="BA189" s="28" t="e">
        <f>#REF!</f>
        <v>#REF!</v>
      </c>
      <c r="BB189" s="28" t="e">
        <f>#REF!*2</f>
        <v>#REF!</v>
      </c>
      <c r="BC189" s="28" t="e">
        <f>#REF!</f>
        <v>#REF!</v>
      </c>
      <c r="BD189" s="28" t="e">
        <f>#REF!*2</f>
        <v>#REF!</v>
      </c>
      <c r="BE189" s="9" t="e">
        <f>#REF!-#REF!</f>
        <v>#REF!</v>
      </c>
      <c r="BF189" s="9" t="e">
        <f>#REF!-#REF!</f>
        <v>#REF!</v>
      </c>
      <c r="BG189" s="9" t="e">
        <f>#REF!-#REF!</f>
        <v>#REF!</v>
      </c>
      <c r="BH189" s="9" t="e">
        <f>#REF!-#REF!</f>
        <v>#REF!</v>
      </c>
      <c r="BI189" s="9" t="e">
        <f>#REF!-#REF!</f>
        <v>#REF!</v>
      </c>
      <c r="BJ189" s="33"/>
      <c r="BK189" s="3">
        <f t="shared" si="98"/>
        <v>0</v>
      </c>
      <c r="BL189" s="3">
        <f t="shared" si="99"/>
        <v>0</v>
      </c>
      <c r="BM189" s="3">
        <f t="shared" si="100"/>
        <v>0</v>
      </c>
      <c r="BN189" s="3">
        <f t="shared" si="101"/>
        <v>0</v>
      </c>
      <c r="BO189" s="3">
        <f t="shared" si="102"/>
        <v>0</v>
      </c>
      <c r="BP189" s="28" t="e">
        <f>#REF!</f>
        <v>#REF!</v>
      </c>
      <c r="BQ189" s="28" t="e">
        <f>#REF!*2</f>
        <v>#REF!</v>
      </c>
      <c r="BR189" s="28" t="e">
        <f>#REF!</f>
        <v>#REF!</v>
      </c>
      <c r="BS189" s="28" t="e">
        <f>#REF!*2</f>
        <v>#REF!</v>
      </c>
      <c r="BT189" s="28" t="e">
        <f>#REF!</f>
        <v>#REF!</v>
      </c>
      <c r="BU189" s="28" t="e">
        <f>#REF!*2</f>
        <v>#REF!</v>
      </c>
      <c r="BV189" s="28" t="e">
        <f>#REF!</f>
        <v>#REF!</v>
      </c>
      <c r="BW189" s="28" t="e">
        <f>#REF!*2</f>
        <v>#REF!</v>
      </c>
      <c r="BX189" s="28" t="e">
        <f>#REF!</f>
        <v>#REF!</v>
      </c>
      <c r="BY189" s="28" t="e">
        <f>#REF!*2</f>
        <v>#REF!</v>
      </c>
      <c r="BZ189" s="28" t="e">
        <f>#REF!</f>
        <v>#REF!</v>
      </c>
      <c r="CA189" s="28" t="e">
        <f>#REF!*2</f>
        <v>#REF!</v>
      </c>
      <c r="CB189" s="9">
        <f t="shared" si="103"/>
        <v>0</v>
      </c>
      <c r="CC189" s="9">
        <f t="shared" si="104"/>
        <v>0</v>
      </c>
      <c r="CD189" s="9">
        <f t="shared" si="105"/>
        <v>0</v>
      </c>
      <c r="CE189" s="9">
        <f t="shared" si="106"/>
        <v>0</v>
      </c>
      <c r="CF189" s="9">
        <f t="shared" si="107"/>
        <v>0</v>
      </c>
      <c r="CG189" s="33"/>
      <c r="CH189" s="9">
        <f t="shared" si="108"/>
        <v>0</v>
      </c>
      <c r="CI189" s="9">
        <f t="shared" si="109"/>
        <v>0</v>
      </c>
      <c r="CJ189" s="9">
        <f t="shared" si="110"/>
        <v>0</v>
      </c>
      <c r="CK189" s="9">
        <f t="shared" si="111"/>
        <v>0</v>
      </c>
      <c r="CL189" s="9">
        <f t="shared" si="112"/>
        <v>0</v>
      </c>
      <c r="CM189" s="32"/>
      <c r="CN189" s="3">
        <f t="shared" si="113"/>
        <v>0</v>
      </c>
      <c r="CO189" s="3">
        <f t="shared" si="114"/>
        <v>0</v>
      </c>
      <c r="CP189" s="3">
        <f t="shared" si="115"/>
        <v>0</v>
      </c>
      <c r="CQ189" s="3">
        <f t="shared" si="116"/>
        <v>0</v>
      </c>
      <c r="CR189" s="3">
        <f t="shared" si="117"/>
        <v>0</v>
      </c>
      <c r="CS189" s="31"/>
      <c r="CT189" s="3" cm="1">
        <f t="array" ref="CT189">SUMPRODUCT(--(MOD(CH189:CL189,2)=1))</f>
        <v>0</v>
      </c>
      <c r="CU189" s="3">
        <f t="shared" si="118"/>
        <v>5</v>
      </c>
      <c r="CV189" s="30"/>
      <c r="CW189" s="3" cm="1">
        <f t="array" ref="CW189">SUMPRODUCT(--(MOD(CH189:CL189,10)&gt;=1), --(MOD(CH189:CL189,10)&lt;=5))</f>
        <v>0</v>
      </c>
      <c r="CX189" s="3">
        <f t="shared" si="119"/>
        <v>5</v>
      </c>
      <c r="CY189" s="30"/>
      <c r="CZ189" s="3" cm="1">
        <f t="array" ref="CZ189">IFERROR(COUNT(_xlfn._xlws.FILTER(CH189:CL189, ISNUMBER(MATCH(CH189:CL189, {2,3,5,7,11,13,17,19,23,29,31,37,41,43}, 0)))), 0)</f>
        <v>0</v>
      </c>
      <c r="DA189" s="3" cm="1">
        <f t="array" ref="DA189">IFERROR(COUNT(_xlfn._xlws.FILTER(CH189:CL189, ISNUMBER(MATCH(CH189:CL189, {1,4,8,10,14,16,20,22,25,26,28,32,34,35,38,40,44}, 0)))), 0)</f>
        <v>0</v>
      </c>
      <c r="DB189" s="3" cm="1">
        <f t="array" ref="DB189">IFERROR(COUNT(_xlfn._xlws.FILTER(CH189:CL189, ISNUMBER(MATCH(CH189:CL189, {6,9,12,15,18,21,24,27,30,33,36,39,42,45}, 0)))), 0)</f>
        <v>0</v>
      </c>
      <c r="DC189" s="29"/>
      <c r="DD189" s="28" t="e">
        <f>#REF!</f>
        <v>#REF!</v>
      </c>
      <c r="DE189" s="28" t="e">
        <f>#REF!*2</f>
        <v>#REF!</v>
      </c>
      <c r="DF189" s="28" t="e">
        <f>#REF!</f>
        <v>#REF!</v>
      </c>
      <c r="DG189" s="28" t="e">
        <f>#REF!*2</f>
        <v>#REF!</v>
      </c>
      <c r="DH189" s="28" t="e">
        <f>#REF!</f>
        <v>#REF!</v>
      </c>
      <c r="DI189" s="28" t="e">
        <f>#REF!*2</f>
        <v>#REF!</v>
      </c>
      <c r="DJ189" s="28" t="e">
        <f>#REF!</f>
        <v>#REF!</v>
      </c>
      <c r="DK189" s="28" t="e">
        <f>#REF!*2</f>
        <v>#REF!</v>
      </c>
      <c r="DL189" s="28" t="e">
        <f>#REF!</f>
        <v>#REF!</v>
      </c>
      <c r="DM189" s="28" t="e">
        <f>#REF!*2</f>
        <v>#REF!</v>
      </c>
      <c r="DN189" s="27"/>
      <c r="DO189" s="26"/>
      <c r="DP189" s="26"/>
      <c r="DQ189" s="26"/>
      <c r="DR189" s="26"/>
      <c r="DS189" s="26"/>
      <c r="DT189" s="25"/>
    </row>
    <row r="190" spans="2:124" x14ac:dyDescent="0.3"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2"/>
      <c r="I190" s="3">
        <f t="shared" si="80"/>
        <v>0</v>
      </c>
      <c r="J190" s="3">
        <f t="shared" si="81"/>
        <v>0</v>
      </c>
      <c r="K190" s="3">
        <f t="shared" si="82"/>
        <v>0</v>
      </c>
      <c r="L190" s="3">
        <f t="shared" si="83"/>
        <v>0</v>
      </c>
      <c r="M190" s="3">
        <f t="shared" si="84"/>
        <v>0</v>
      </c>
      <c r="N190" s="3">
        <f t="shared" si="85"/>
        <v>0</v>
      </c>
      <c r="O190" s="32"/>
      <c r="P190" s="3" cm="1">
        <f t="array" ref="P190">SUMPRODUCT(--(MOD(B190:G190,2)=1))</f>
        <v>0</v>
      </c>
      <c r="Q190" s="3">
        <f t="shared" si="86"/>
        <v>6</v>
      </c>
      <c r="R190" s="34"/>
      <c r="S190" s="3">
        <f t="shared" si="87"/>
        <v>0</v>
      </c>
      <c r="T190" s="3">
        <f t="shared" si="88"/>
        <v>6</v>
      </c>
      <c r="U190" s="34"/>
      <c r="V190" s="3" cm="1">
        <f t="array" ref="V190">SUMPRODUCT(--(MOD(B190:G190,10)&gt;=1), --(MOD(B190:G190,10)&lt;=5))</f>
        <v>0</v>
      </c>
      <c r="W190" s="3">
        <f t="shared" si="89"/>
        <v>6</v>
      </c>
      <c r="X190" s="34"/>
      <c r="Y190" s="3" cm="1">
        <f t="array" ref="Y190">IFERROR(COUNT(_xlfn._xlws.FILTER(B190:G190, ISNUMBER(MATCH(B190:G190, {2,3,5,7,11,13,17,19,23,29,31,37,41,43}, 0)))), 0)</f>
        <v>0</v>
      </c>
      <c r="Z190" s="3" cm="1">
        <f t="array" ref="Z190">IFERROR(COUNT(_xlfn._xlws.FILTER(B190:G190, ISNUMBER(MATCH(B190:G190, {1,4,8,10,14,16,20,22,25,26,28,32,34,35,38,40,44}, 0)))), 0)</f>
        <v>0</v>
      </c>
      <c r="AA190" s="3" cm="1">
        <f t="array" ref="AA190">IFERROR(COUNT(_xlfn._xlws.FILTER(B190:G190, ISNUMBER(MATCH(B190:G190, {6,9,12,15,18,21,24,27,30,33,36,39,42,45}, 0)))), 0)</f>
        <v>0</v>
      </c>
      <c r="AB190" s="30"/>
      <c r="AC190" s="26" cm="1">
        <f t="array" ref="AC190">_xlfn.IFS(
   OR(B190="",ISBLANK(B190),B190=0),0,
   ISNUMBER(MATCH(B190,{2,3,5,7,11,13,17,19,23,29,31,37,41,43},0)),"소",
   AND(ISNUMBER(B190),MOD(B190,3)=0),"배",
   AND(ISNUMBER(B190),B190&gt;0),"자"
)</f>
        <v>0</v>
      </c>
      <c r="AD190" s="26" cm="1">
        <f t="array" ref="AD190">_xlfn.IFS(
   OR(C190="",ISBLANK(C190),C190=0),0,
   ISNUMBER(MATCH(C190,{2,3,5,7,11,13,17,19,23,29,31,37,41,43},0)),"소",
   AND(ISNUMBER(C190),MOD(C190,3)=0),"배",
   AND(ISNUMBER(C190),C190&gt;0),"자"
)</f>
        <v>0</v>
      </c>
      <c r="AE190" s="26" cm="1">
        <f t="array" ref="AE190">_xlfn.IFS(
   OR(D190="",ISBLANK(D190),D190=0),0,
   ISNUMBER(MATCH(D190,{2,3,5,7,11,13,17,19,23,29,31,37,41,43},0)),"소",
   AND(ISNUMBER(D190),MOD(D190,3)=0),"배",
   AND(ISNUMBER(D190),D190&gt;0),"자"
)</f>
        <v>0</v>
      </c>
      <c r="AF190" s="26" cm="1">
        <f t="array" ref="AF190">_xlfn.IFS(
   OR(E190="",ISBLANK(E190),E190=0),0,
   ISNUMBER(MATCH(E190,{2,3,5,7,11,13,17,19,23,29,31,37,41,43},0)),"소",
   AND(ISNUMBER(E190),MOD(E190,3)=0),"배",
   AND(ISNUMBER(E190),E190&gt;0),"자"
)</f>
        <v>0</v>
      </c>
      <c r="AG190" s="26" cm="1">
        <f t="array" ref="AG190">_xlfn.IFS(
   OR(F190="",ISBLANK(F190),F190=0),0,
   ISNUMBER(MATCH(F190,{2,3,5,7,11,13,17,19,23,29,31,37,41,43},0)),"소",
   AND(ISNUMBER(F190),MOD(F190,3)=0),"배",
   AND(ISNUMBER(F190),F190&gt;0),"자"
)</f>
        <v>0</v>
      </c>
      <c r="AH190" s="26" cm="1">
        <f t="array" ref="AH190">_xlfn.IFS(
   OR(G190="",ISBLANK(G190),G190=0),0,
   ISNUMBER(MATCH(G190,{2,3,5,7,11,13,17,19,23,29,31,37,41,43},0)),"소",
   AND(ISNUMBER(G190),MOD(G190,3)=0),"배",
   AND(ISNUMBER(G190),G190&gt;0),"자"
)</f>
        <v>0</v>
      </c>
      <c r="AI190" s="30"/>
      <c r="AJ190" s="3">
        <f t="shared" si="90"/>
        <v>0</v>
      </c>
      <c r="AK190" s="3">
        <f t="shared" si="91"/>
        <v>0</v>
      </c>
      <c r="AL190" s="3">
        <f t="shared" si="92"/>
        <v>6</v>
      </c>
      <c r="AM190" s="33"/>
      <c r="AN190" s="3">
        <f t="shared" si="93"/>
        <v>0</v>
      </c>
      <c r="AO190" s="3">
        <f t="shared" si="94"/>
        <v>0</v>
      </c>
      <c r="AP190" s="3">
        <f t="shared" si="95"/>
        <v>0</v>
      </c>
      <c r="AQ190" s="3">
        <f t="shared" si="96"/>
        <v>0</v>
      </c>
      <c r="AR190" s="3">
        <f t="shared" si="97"/>
        <v>0</v>
      </c>
      <c r="AS190" s="28" t="e">
        <f>#REF!</f>
        <v>#REF!</v>
      </c>
      <c r="AT190" s="28" t="e">
        <f>#REF!*2</f>
        <v>#REF!</v>
      </c>
      <c r="AU190" s="28" t="e">
        <f>#REF!</f>
        <v>#REF!</v>
      </c>
      <c r="AV190" s="28" t="e">
        <f>#REF!*2</f>
        <v>#REF!</v>
      </c>
      <c r="AW190" s="28" t="e">
        <f>#REF!</f>
        <v>#REF!</v>
      </c>
      <c r="AX190" s="28" t="e">
        <f>#REF!*2</f>
        <v>#REF!</v>
      </c>
      <c r="AY190" s="28" t="e">
        <f>#REF!</f>
        <v>#REF!</v>
      </c>
      <c r="AZ190" s="28" t="e">
        <f>#REF!*2</f>
        <v>#REF!</v>
      </c>
      <c r="BA190" s="28" t="e">
        <f>#REF!</f>
        <v>#REF!</v>
      </c>
      <c r="BB190" s="28" t="e">
        <f>#REF!*2</f>
        <v>#REF!</v>
      </c>
      <c r="BC190" s="28" t="e">
        <f>#REF!</f>
        <v>#REF!</v>
      </c>
      <c r="BD190" s="28" t="e">
        <f>#REF!*2</f>
        <v>#REF!</v>
      </c>
      <c r="BE190" s="9" t="e">
        <f>#REF!-#REF!</f>
        <v>#REF!</v>
      </c>
      <c r="BF190" s="9" t="e">
        <f>#REF!-#REF!</f>
        <v>#REF!</v>
      </c>
      <c r="BG190" s="9" t="e">
        <f>#REF!-#REF!</f>
        <v>#REF!</v>
      </c>
      <c r="BH190" s="9" t="e">
        <f>#REF!-#REF!</f>
        <v>#REF!</v>
      </c>
      <c r="BI190" s="9" t="e">
        <f>#REF!-#REF!</f>
        <v>#REF!</v>
      </c>
      <c r="BJ190" s="33"/>
      <c r="BK190" s="3">
        <f t="shared" si="98"/>
        <v>0</v>
      </c>
      <c r="BL190" s="3">
        <f t="shared" si="99"/>
        <v>0</v>
      </c>
      <c r="BM190" s="3">
        <f t="shared" si="100"/>
        <v>0</v>
      </c>
      <c r="BN190" s="3">
        <f t="shared" si="101"/>
        <v>0</v>
      </c>
      <c r="BO190" s="3">
        <f t="shared" si="102"/>
        <v>0</v>
      </c>
      <c r="BP190" s="28" t="e">
        <f>#REF!</f>
        <v>#REF!</v>
      </c>
      <c r="BQ190" s="28" t="e">
        <f>#REF!*2</f>
        <v>#REF!</v>
      </c>
      <c r="BR190" s="28" t="e">
        <f>#REF!</f>
        <v>#REF!</v>
      </c>
      <c r="BS190" s="28" t="e">
        <f>#REF!*2</f>
        <v>#REF!</v>
      </c>
      <c r="BT190" s="28" t="e">
        <f>#REF!</f>
        <v>#REF!</v>
      </c>
      <c r="BU190" s="28" t="e">
        <f>#REF!*2</f>
        <v>#REF!</v>
      </c>
      <c r="BV190" s="28" t="e">
        <f>#REF!</f>
        <v>#REF!</v>
      </c>
      <c r="BW190" s="28" t="e">
        <f>#REF!*2</f>
        <v>#REF!</v>
      </c>
      <c r="BX190" s="28" t="e">
        <f>#REF!</f>
        <v>#REF!</v>
      </c>
      <c r="BY190" s="28" t="e">
        <f>#REF!*2</f>
        <v>#REF!</v>
      </c>
      <c r="BZ190" s="28" t="e">
        <f>#REF!</f>
        <v>#REF!</v>
      </c>
      <c r="CA190" s="28" t="e">
        <f>#REF!*2</f>
        <v>#REF!</v>
      </c>
      <c r="CB190" s="9">
        <f t="shared" si="103"/>
        <v>0</v>
      </c>
      <c r="CC190" s="9">
        <f t="shared" si="104"/>
        <v>0</v>
      </c>
      <c r="CD190" s="9">
        <f t="shared" si="105"/>
        <v>0</v>
      </c>
      <c r="CE190" s="9">
        <f t="shared" si="106"/>
        <v>0</v>
      </c>
      <c r="CF190" s="9">
        <f t="shared" si="107"/>
        <v>0</v>
      </c>
      <c r="CG190" s="33"/>
      <c r="CH190" s="9">
        <f t="shared" si="108"/>
        <v>0</v>
      </c>
      <c r="CI190" s="9">
        <f t="shared" si="109"/>
        <v>0</v>
      </c>
      <c r="CJ190" s="9">
        <f t="shared" si="110"/>
        <v>0</v>
      </c>
      <c r="CK190" s="9">
        <f t="shared" si="111"/>
        <v>0</v>
      </c>
      <c r="CL190" s="9">
        <f t="shared" si="112"/>
        <v>0</v>
      </c>
      <c r="CM190" s="32"/>
      <c r="CN190" s="3">
        <f t="shared" si="113"/>
        <v>0</v>
      </c>
      <c r="CO190" s="3">
        <f t="shared" si="114"/>
        <v>0</v>
      </c>
      <c r="CP190" s="3">
        <f t="shared" si="115"/>
        <v>0</v>
      </c>
      <c r="CQ190" s="3">
        <f t="shared" si="116"/>
        <v>0</v>
      </c>
      <c r="CR190" s="3">
        <f t="shared" si="117"/>
        <v>0</v>
      </c>
      <c r="CS190" s="31"/>
      <c r="CT190" s="3" cm="1">
        <f t="array" ref="CT190">SUMPRODUCT(--(MOD(CH190:CL190,2)=1))</f>
        <v>0</v>
      </c>
      <c r="CU190" s="3">
        <f t="shared" si="118"/>
        <v>5</v>
      </c>
      <c r="CV190" s="30"/>
      <c r="CW190" s="3" cm="1">
        <f t="array" ref="CW190">SUMPRODUCT(--(MOD(CH190:CL190,10)&gt;=1), --(MOD(CH190:CL190,10)&lt;=5))</f>
        <v>0</v>
      </c>
      <c r="CX190" s="3">
        <f t="shared" si="119"/>
        <v>5</v>
      </c>
      <c r="CY190" s="30"/>
      <c r="CZ190" s="3" cm="1">
        <f t="array" ref="CZ190">IFERROR(COUNT(_xlfn._xlws.FILTER(CH190:CL190, ISNUMBER(MATCH(CH190:CL190, {2,3,5,7,11,13,17,19,23,29,31,37,41,43}, 0)))), 0)</f>
        <v>0</v>
      </c>
      <c r="DA190" s="3" cm="1">
        <f t="array" ref="DA190">IFERROR(COUNT(_xlfn._xlws.FILTER(CH190:CL190, ISNUMBER(MATCH(CH190:CL190, {1,4,8,10,14,16,20,22,25,26,28,32,34,35,38,40,44}, 0)))), 0)</f>
        <v>0</v>
      </c>
      <c r="DB190" s="3" cm="1">
        <f t="array" ref="DB190">IFERROR(COUNT(_xlfn._xlws.FILTER(CH190:CL190, ISNUMBER(MATCH(CH190:CL190, {6,9,12,15,18,21,24,27,30,33,36,39,42,45}, 0)))), 0)</f>
        <v>0</v>
      </c>
      <c r="DC190" s="29"/>
      <c r="DD190" s="28" t="e">
        <f>#REF!</f>
        <v>#REF!</v>
      </c>
      <c r="DE190" s="28" t="e">
        <f>#REF!*2</f>
        <v>#REF!</v>
      </c>
      <c r="DF190" s="28" t="e">
        <f>#REF!</f>
        <v>#REF!</v>
      </c>
      <c r="DG190" s="28" t="e">
        <f>#REF!*2</f>
        <v>#REF!</v>
      </c>
      <c r="DH190" s="28" t="e">
        <f>#REF!</f>
        <v>#REF!</v>
      </c>
      <c r="DI190" s="28" t="e">
        <f>#REF!*2</f>
        <v>#REF!</v>
      </c>
      <c r="DJ190" s="28" t="e">
        <f>#REF!</f>
        <v>#REF!</v>
      </c>
      <c r="DK190" s="28" t="e">
        <f>#REF!*2</f>
        <v>#REF!</v>
      </c>
      <c r="DL190" s="28" t="e">
        <f>#REF!</f>
        <v>#REF!</v>
      </c>
      <c r="DM190" s="28" t="e">
        <f>#REF!*2</f>
        <v>#REF!</v>
      </c>
      <c r="DN190" s="27"/>
      <c r="DO190" s="26"/>
      <c r="DP190" s="26"/>
      <c r="DQ190" s="26"/>
      <c r="DR190" s="26"/>
      <c r="DS190" s="26"/>
      <c r="DT190" s="25"/>
    </row>
    <row r="191" spans="2:124" x14ac:dyDescent="0.3"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2"/>
      <c r="I191" s="3">
        <f t="shared" si="80"/>
        <v>0</v>
      </c>
      <c r="J191" s="3">
        <f t="shared" si="81"/>
        <v>0</v>
      </c>
      <c r="K191" s="3">
        <f t="shared" si="82"/>
        <v>0</v>
      </c>
      <c r="L191" s="3">
        <f t="shared" si="83"/>
        <v>0</v>
      </c>
      <c r="M191" s="3">
        <f t="shared" si="84"/>
        <v>0</v>
      </c>
      <c r="N191" s="3">
        <f t="shared" si="85"/>
        <v>0</v>
      </c>
      <c r="O191" s="32"/>
      <c r="P191" s="3" cm="1">
        <f t="array" ref="P191">SUMPRODUCT(--(MOD(B191:G191,2)=1))</f>
        <v>0</v>
      </c>
      <c r="Q191" s="3">
        <f t="shared" si="86"/>
        <v>6</v>
      </c>
      <c r="R191" s="34"/>
      <c r="S191" s="3">
        <f t="shared" si="87"/>
        <v>0</v>
      </c>
      <c r="T191" s="3">
        <f t="shared" si="88"/>
        <v>6</v>
      </c>
      <c r="U191" s="34"/>
      <c r="V191" s="3" cm="1">
        <f t="array" ref="V191">SUMPRODUCT(--(MOD(B191:G191,10)&gt;=1), --(MOD(B191:G191,10)&lt;=5))</f>
        <v>0</v>
      </c>
      <c r="W191" s="3">
        <f t="shared" si="89"/>
        <v>6</v>
      </c>
      <c r="X191" s="34"/>
      <c r="Y191" s="3" cm="1">
        <f t="array" ref="Y191">IFERROR(COUNT(_xlfn._xlws.FILTER(B191:G191, ISNUMBER(MATCH(B191:G191, {2,3,5,7,11,13,17,19,23,29,31,37,41,43}, 0)))), 0)</f>
        <v>0</v>
      </c>
      <c r="Z191" s="3" cm="1">
        <f t="array" ref="Z191">IFERROR(COUNT(_xlfn._xlws.FILTER(B191:G191, ISNUMBER(MATCH(B191:G191, {1,4,8,10,14,16,20,22,25,26,28,32,34,35,38,40,44}, 0)))), 0)</f>
        <v>0</v>
      </c>
      <c r="AA191" s="3" cm="1">
        <f t="array" ref="AA191">IFERROR(COUNT(_xlfn._xlws.FILTER(B191:G191, ISNUMBER(MATCH(B191:G191, {6,9,12,15,18,21,24,27,30,33,36,39,42,45}, 0)))), 0)</f>
        <v>0</v>
      </c>
      <c r="AB191" s="30"/>
      <c r="AC191" s="26" cm="1">
        <f t="array" ref="AC191">_xlfn.IFS(
   OR(B191="",ISBLANK(B191),B191=0),0,
   ISNUMBER(MATCH(B191,{2,3,5,7,11,13,17,19,23,29,31,37,41,43},0)),"소",
   AND(ISNUMBER(B191),MOD(B191,3)=0),"배",
   AND(ISNUMBER(B191),B191&gt;0),"자"
)</f>
        <v>0</v>
      </c>
      <c r="AD191" s="26" cm="1">
        <f t="array" ref="AD191">_xlfn.IFS(
   OR(C191="",ISBLANK(C191),C191=0),0,
   ISNUMBER(MATCH(C191,{2,3,5,7,11,13,17,19,23,29,31,37,41,43},0)),"소",
   AND(ISNUMBER(C191),MOD(C191,3)=0),"배",
   AND(ISNUMBER(C191),C191&gt;0),"자"
)</f>
        <v>0</v>
      </c>
      <c r="AE191" s="26" cm="1">
        <f t="array" ref="AE191">_xlfn.IFS(
   OR(D191="",ISBLANK(D191),D191=0),0,
   ISNUMBER(MATCH(D191,{2,3,5,7,11,13,17,19,23,29,31,37,41,43},0)),"소",
   AND(ISNUMBER(D191),MOD(D191,3)=0),"배",
   AND(ISNUMBER(D191),D191&gt;0),"자"
)</f>
        <v>0</v>
      </c>
      <c r="AF191" s="26" cm="1">
        <f t="array" ref="AF191">_xlfn.IFS(
   OR(E191="",ISBLANK(E191),E191=0),0,
   ISNUMBER(MATCH(E191,{2,3,5,7,11,13,17,19,23,29,31,37,41,43},0)),"소",
   AND(ISNUMBER(E191),MOD(E191,3)=0),"배",
   AND(ISNUMBER(E191),E191&gt;0),"자"
)</f>
        <v>0</v>
      </c>
      <c r="AG191" s="26" cm="1">
        <f t="array" ref="AG191">_xlfn.IFS(
   OR(F191="",ISBLANK(F191),F191=0),0,
   ISNUMBER(MATCH(F191,{2,3,5,7,11,13,17,19,23,29,31,37,41,43},0)),"소",
   AND(ISNUMBER(F191),MOD(F191,3)=0),"배",
   AND(ISNUMBER(F191),F191&gt;0),"자"
)</f>
        <v>0</v>
      </c>
      <c r="AH191" s="26" cm="1">
        <f t="array" ref="AH191">_xlfn.IFS(
   OR(G191="",ISBLANK(G191),G191=0),0,
   ISNUMBER(MATCH(G191,{2,3,5,7,11,13,17,19,23,29,31,37,41,43},0)),"소",
   AND(ISNUMBER(G191),MOD(G191,3)=0),"배",
   AND(ISNUMBER(G191),G191&gt;0),"자"
)</f>
        <v>0</v>
      </c>
      <c r="AI191" s="30"/>
      <c r="AJ191" s="3">
        <f t="shared" si="90"/>
        <v>0</v>
      </c>
      <c r="AK191" s="3">
        <f t="shared" si="91"/>
        <v>0</v>
      </c>
      <c r="AL191" s="3">
        <f t="shared" si="92"/>
        <v>6</v>
      </c>
      <c r="AM191" s="33"/>
      <c r="AN191" s="3">
        <f t="shared" si="93"/>
        <v>0</v>
      </c>
      <c r="AO191" s="3">
        <f t="shared" si="94"/>
        <v>0</v>
      </c>
      <c r="AP191" s="3">
        <f t="shared" si="95"/>
        <v>0</v>
      </c>
      <c r="AQ191" s="3">
        <f t="shared" si="96"/>
        <v>0</v>
      </c>
      <c r="AR191" s="3">
        <f t="shared" si="97"/>
        <v>0</v>
      </c>
      <c r="AS191" s="28" t="e">
        <f>#REF!</f>
        <v>#REF!</v>
      </c>
      <c r="AT191" s="28" t="e">
        <f>#REF!*2</f>
        <v>#REF!</v>
      </c>
      <c r="AU191" s="28" t="e">
        <f>#REF!</f>
        <v>#REF!</v>
      </c>
      <c r="AV191" s="28" t="e">
        <f>#REF!*2</f>
        <v>#REF!</v>
      </c>
      <c r="AW191" s="28" t="e">
        <f>#REF!</f>
        <v>#REF!</v>
      </c>
      <c r="AX191" s="28" t="e">
        <f>#REF!*2</f>
        <v>#REF!</v>
      </c>
      <c r="AY191" s="28" t="e">
        <f>#REF!</f>
        <v>#REF!</v>
      </c>
      <c r="AZ191" s="28" t="e">
        <f>#REF!*2</f>
        <v>#REF!</v>
      </c>
      <c r="BA191" s="28" t="e">
        <f>#REF!</f>
        <v>#REF!</v>
      </c>
      <c r="BB191" s="28" t="e">
        <f>#REF!*2</f>
        <v>#REF!</v>
      </c>
      <c r="BC191" s="28" t="e">
        <f>#REF!</f>
        <v>#REF!</v>
      </c>
      <c r="BD191" s="28" t="e">
        <f>#REF!*2</f>
        <v>#REF!</v>
      </c>
      <c r="BE191" s="9" t="e">
        <f>#REF!-#REF!</f>
        <v>#REF!</v>
      </c>
      <c r="BF191" s="9" t="e">
        <f>#REF!-#REF!</f>
        <v>#REF!</v>
      </c>
      <c r="BG191" s="9" t="e">
        <f>#REF!-#REF!</f>
        <v>#REF!</v>
      </c>
      <c r="BH191" s="9" t="e">
        <f>#REF!-#REF!</f>
        <v>#REF!</v>
      </c>
      <c r="BI191" s="9" t="e">
        <f>#REF!-#REF!</f>
        <v>#REF!</v>
      </c>
      <c r="BJ191" s="33"/>
      <c r="BK191" s="3">
        <f t="shared" si="98"/>
        <v>0</v>
      </c>
      <c r="BL191" s="3">
        <f t="shared" si="99"/>
        <v>0</v>
      </c>
      <c r="BM191" s="3">
        <f t="shared" si="100"/>
        <v>0</v>
      </c>
      <c r="BN191" s="3">
        <f t="shared" si="101"/>
        <v>0</v>
      </c>
      <c r="BO191" s="3">
        <f t="shared" si="102"/>
        <v>0</v>
      </c>
      <c r="BP191" s="28" t="e">
        <f>#REF!</f>
        <v>#REF!</v>
      </c>
      <c r="BQ191" s="28" t="e">
        <f>#REF!*2</f>
        <v>#REF!</v>
      </c>
      <c r="BR191" s="28" t="e">
        <f>#REF!</f>
        <v>#REF!</v>
      </c>
      <c r="BS191" s="28" t="e">
        <f>#REF!*2</f>
        <v>#REF!</v>
      </c>
      <c r="BT191" s="28" t="e">
        <f>#REF!</f>
        <v>#REF!</v>
      </c>
      <c r="BU191" s="28" t="e">
        <f>#REF!*2</f>
        <v>#REF!</v>
      </c>
      <c r="BV191" s="28" t="e">
        <f>#REF!</f>
        <v>#REF!</v>
      </c>
      <c r="BW191" s="28" t="e">
        <f>#REF!*2</f>
        <v>#REF!</v>
      </c>
      <c r="BX191" s="28" t="e">
        <f>#REF!</f>
        <v>#REF!</v>
      </c>
      <c r="BY191" s="28" t="e">
        <f>#REF!*2</f>
        <v>#REF!</v>
      </c>
      <c r="BZ191" s="28" t="e">
        <f>#REF!</f>
        <v>#REF!</v>
      </c>
      <c r="CA191" s="28" t="e">
        <f>#REF!*2</f>
        <v>#REF!</v>
      </c>
      <c r="CB191" s="9">
        <f t="shared" si="103"/>
        <v>0</v>
      </c>
      <c r="CC191" s="9">
        <f t="shared" si="104"/>
        <v>0</v>
      </c>
      <c r="CD191" s="9">
        <f t="shared" si="105"/>
        <v>0</v>
      </c>
      <c r="CE191" s="9">
        <f t="shared" si="106"/>
        <v>0</v>
      </c>
      <c r="CF191" s="9">
        <f t="shared" si="107"/>
        <v>0</v>
      </c>
      <c r="CG191" s="33"/>
      <c r="CH191" s="9">
        <f t="shared" si="108"/>
        <v>0</v>
      </c>
      <c r="CI191" s="9">
        <f t="shared" si="109"/>
        <v>0</v>
      </c>
      <c r="CJ191" s="9">
        <f t="shared" si="110"/>
        <v>0</v>
      </c>
      <c r="CK191" s="9">
        <f t="shared" si="111"/>
        <v>0</v>
      </c>
      <c r="CL191" s="9">
        <f t="shared" si="112"/>
        <v>0</v>
      </c>
      <c r="CM191" s="32"/>
      <c r="CN191" s="3">
        <f t="shared" si="113"/>
        <v>0</v>
      </c>
      <c r="CO191" s="3">
        <f t="shared" si="114"/>
        <v>0</v>
      </c>
      <c r="CP191" s="3">
        <f t="shared" si="115"/>
        <v>0</v>
      </c>
      <c r="CQ191" s="3">
        <f t="shared" si="116"/>
        <v>0</v>
      </c>
      <c r="CR191" s="3">
        <f t="shared" si="117"/>
        <v>0</v>
      </c>
      <c r="CS191" s="31"/>
      <c r="CT191" s="3" cm="1">
        <f t="array" ref="CT191">SUMPRODUCT(--(MOD(CH191:CL191,2)=1))</f>
        <v>0</v>
      </c>
      <c r="CU191" s="3">
        <f t="shared" si="118"/>
        <v>5</v>
      </c>
      <c r="CV191" s="30"/>
      <c r="CW191" s="3" cm="1">
        <f t="array" ref="CW191">SUMPRODUCT(--(MOD(CH191:CL191,10)&gt;=1), --(MOD(CH191:CL191,10)&lt;=5))</f>
        <v>0</v>
      </c>
      <c r="CX191" s="3">
        <f t="shared" si="119"/>
        <v>5</v>
      </c>
      <c r="CY191" s="30"/>
      <c r="CZ191" s="3" cm="1">
        <f t="array" ref="CZ191">IFERROR(COUNT(_xlfn._xlws.FILTER(CH191:CL191, ISNUMBER(MATCH(CH191:CL191, {2,3,5,7,11,13,17,19,23,29,31,37,41,43}, 0)))), 0)</f>
        <v>0</v>
      </c>
      <c r="DA191" s="3" cm="1">
        <f t="array" ref="DA191">IFERROR(COUNT(_xlfn._xlws.FILTER(CH191:CL191, ISNUMBER(MATCH(CH191:CL191, {1,4,8,10,14,16,20,22,25,26,28,32,34,35,38,40,44}, 0)))), 0)</f>
        <v>0</v>
      </c>
      <c r="DB191" s="3" cm="1">
        <f t="array" ref="DB191">IFERROR(COUNT(_xlfn._xlws.FILTER(CH191:CL191, ISNUMBER(MATCH(CH191:CL191, {6,9,12,15,18,21,24,27,30,33,36,39,42,45}, 0)))), 0)</f>
        <v>0</v>
      </c>
      <c r="DC191" s="29"/>
      <c r="DD191" s="28" t="e">
        <f>#REF!</f>
        <v>#REF!</v>
      </c>
      <c r="DE191" s="28" t="e">
        <f>#REF!*2</f>
        <v>#REF!</v>
      </c>
      <c r="DF191" s="28" t="e">
        <f>#REF!</f>
        <v>#REF!</v>
      </c>
      <c r="DG191" s="28" t="e">
        <f>#REF!*2</f>
        <v>#REF!</v>
      </c>
      <c r="DH191" s="28" t="e">
        <f>#REF!</f>
        <v>#REF!</v>
      </c>
      <c r="DI191" s="28" t="e">
        <f>#REF!*2</f>
        <v>#REF!</v>
      </c>
      <c r="DJ191" s="28" t="e">
        <f>#REF!</f>
        <v>#REF!</v>
      </c>
      <c r="DK191" s="28" t="e">
        <f>#REF!*2</f>
        <v>#REF!</v>
      </c>
      <c r="DL191" s="28" t="e">
        <f>#REF!</f>
        <v>#REF!</v>
      </c>
      <c r="DM191" s="28" t="e">
        <f>#REF!*2</f>
        <v>#REF!</v>
      </c>
      <c r="DN191" s="27"/>
      <c r="DO191" s="26"/>
      <c r="DP191" s="26"/>
      <c r="DQ191" s="26"/>
      <c r="DR191" s="26"/>
      <c r="DS191" s="26"/>
      <c r="DT191" s="25"/>
    </row>
    <row r="192" spans="2:124" x14ac:dyDescent="0.3"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2"/>
      <c r="I192" s="3">
        <f t="shared" si="80"/>
        <v>0</v>
      </c>
      <c r="J192" s="3">
        <f t="shared" si="81"/>
        <v>0</v>
      </c>
      <c r="K192" s="3">
        <f t="shared" si="82"/>
        <v>0</v>
      </c>
      <c r="L192" s="3">
        <f t="shared" si="83"/>
        <v>0</v>
      </c>
      <c r="M192" s="3">
        <f t="shared" si="84"/>
        <v>0</v>
      </c>
      <c r="N192" s="3">
        <f t="shared" si="85"/>
        <v>0</v>
      </c>
      <c r="O192" s="32"/>
      <c r="P192" s="3" cm="1">
        <f t="array" ref="P192">SUMPRODUCT(--(MOD(B192:G192,2)=1))</f>
        <v>0</v>
      </c>
      <c r="Q192" s="3">
        <f t="shared" si="86"/>
        <v>6</v>
      </c>
      <c r="R192" s="34"/>
      <c r="S192" s="3">
        <f t="shared" si="87"/>
        <v>0</v>
      </c>
      <c r="T192" s="3">
        <f t="shared" si="88"/>
        <v>6</v>
      </c>
      <c r="U192" s="34"/>
      <c r="V192" s="3" cm="1">
        <f t="array" ref="V192">SUMPRODUCT(--(MOD(B192:G192,10)&gt;=1), --(MOD(B192:G192,10)&lt;=5))</f>
        <v>0</v>
      </c>
      <c r="W192" s="3">
        <f t="shared" si="89"/>
        <v>6</v>
      </c>
      <c r="X192" s="34"/>
      <c r="Y192" s="3" cm="1">
        <f t="array" ref="Y192">IFERROR(COUNT(_xlfn._xlws.FILTER(B192:G192, ISNUMBER(MATCH(B192:G192, {2,3,5,7,11,13,17,19,23,29,31,37,41,43}, 0)))), 0)</f>
        <v>0</v>
      </c>
      <c r="Z192" s="3" cm="1">
        <f t="array" ref="Z192">IFERROR(COUNT(_xlfn._xlws.FILTER(B192:G192, ISNUMBER(MATCH(B192:G192, {1,4,8,10,14,16,20,22,25,26,28,32,34,35,38,40,44}, 0)))), 0)</f>
        <v>0</v>
      </c>
      <c r="AA192" s="3" cm="1">
        <f t="array" ref="AA192">IFERROR(COUNT(_xlfn._xlws.FILTER(B192:G192, ISNUMBER(MATCH(B192:G192, {6,9,12,15,18,21,24,27,30,33,36,39,42,45}, 0)))), 0)</f>
        <v>0</v>
      </c>
      <c r="AB192" s="30"/>
      <c r="AC192" s="26" cm="1">
        <f t="array" ref="AC192">_xlfn.IFS(
   OR(B192="",ISBLANK(B192),B192=0),0,
   ISNUMBER(MATCH(B192,{2,3,5,7,11,13,17,19,23,29,31,37,41,43},0)),"소",
   AND(ISNUMBER(B192),MOD(B192,3)=0),"배",
   AND(ISNUMBER(B192),B192&gt;0),"자"
)</f>
        <v>0</v>
      </c>
      <c r="AD192" s="26" cm="1">
        <f t="array" ref="AD192">_xlfn.IFS(
   OR(C192="",ISBLANK(C192),C192=0),0,
   ISNUMBER(MATCH(C192,{2,3,5,7,11,13,17,19,23,29,31,37,41,43},0)),"소",
   AND(ISNUMBER(C192),MOD(C192,3)=0),"배",
   AND(ISNUMBER(C192),C192&gt;0),"자"
)</f>
        <v>0</v>
      </c>
      <c r="AE192" s="26" cm="1">
        <f t="array" ref="AE192">_xlfn.IFS(
   OR(D192="",ISBLANK(D192),D192=0),0,
   ISNUMBER(MATCH(D192,{2,3,5,7,11,13,17,19,23,29,31,37,41,43},0)),"소",
   AND(ISNUMBER(D192),MOD(D192,3)=0),"배",
   AND(ISNUMBER(D192),D192&gt;0),"자"
)</f>
        <v>0</v>
      </c>
      <c r="AF192" s="26" cm="1">
        <f t="array" ref="AF192">_xlfn.IFS(
   OR(E192="",ISBLANK(E192),E192=0),0,
   ISNUMBER(MATCH(E192,{2,3,5,7,11,13,17,19,23,29,31,37,41,43},0)),"소",
   AND(ISNUMBER(E192),MOD(E192,3)=0),"배",
   AND(ISNUMBER(E192),E192&gt;0),"자"
)</f>
        <v>0</v>
      </c>
      <c r="AG192" s="26" cm="1">
        <f t="array" ref="AG192">_xlfn.IFS(
   OR(F192="",ISBLANK(F192),F192=0),0,
   ISNUMBER(MATCH(F192,{2,3,5,7,11,13,17,19,23,29,31,37,41,43},0)),"소",
   AND(ISNUMBER(F192),MOD(F192,3)=0),"배",
   AND(ISNUMBER(F192),F192&gt;0),"자"
)</f>
        <v>0</v>
      </c>
      <c r="AH192" s="26" cm="1">
        <f t="array" ref="AH192">_xlfn.IFS(
   OR(G192="",ISBLANK(G192),G192=0),0,
   ISNUMBER(MATCH(G192,{2,3,5,7,11,13,17,19,23,29,31,37,41,43},0)),"소",
   AND(ISNUMBER(G192),MOD(G192,3)=0),"배",
   AND(ISNUMBER(G192),G192&gt;0),"자"
)</f>
        <v>0</v>
      </c>
      <c r="AI192" s="30"/>
      <c r="AJ192" s="3">
        <f t="shared" si="90"/>
        <v>0</v>
      </c>
      <c r="AK192" s="3">
        <f t="shared" si="91"/>
        <v>0</v>
      </c>
      <c r="AL192" s="3">
        <f t="shared" si="92"/>
        <v>6</v>
      </c>
      <c r="AM192" s="33"/>
      <c r="AN192" s="3">
        <f t="shared" si="93"/>
        <v>0</v>
      </c>
      <c r="AO192" s="3">
        <f t="shared" si="94"/>
        <v>0</v>
      </c>
      <c r="AP192" s="3">
        <f t="shared" si="95"/>
        <v>0</v>
      </c>
      <c r="AQ192" s="3">
        <f t="shared" si="96"/>
        <v>0</v>
      </c>
      <c r="AR192" s="3">
        <f t="shared" si="97"/>
        <v>0</v>
      </c>
      <c r="AS192" s="28" t="e">
        <f>#REF!</f>
        <v>#REF!</v>
      </c>
      <c r="AT192" s="28" t="e">
        <f>#REF!*2</f>
        <v>#REF!</v>
      </c>
      <c r="AU192" s="28" t="e">
        <f>#REF!</f>
        <v>#REF!</v>
      </c>
      <c r="AV192" s="28" t="e">
        <f>#REF!*2</f>
        <v>#REF!</v>
      </c>
      <c r="AW192" s="28" t="e">
        <f>#REF!</f>
        <v>#REF!</v>
      </c>
      <c r="AX192" s="28" t="e">
        <f>#REF!*2</f>
        <v>#REF!</v>
      </c>
      <c r="AY192" s="28" t="e">
        <f>#REF!</f>
        <v>#REF!</v>
      </c>
      <c r="AZ192" s="28" t="e">
        <f>#REF!*2</f>
        <v>#REF!</v>
      </c>
      <c r="BA192" s="28" t="e">
        <f>#REF!</f>
        <v>#REF!</v>
      </c>
      <c r="BB192" s="28" t="e">
        <f>#REF!*2</f>
        <v>#REF!</v>
      </c>
      <c r="BC192" s="28" t="e">
        <f>#REF!</f>
        <v>#REF!</v>
      </c>
      <c r="BD192" s="28" t="e">
        <f>#REF!*2</f>
        <v>#REF!</v>
      </c>
      <c r="BE192" s="9" t="e">
        <f>#REF!-#REF!</f>
        <v>#REF!</v>
      </c>
      <c r="BF192" s="9" t="e">
        <f>#REF!-#REF!</f>
        <v>#REF!</v>
      </c>
      <c r="BG192" s="9" t="e">
        <f>#REF!-#REF!</f>
        <v>#REF!</v>
      </c>
      <c r="BH192" s="9" t="e">
        <f>#REF!-#REF!</f>
        <v>#REF!</v>
      </c>
      <c r="BI192" s="9" t="e">
        <f>#REF!-#REF!</f>
        <v>#REF!</v>
      </c>
      <c r="BJ192" s="33"/>
      <c r="BK192" s="3">
        <f t="shared" si="98"/>
        <v>0</v>
      </c>
      <c r="BL192" s="3">
        <f t="shared" si="99"/>
        <v>0</v>
      </c>
      <c r="BM192" s="3">
        <f t="shared" si="100"/>
        <v>0</v>
      </c>
      <c r="BN192" s="3">
        <f t="shared" si="101"/>
        <v>0</v>
      </c>
      <c r="BO192" s="3">
        <f t="shared" si="102"/>
        <v>0</v>
      </c>
      <c r="BP192" s="28" t="e">
        <f>#REF!</f>
        <v>#REF!</v>
      </c>
      <c r="BQ192" s="28" t="e">
        <f>#REF!*2</f>
        <v>#REF!</v>
      </c>
      <c r="BR192" s="28" t="e">
        <f>#REF!</f>
        <v>#REF!</v>
      </c>
      <c r="BS192" s="28" t="e">
        <f>#REF!*2</f>
        <v>#REF!</v>
      </c>
      <c r="BT192" s="28" t="e">
        <f>#REF!</f>
        <v>#REF!</v>
      </c>
      <c r="BU192" s="28" t="e">
        <f>#REF!*2</f>
        <v>#REF!</v>
      </c>
      <c r="BV192" s="28" t="e">
        <f>#REF!</f>
        <v>#REF!</v>
      </c>
      <c r="BW192" s="28" t="e">
        <f>#REF!*2</f>
        <v>#REF!</v>
      </c>
      <c r="BX192" s="28" t="e">
        <f>#REF!</f>
        <v>#REF!</v>
      </c>
      <c r="BY192" s="28" t="e">
        <f>#REF!*2</f>
        <v>#REF!</v>
      </c>
      <c r="BZ192" s="28" t="e">
        <f>#REF!</f>
        <v>#REF!</v>
      </c>
      <c r="CA192" s="28" t="e">
        <f>#REF!*2</f>
        <v>#REF!</v>
      </c>
      <c r="CB192" s="9">
        <f t="shared" si="103"/>
        <v>0</v>
      </c>
      <c r="CC192" s="9">
        <f t="shared" si="104"/>
        <v>0</v>
      </c>
      <c r="CD192" s="9">
        <f t="shared" si="105"/>
        <v>0</v>
      </c>
      <c r="CE192" s="9">
        <f t="shared" si="106"/>
        <v>0</v>
      </c>
      <c r="CF192" s="9">
        <f t="shared" si="107"/>
        <v>0</v>
      </c>
      <c r="CG192" s="33"/>
      <c r="CH192" s="9">
        <f t="shared" si="108"/>
        <v>0</v>
      </c>
      <c r="CI192" s="9">
        <f t="shared" si="109"/>
        <v>0</v>
      </c>
      <c r="CJ192" s="9">
        <f t="shared" si="110"/>
        <v>0</v>
      </c>
      <c r="CK192" s="9">
        <f t="shared" si="111"/>
        <v>0</v>
      </c>
      <c r="CL192" s="9">
        <f t="shared" si="112"/>
        <v>0</v>
      </c>
      <c r="CM192" s="32"/>
      <c r="CN192" s="3">
        <f t="shared" si="113"/>
        <v>0</v>
      </c>
      <c r="CO192" s="3">
        <f t="shared" si="114"/>
        <v>0</v>
      </c>
      <c r="CP192" s="3">
        <f t="shared" si="115"/>
        <v>0</v>
      </c>
      <c r="CQ192" s="3">
        <f t="shared" si="116"/>
        <v>0</v>
      </c>
      <c r="CR192" s="3">
        <f t="shared" si="117"/>
        <v>0</v>
      </c>
      <c r="CS192" s="31"/>
      <c r="CT192" s="3" cm="1">
        <f t="array" ref="CT192">SUMPRODUCT(--(MOD(CH192:CL192,2)=1))</f>
        <v>0</v>
      </c>
      <c r="CU192" s="3">
        <f t="shared" si="118"/>
        <v>5</v>
      </c>
      <c r="CV192" s="30"/>
      <c r="CW192" s="3" cm="1">
        <f t="array" ref="CW192">SUMPRODUCT(--(MOD(CH192:CL192,10)&gt;=1), --(MOD(CH192:CL192,10)&lt;=5))</f>
        <v>0</v>
      </c>
      <c r="CX192" s="3">
        <f t="shared" si="119"/>
        <v>5</v>
      </c>
      <c r="CY192" s="30"/>
      <c r="CZ192" s="3" cm="1">
        <f t="array" ref="CZ192">IFERROR(COUNT(_xlfn._xlws.FILTER(CH192:CL192, ISNUMBER(MATCH(CH192:CL192, {2,3,5,7,11,13,17,19,23,29,31,37,41,43}, 0)))), 0)</f>
        <v>0</v>
      </c>
      <c r="DA192" s="3" cm="1">
        <f t="array" ref="DA192">IFERROR(COUNT(_xlfn._xlws.FILTER(CH192:CL192, ISNUMBER(MATCH(CH192:CL192, {1,4,8,10,14,16,20,22,25,26,28,32,34,35,38,40,44}, 0)))), 0)</f>
        <v>0</v>
      </c>
      <c r="DB192" s="3" cm="1">
        <f t="array" ref="DB192">IFERROR(COUNT(_xlfn._xlws.FILTER(CH192:CL192, ISNUMBER(MATCH(CH192:CL192, {6,9,12,15,18,21,24,27,30,33,36,39,42,45}, 0)))), 0)</f>
        <v>0</v>
      </c>
      <c r="DC192" s="29"/>
      <c r="DD192" s="28" t="e">
        <f>#REF!</f>
        <v>#REF!</v>
      </c>
      <c r="DE192" s="28" t="e">
        <f>#REF!*2</f>
        <v>#REF!</v>
      </c>
      <c r="DF192" s="28" t="e">
        <f>#REF!</f>
        <v>#REF!</v>
      </c>
      <c r="DG192" s="28" t="e">
        <f>#REF!*2</f>
        <v>#REF!</v>
      </c>
      <c r="DH192" s="28" t="e">
        <f>#REF!</f>
        <v>#REF!</v>
      </c>
      <c r="DI192" s="28" t="e">
        <f>#REF!*2</f>
        <v>#REF!</v>
      </c>
      <c r="DJ192" s="28" t="e">
        <f>#REF!</f>
        <v>#REF!</v>
      </c>
      <c r="DK192" s="28" t="e">
        <f>#REF!*2</f>
        <v>#REF!</v>
      </c>
      <c r="DL192" s="28" t="e">
        <f>#REF!</f>
        <v>#REF!</v>
      </c>
      <c r="DM192" s="28" t="e">
        <f>#REF!*2</f>
        <v>#REF!</v>
      </c>
      <c r="DN192" s="27"/>
      <c r="DO192" s="26"/>
      <c r="DP192" s="26"/>
      <c r="DQ192" s="26"/>
      <c r="DR192" s="26"/>
      <c r="DS192" s="26"/>
      <c r="DT192" s="25"/>
    </row>
    <row r="193" spans="2:124" x14ac:dyDescent="0.3"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2"/>
      <c r="I193" s="3">
        <f t="shared" si="80"/>
        <v>0</v>
      </c>
      <c r="J193" s="3">
        <f t="shared" si="81"/>
        <v>0</v>
      </c>
      <c r="K193" s="3">
        <f t="shared" si="82"/>
        <v>0</v>
      </c>
      <c r="L193" s="3">
        <f t="shared" si="83"/>
        <v>0</v>
      </c>
      <c r="M193" s="3">
        <f t="shared" si="84"/>
        <v>0</v>
      </c>
      <c r="N193" s="3">
        <f t="shared" si="85"/>
        <v>0</v>
      </c>
      <c r="O193" s="32"/>
      <c r="P193" s="3" cm="1">
        <f t="array" ref="P193">SUMPRODUCT(--(MOD(B193:G193,2)=1))</f>
        <v>0</v>
      </c>
      <c r="Q193" s="3">
        <f t="shared" si="86"/>
        <v>6</v>
      </c>
      <c r="R193" s="34"/>
      <c r="S193" s="3">
        <f t="shared" si="87"/>
        <v>0</v>
      </c>
      <c r="T193" s="3">
        <f t="shared" si="88"/>
        <v>6</v>
      </c>
      <c r="U193" s="34"/>
      <c r="V193" s="3" cm="1">
        <f t="array" ref="V193">SUMPRODUCT(--(MOD(B193:G193,10)&gt;=1), --(MOD(B193:G193,10)&lt;=5))</f>
        <v>0</v>
      </c>
      <c r="W193" s="3">
        <f t="shared" si="89"/>
        <v>6</v>
      </c>
      <c r="X193" s="34"/>
      <c r="Y193" s="3" cm="1">
        <f t="array" ref="Y193">IFERROR(COUNT(_xlfn._xlws.FILTER(B193:G193, ISNUMBER(MATCH(B193:G193, {2,3,5,7,11,13,17,19,23,29,31,37,41,43}, 0)))), 0)</f>
        <v>0</v>
      </c>
      <c r="Z193" s="3" cm="1">
        <f t="array" ref="Z193">IFERROR(COUNT(_xlfn._xlws.FILTER(B193:G193, ISNUMBER(MATCH(B193:G193, {1,4,8,10,14,16,20,22,25,26,28,32,34,35,38,40,44}, 0)))), 0)</f>
        <v>0</v>
      </c>
      <c r="AA193" s="3" cm="1">
        <f t="array" ref="AA193">IFERROR(COUNT(_xlfn._xlws.FILTER(B193:G193, ISNUMBER(MATCH(B193:G193, {6,9,12,15,18,21,24,27,30,33,36,39,42,45}, 0)))), 0)</f>
        <v>0</v>
      </c>
      <c r="AB193" s="30"/>
      <c r="AC193" s="26" cm="1">
        <f t="array" ref="AC193">_xlfn.IFS(
   OR(B193="",ISBLANK(B193),B193=0),0,
   ISNUMBER(MATCH(B193,{2,3,5,7,11,13,17,19,23,29,31,37,41,43},0)),"소",
   AND(ISNUMBER(B193),MOD(B193,3)=0),"배",
   AND(ISNUMBER(B193),B193&gt;0),"자"
)</f>
        <v>0</v>
      </c>
      <c r="AD193" s="26" cm="1">
        <f t="array" ref="AD193">_xlfn.IFS(
   OR(C193="",ISBLANK(C193),C193=0),0,
   ISNUMBER(MATCH(C193,{2,3,5,7,11,13,17,19,23,29,31,37,41,43},0)),"소",
   AND(ISNUMBER(C193),MOD(C193,3)=0),"배",
   AND(ISNUMBER(C193),C193&gt;0),"자"
)</f>
        <v>0</v>
      </c>
      <c r="AE193" s="26" cm="1">
        <f t="array" ref="AE193">_xlfn.IFS(
   OR(D193="",ISBLANK(D193),D193=0),0,
   ISNUMBER(MATCH(D193,{2,3,5,7,11,13,17,19,23,29,31,37,41,43},0)),"소",
   AND(ISNUMBER(D193),MOD(D193,3)=0),"배",
   AND(ISNUMBER(D193),D193&gt;0),"자"
)</f>
        <v>0</v>
      </c>
      <c r="AF193" s="26" cm="1">
        <f t="array" ref="AF193">_xlfn.IFS(
   OR(E193="",ISBLANK(E193),E193=0),0,
   ISNUMBER(MATCH(E193,{2,3,5,7,11,13,17,19,23,29,31,37,41,43},0)),"소",
   AND(ISNUMBER(E193),MOD(E193,3)=0),"배",
   AND(ISNUMBER(E193),E193&gt;0),"자"
)</f>
        <v>0</v>
      </c>
      <c r="AG193" s="26" cm="1">
        <f t="array" ref="AG193">_xlfn.IFS(
   OR(F193="",ISBLANK(F193),F193=0),0,
   ISNUMBER(MATCH(F193,{2,3,5,7,11,13,17,19,23,29,31,37,41,43},0)),"소",
   AND(ISNUMBER(F193),MOD(F193,3)=0),"배",
   AND(ISNUMBER(F193),F193&gt;0),"자"
)</f>
        <v>0</v>
      </c>
      <c r="AH193" s="26" cm="1">
        <f t="array" ref="AH193">_xlfn.IFS(
   OR(G193="",ISBLANK(G193),G193=0),0,
   ISNUMBER(MATCH(G193,{2,3,5,7,11,13,17,19,23,29,31,37,41,43},0)),"소",
   AND(ISNUMBER(G193),MOD(G193,3)=0),"배",
   AND(ISNUMBER(G193),G193&gt;0),"자"
)</f>
        <v>0</v>
      </c>
      <c r="AI193" s="30"/>
      <c r="AJ193" s="3">
        <f t="shared" si="90"/>
        <v>0</v>
      </c>
      <c r="AK193" s="3">
        <f t="shared" si="91"/>
        <v>0</v>
      </c>
      <c r="AL193" s="3">
        <f t="shared" si="92"/>
        <v>6</v>
      </c>
      <c r="AM193" s="33"/>
      <c r="AN193" s="3">
        <f t="shared" si="93"/>
        <v>0</v>
      </c>
      <c r="AO193" s="3">
        <f t="shared" si="94"/>
        <v>0</v>
      </c>
      <c r="AP193" s="3">
        <f t="shared" si="95"/>
        <v>0</v>
      </c>
      <c r="AQ193" s="3">
        <f t="shared" si="96"/>
        <v>0</v>
      </c>
      <c r="AR193" s="3">
        <f t="shared" si="97"/>
        <v>0</v>
      </c>
      <c r="AS193" s="28" t="e">
        <f>#REF!</f>
        <v>#REF!</v>
      </c>
      <c r="AT193" s="28" t="e">
        <f>#REF!*2</f>
        <v>#REF!</v>
      </c>
      <c r="AU193" s="28" t="e">
        <f>#REF!</f>
        <v>#REF!</v>
      </c>
      <c r="AV193" s="28" t="e">
        <f>#REF!*2</f>
        <v>#REF!</v>
      </c>
      <c r="AW193" s="28" t="e">
        <f>#REF!</f>
        <v>#REF!</v>
      </c>
      <c r="AX193" s="28" t="e">
        <f>#REF!*2</f>
        <v>#REF!</v>
      </c>
      <c r="AY193" s="28" t="e">
        <f>#REF!</f>
        <v>#REF!</v>
      </c>
      <c r="AZ193" s="28" t="e">
        <f>#REF!*2</f>
        <v>#REF!</v>
      </c>
      <c r="BA193" s="28" t="e">
        <f>#REF!</f>
        <v>#REF!</v>
      </c>
      <c r="BB193" s="28" t="e">
        <f>#REF!*2</f>
        <v>#REF!</v>
      </c>
      <c r="BC193" s="28" t="e">
        <f>#REF!</f>
        <v>#REF!</v>
      </c>
      <c r="BD193" s="28" t="e">
        <f>#REF!*2</f>
        <v>#REF!</v>
      </c>
      <c r="BE193" s="9" t="e">
        <f>#REF!-#REF!</f>
        <v>#REF!</v>
      </c>
      <c r="BF193" s="9" t="e">
        <f>#REF!-#REF!</f>
        <v>#REF!</v>
      </c>
      <c r="BG193" s="9" t="e">
        <f>#REF!-#REF!</f>
        <v>#REF!</v>
      </c>
      <c r="BH193" s="9" t="e">
        <f>#REF!-#REF!</f>
        <v>#REF!</v>
      </c>
      <c r="BI193" s="9" t="e">
        <f>#REF!-#REF!</f>
        <v>#REF!</v>
      </c>
      <c r="BJ193" s="33"/>
      <c r="BK193" s="3">
        <f t="shared" si="98"/>
        <v>0</v>
      </c>
      <c r="BL193" s="3">
        <f t="shared" si="99"/>
        <v>0</v>
      </c>
      <c r="BM193" s="3">
        <f t="shared" si="100"/>
        <v>0</v>
      </c>
      <c r="BN193" s="3">
        <f t="shared" si="101"/>
        <v>0</v>
      </c>
      <c r="BO193" s="3">
        <f t="shared" si="102"/>
        <v>0</v>
      </c>
      <c r="BP193" s="28" t="e">
        <f>#REF!</f>
        <v>#REF!</v>
      </c>
      <c r="BQ193" s="28" t="e">
        <f>#REF!*2</f>
        <v>#REF!</v>
      </c>
      <c r="BR193" s="28" t="e">
        <f>#REF!</f>
        <v>#REF!</v>
      </c>
      <c r="BS193" s="28" t="e">
        <f>#REF!*2</f>
        <v>#REF!</v>
      </c>
      <c r="BT193" s="28" t="e">
        <f>#REF!</f>
        <v>#REF!</v>
      </c>
      <c r="BU193" s="28" t="e">
        <f>#REF!*2</f>
        <v>#REF!</v>
      </c>
      <c r="BV193" s="28" t="e">
        <f>#REF!</f>
        <v>#REF!</v>
      </c>
      <c r="BW193" s="28" t="e">
        <f>#REF!*2</f>
        <v>#REF!</v>
      </c>
      <c r="BX193" s="28" t="e">
        <f>#REF!</f>
        <v>#REF!</v>
      </c>
      <c r="BY193" s="28" t="e">
        <f>#REF!*2</f>
        <v>#REF!</v>
      </c>
      <c r="BZ193" s="28" t="e">
        <f>#REF!</f>
        <v>#REF!</v>
      </c>
      <c r="CA193" s="28" t="e">
        <f>#REF!*2</f>
        <v>#REF!</v>
      </c>
      <c r="CB193" s="9">
        <f t="shared" si="103"/>
        <v>0</v>
      </c>
      <c r="CC193" s="9">
        <f t="shared" si="104"/>
        <v>0</v>
      </c>
      <c r="CD193" s="9">
        <f t="shared" si="105"/>
        <v>0</v>
      </c>
      <c r="CE193" s="9">
        <f t="shared" si="106"/>
        <v>0</v>
      </c>
      <c r="CF193" s="9">
        <f t="shared" si="107"/>
        <v>0</v>
      </c>
      <c r="CG193" s="33"/>
      <c r="CH193" s="9">
        <f t="shared" si="108"/>
        <v>0</v>
      </c>
      <c r="CI193" s="9">
        <f t="shared" si="109"/>
        <v>0</v>
      </c>
      <c r="CJ193" s="9">
        <f t="shared" si="110"/>
        <v>0</v>
      </c>
      <c r="CK193" s="9">
        <f t="shared" si="111"/>
        <v>0</v>
      </c>
      <c r="CL193" s="9">
        <f t="shared" si="112"/>
        <v>0</v>
      </c>
      <c r="CM193" s="32"/>
      <c r="CN193" s="3">
        <f t="shared" si="113"/>
        <v>0</v>
      </c>
      <c r="CO193" s="3">
        <f t="shared" si="114"/>
        <v>0</v>
      </c>
      <c r="CP193" s="3">
        <f t="shared" si="115"/>
        <v>0</v>
      </c>
      <c r="CQ193" s="3">
        <f t="shared" si="116"/>
        <v>0</v>
      </c>
      <c r="CR193" s="3">
        <f t="shared" si="117"/>
        <v>0</v>
      </c>
      <c r="CS193" s="31"/>
      <c r="CT193" s="3" cm="1">
        <f t="array" ref="CT193">SUMPRODUCT(--(MOD(CH193:CL193,2)=1))</f>
        <v>0</v>
      </c>
      <c r="CU193" s="3">
        <f t="shared" si="118"/>
        <v>5</v>
      </c>
      <c r="CV193" s="30"/>
      <c r="CW193" s="3" cm="1">
        <f t="array" ref="CW193">SUMPRODUCT(--(MOD(CH193:CL193,10)&gt;=1), --(MOD(CH193:CL193,10)&lt;=5))</f>
        <v>0</v>
      </c>
      <c r="CX193" s="3">
        <f t="shared" si="119"/>
        <v>5</v>
      </c>
      <c r="CY193" s="30"/>
      <c r="CZ193" s="3" cm="1">
        <f t="array" ref="CZ193">IFERROR(COUNT(_xlfn._xlws.FILTER(CH193:CL193, ISNUMBER(MATCH(CH193:CL193, {2,3,5,7,11,13,17,19,23,29,31,37,41,43}, 0)))), 0)</f>
        <v>0</v>
      </c>
      <c r="DA193" s="3" cm="1">
        <f t="array" ref="DA193">IFERROR(COUNT(_xlfn._xlws.FILTER(CH193:CL193, ISNUMBER(MATCH(CH193:CL193, {1,4,8,10,14,16,20,22,25,26,28,32,34,35,38,40,44}, 0)))), 0)</f>
        <v>0</v>
      </c>
      <c r="DB193" s="3" cm="1">
        <f t="array" ref="DB193">IFERROR(COUNT(_xlfn._xlws.FILTER(CH193:CL193, ISNUMBER(MATCH(CH193:CL193, {6,9,12,15,18,21,24,27,30,33,36,39,42,45}, 0)))), 0)</f>
        <v>0</v>
      </c>
      <c r="DC193" s="29"/>
      <c r="DD193" s="28" t="e">
        <f>#REF!</f>
        <v>#REF!</v>
      </c>
      <c r="DE193" s="28" t="e">
        <f>#REF!*2</f>
        <v>#REF!</v>
      </c>
      <c r="DF193" s="28" t="e">
        <f>#REF!</f>
        <v>#REF!</v>
      </c>
      <c r="DG193" s="28" t="e">
        <f>#REF!*2</f>
        <v>#REF!</v>
      </c>
      <c r="DH193" s="28" t="e">
        <f>#REF!</f>
        <v>#REF!</v>
      </c>
      <c r="DI193" s="28" t="e">
        <f>#REF!*2</f>
        <v>#REF!</v>
      </c>
      <c r="DJ193" s="28" t="e">
        <f>#REF!</f>
        <v>#REF!</v>
      </c>
      <c r="DK193" s="28" t="e">
        <f>#REF!*2</f>
        <v>#REF!</v>
      </c>
      <c r="DL193" s="28" t="e">
        <f>#REF!</f>
        <v>#REF!</v>
      </c>
      <c r="DM193" s="28" t="e">
        <f>#REF!*2</f>
        <v>#REF!</v>
      </c>
      <c r="DN193" s="27"/>
      <c r="DO193" s="26"/>
      <c r="DP193" s="26"/>
      <c r="DQ193" s="26"/>
      <c r="DR193" s="26"/>
      <c r="DS193" s="26"/>
      <c r="DT193" s="25"/>
    </row>
    <row r="194" spans="2:124" x14ac:dyDescent="0.3"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2"/>
      <c r="I194" s="3">
        <f t="shared" si="80"/>
        <v>0</v>
      </c>
      <c r="J194" s="3">
        <f t="shared" si="81"/>
        <v>0</v>
      </c>
      <c r="K194" s="3">
        <f t="shared" si="82"/>
        <v>0</v>
      </c>
      <c r="L194" s="3">
        <f t="shared" si="83"/>
        <v>0</v>
      </c>
      <c r="M194" s="3">
        <f t="shared" si="84"/>
        <v>0</v>
      </c>
      <c r="N194" s="3">
        <f t="shared" si="85"/>
        <v>0</v>
      </c>
      <c r="O194" s="32"/>
      <c r="P194" s="3" cm="1">
        <f t="array" ref="P194">SUMPRODUCT(--(MOD(B194:G194,2)=1))</f>
        <v>0</v>
      </c>
      <c r="Q194" s="3">
        <f t="shared" si="86"/>
        <v>6</v>
      </c>
      <c r="R194" s="34"/>
      <c r="S194" s="3">
        <f t="shared" si="87"/>
        <v>0</v>
      </c>
      <c r="T194" s="3">
        <f t="shared" si="88"/>
        <v>6</v>
      </c>
      <c r="U194" s="34"/>
      <c r="V194" s="3" cm="1">
        <f t="array" ref="V194">SUMPRODUCT(--(MOD(B194:G194,10)&gt;=1), --(MOD(B194:G194,10)&lt;=5))</f>
        <v>0</v>
      </c>
      <c r="W194" s="3">
        <f t="shared" si="89"/>
        <v>6</v>
      </c>
      <c r="X194" s="34"/>
      <c r="Y194" s="3" cm="1">
        <f t="array" ref="Y194">IFERROR(COUNT(_xlfn._xlws.FILTER(B194:G194, ISNUMBER(MATCH(B194:G194, {2,3,5,7,11,13,17,19,23,29,31,37,41,43}, 0)))), 0)</f>
        <v>0</v>
      </c>
      <c r="Z194" s="3" cm="1">
        <f t="array" ref="Z194">IFERROR(COUNT(_xlfn._xlws.FILTER(B194:G194, ISNUMBER(MATCH(B194:G194, {1,4,8,10,14,16,20,22,25,26,28,32,34,35,38,40,44}, 0)))), 0)</f>
        <v>0</v>
      </c>
      <c r="AA194" s="3" cm="1">
        <f t="array" ref="AA194">IFERROR(COUNT(_xlfn._xlws.FILTER(B194:G194, ISNUMBER(MATCH(B194:G194, {6,9,12,15,18,21,24,27,30,33,36,39,42,45}, 0)))), 0)</f>
        <v>0</v>
      </c>
      <c r="AB194" s="30"/>
      <c r="AC194" s="26" cm="1">
        <f t="array" ref="AC194">_xlfn.IFS(
   OR(B194="",ISBLANK(B194),B194=0),0,
   ISNUMBER(MATCH(B194,{2,3,5,7,11,13,17,19,23,29,31,37,41,43},0)),"소",
   AND(ISNUMBER(B194),MOD(B194,3)=0),"배",
   AND(ISNUMBER(B194),B194&gt;0),"자"
)</f>
        <v>0</v>
      </c>
      <c r="AD194" s="26" cm="1">
        <f t="array" ref="AD194">_xlfn.IFS(
   OR(C194="",ISBLANK(C194),C194=0),0,
   ISNUMBER(MATCH(C194,{2,3,5,7,11,13,17,19,23,29,31,37,41,43},0)),"소",
   AND(ISNUMBER(C194),MOD(C194,3)=0),"배",
   AND(ISNUMBER(C194),C194&gt;0),"자"
)</f>
        <v>0</v>
      </c>
      <c r="AE194" s="26" cm="1">
        <f t="array" ref="AE194">_xlfn.IFS(
   OR(D194="",ISBLANK(D194),D194=0),0,
   ISNUMBER(MATCH(D194,{2,3,5,7,11,13,17,19,23,29,31,37,41,43},0)),"소",
   AND(ISNUMBER(D194),MOD(D194,3)=0),"배",
   AND(ISNUMBER(D194),D194&gt;0),"자"
)</f>
        <v>0</v>
      </c>
      <c r="AF194" s="26" cm="1">
        <f t="array" ref="AF194">_xlfn.IFS(
   OR(E194="",ISBLANK(E194),E194=0),0,
   ISNUMBER(MATCH(E194,{2,3,5,7,11,13,17,19,23,29,31,37,41,43},0)),"소",
   AND(ISNUMBER(E194),MOD(E194,3)=0),"배",
   AND(ISNUMBER(E194),E194&gt;0),"자"
)</f>
        <v>0</v>
      </c>
      <c r="AG194" s="26" cm="1">
        <f t="array" ref="AG194">_xlfn.IFS(
   OR(F194="",ISBLANK(F194),F194=0),0,
   ISNUMBER(MATCH(F194,{2,3,5,7,11,13,17,19,23,29,31,37,41,43},0)),"소",
   AND(ISNUMBER(F194),MOD(F194,3)=0),"배",
   AND(ISNUMBER(F194),F194&gt;0),"자"
)</f>
        <v>0</v>
      </c>
      <c r="AH194" s="26" cm="1">
        <f t="array" ref="AH194">_xlfn.IFS(
   OR(G194="",ISBLANK(G194),G194=0),0,
   ISNUMBER(MATCH(G194,{2,3,5,7,11,13,17,19,23,29,31,37,41,43},0)),"소",
   AND(ISNUMBER(G194),MOD(G194,3)=0),"배",
   AND(ISNUMBER(G194),G194&gt;0),"자"
)</f>
        <v>0</v>
      </c>
      <c r="AI194" s="30"/>
      <c r="AJ194" s="3">
        <f t="shared" si="90"/>
        <v>0</v>
      </c>
      <c r="AK194" s="3">
        <f t="shared" si="91"/>
        <v>0</v>
      </c>
      <c r="AL194" s="3">
        <f t="shared" si="92"/>
        <v>6</v>
      </c>
      <c r="AM194" s="33"/>
      <c r="AN194" s="3">
        <f t="shared" si="93"/>
        <v>0</v>
      </c>
      <c r="AO194" s="3">
        <f t="shared" si="94"/>
        <v>0</v>
      </c>
      <c r="AP194" s="3">
        <f t="shared" si="95"/>
        <v>0</v>
      </c>
      <c r="AQ194" s="3">
        <f t="shared" si="96"/>
        <v>0</v>
      </c>
      <c r="AR194" s="3">
        <f t="shared" si="97"/>
        <v>0</v>
      </c>
      <c r="AS194" s="28" t="e">
        <f>#REF!</f>
        <v>#REF!</v>
      </c>
      <c r="AT194" s="28" t="e">
        <f>#REF!*2</f>
        <v>#REF!</v>
      </c>
      <c r="AU194" s="28" t="e">
        <f>#REF!</f>
        <v>#REF!</v>
      </c>
      <c r="AV194" s="28" t="e">
        <f>#REF!*2</f>
        <v>#REF!</v>
      </c>
      <c r="AW194" s="28" t="e">
        <f>#REF!</f>
        <v>#REF!</v>
      </c>
      <c r="AX194" s="28" t="e">
        <f>#REF!*2</f>
        <v>#REF!</v>
      </c>
      <c r="AY194" s="28" t="e">
        <f>#REF!</f>
        <v>#REF!</v>
      </c>
      <c r="AZ194" s="28" t="e">
        <f>#REF!*2</f>
        <v>#REF!</v>
      </c>
      <c r="BA194" s="28" t="e">
        <f>#REF!</f>
        <v>#REF!</v>
      </c>
      <c r="BB194" s="28" t="e">
        <f>#REF!*2</f>
        <v>#REF!</v>
      </c>
      <c r="BC194" s="28" t="e">
        <f>#REF!</f>
        <v>#REF!</v>
      </c>
      <c r="BD194" s="28" t="e">
        <f>#REF!*2</f>
        <v>#REF!</v>
      </c>
      <c r="BE194" s="9" t="e">
        <f>#REF!-#REF!</f>
        <v>#REF!</v>
      </c>
      <c r="BF194" s="9" t="e">
        <f>#REF!-#REF!</f>
        <v>#REF!</v>
      </c>
      <c r="BG194" s="9" t="e">
        <f>#REF!-#REF!</f>
        <v>#REF!</v>
      </c>
      <c r="BH194" s="9" t="e">
        <f>#REF!-#REF!</f>
        <v>#REF!</v>
      </c>
      <c r="BI194" s="9" t="e">
        <f>#REF!-#REF!</f>
        <v>#REF!</v>
      </c>
      <c r="BJ194" s="33"/>
      <c r="BK194" s="3">
        <f t="shared" si="98"/>
        <v>0</v>
      </c>
      <c r="BL194" s="3">
        <f t="shared" si="99"/>
        <v>0</v>
      </c>
      <c r="BM194" s="3">
        <f t="shared" si="100"/>
        <v>0</v>
      </c>
      <c r="BN194" s="3">
        <f t="shared" si="101"/>
        <v>0</v>
      </c>
      <c r="BO194" s="3">
        <f t="shared" si="102"/>
        <v>0</v>
      </c>
      <c r="BP194" s="28" t="e">
        <f>#REF!</f>
        <v>#REF!</v>
      </c>
      <c r="BQ194" s="28" t="e">
        <f>#REF!*2</f>
        <v>#REF!</v>
      </c>
      <c r="BR194" s="28" t="e">
        <f>#REF!</f>
        <v>#REF!</v>
      </c>
      <c r="BS194" s="28" t="e">
        <f>#REF!*2</f>
        <v>#REF!</v>
      </c>
      <c r="BT194" s="28" t="e">
        <f>#REF!</f>
        <v>#REF!</v>
      </c>
      <c r="BU194" s="28" t="e">
        <f>#REF!*2</f>
        <v>#REF!</v>
      </c>
      <c r="BV194" s="28" t="e">
        <f>#REF!</f>
        <v>#REF!</v>
      </c>
      <c r="BW194" s="28" t="e">
        <f>#REF!*2</f>
        <v>#REF!</v>
      </c>
      <c r="BX194" s="28" t="e">
        <f>#REF!</f>
        <v>#REF!</v>
      </c>
      <c r="BY194" s="28" t="e">
        <f>#REF!*2</f>
        <v>#REF!</v>
      </c>
      <c r="BZ194" s="28" t="e">
        <f>#REF!</f>
        <v>#REF!</v>
      </c>
      <c r="CA194" s="28" t="e">
        <f>#REF!*2</f>
        <v>#REF!</v>
      </c>
      <c r="CB194" s="9">
        <f t="shared" si="103"/>
        <v>0</v>
      </c>
      <c r="CC194" s="9">
        <f t="shared" si="104"/>
        <v>0</v>
      </c>
      <c r="CD194" s="9">
        <f t="shared" si="105"/>
        <v>0</v>
      </c>
      <c r="CE194" s="9">
        <f t="shared" si="106"/>
        <v>0</v>
      </c>
      <c r="CF194" s="9">
        <f t="shared" si="107"/>
        <v>0</v>
      </c>
      <c r="CG194" s="33"/>
      <c r="CH194" s="9">
        <f t="shared" si="108"/>
        <v>0</v>
      </c>
      <c r="CI194" s="9">
        <f t="shared" si="109"/>
        <v>0</v>
      </c>
      <c r="CJ194" s="9">
        <f t="shared" si="110"/>
        <v>0</v>
      </c>
      <c r="CK194" s="9">
        <f t="shared" si="111"/>
        <v>0</v>
      </c>
      <c r="CL194" s="9">
        <f t="shared" si="112"/>
        <v>0</v>
      </c>
      <c r="CM194" s="32"/>
      <c r="CN194" s="3">
        <f t="shared" si="113"/>
        <v>0</v>
      </c>
      <c r="CO194" s="3">
        <f t="shared" si="114"/>
        <v>0</v>
      </c>
      <c r="CP194" s="3">
        <f t="shared" si="115"/>
        <v>0</v>
      </c>
      <c r="CQ194" s="3">
        <f t="shared" si="116"/>
        <v>0</v>
      </c>
      <c r="CR194" s="3">
        <f t="shared" si="117"/>
        <v>0</v>
      </c>
      <c r="CS194" s="31"/>
      <c r="CT194" s="3" cm="1">
        <f t="array" ref="CT194">SUMPRODUCT(--(MOD(CH194:CL194,2)=1))</f>
        <v>0</v>
      </c>
      <c r="CU194" s="3">
        <f t="shared" si="118"/>
        <v>5</v>
      </c>
      <c r="CV194" s="30"/>
      <c r="CW194" s="3" cm="1">
        <f t="array" ref="CW194">SUMPRODUCT(--(MOD(CH194:CL194,10)&gt;=1), --(MOD(CH194:CL194,10)&lt;=5))</f>
        <v>0</v>
      </c>
      <c r="CX194" s="3">
        <f t="shared" si="119"/>
        <v>5</v>
      </c>
      <c r="CY194" s="30"/>
      <c r="CZ194" s="3" cm="1">
        <f t="array" ref="CZ194">IFERROR(COUNT(_xlfn._xlws.FILTER(CH194:CL194, ISNUMBER(MATCH(CH194:CL194, {2,3,5,7,11,13,17,19,23,29,31,37,41,43}, 0)))), 0)</f>
        <v>0</v>
      </c>
      <c r="DA194" s="3" cm="1">
        <f t="array" ref="DA194">IFERROR(COUNT(_xlfn._xlws.FILTER(CH194:CL194, ISNUMBER(MATCH(CH194:CL194, {1,4,8,10,14,16,20,22,25,26,28,32,34,35,38,40,44}, 0)))), 0)</f>
        <v>0</v>
      </c>
      <c r="DB194" s="3" cm="1">
        <f t="array" ref="DB194">IFERROR(COUNT(_xlfn._xlws.FILTER(CH194:CL194, ISNUMBER(MATCH(CH194:CL194, {6,9,12,15,18,21,24,27,30,33,36,39,42,45}, 0)))), 0)</f>
        <v>0</v>
      </c>
      <c r="DC194" s="29"/>
      <c r="DD194" s="28" t="e">
        <f>#REF!</f>
        <v>#REF!</v>
      </c>
      <c r="DE194" s="28" t="e">
        <f>#REF!*2</f>
        <v>#REF!</v>
      </c>
      <c r="DF194" s="28" t="e">
        <f>#REF!</f>
        <v>#REF!</v>
      </c>
      <c r="DG194" s="28" t="e">
        <f>#REF!*2</f>
        <v>#REF!</v>
      </c>
      <c r="DH194" s="28" t="e">
        <f>#REF!</f>
        <v>#REF!</v>
      </c>
      <c r="DI194" s="28" t="e">
        <f>#REF!*2</f>
        <v>#REF!</v>
      </c>
      <c r="DJ194" s="28" t="e">
        <f>#REF!</f>
        <v>#REF!</v>
      </c>
      <c r="DK194" s="28" t="e">
        <f>#REF!*2</f>
        <v>#REF!</v>
      </c>
      <c r="DL194" s="28" t="e">
        <f>#REF!</f>
        <v>#REF!</v>
      </c>
      <c r="DM194" s="28" t="e">
        <f>#REF!*2</f>
        <v>#REF!</v>
      </c>
      <c r="DN194" s="27"/>
      <c r="DO194" s="26"/>
      <c r="DP194" s="26"/>
      <c r="DQ194" s="26"/>
      <c r="DR194" s="26"/>
      <c r="DS194" s="26"/>
      <c r="DT194" s="25"/>
    </row>
    <row r="195" spans="2:124" x14ac:dyDescent="0.3"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2"/>
      <c r="I195" s="3">
        <f t="shared" si="80"/>
        <v>0</v>
      </c>
      <c r="J195" s="3">
        <f t="shared" si="81"/>
        <v>0</v>
      </c>
      <c r="K195" s="3">
        <f t="shared" si="82"/>
        <v>0</v>
      </c>
      <c r="L195" s="3">
        <f t="shared" si="83"/>
        <v>0</v>
      </c>
      <c r="M195" s="3">
        <f t="shared" si="84"/>
        <v>0</v>
      </c>
      <c r="N195" s="3">
        <f t="shared" si="85"/>
        <v>0</v>
      </c>
      <c r="O195" s="32"/>
      <c r="P195" s="3" cm="1">
        <f t="array" ref="P195">SUMPRODUCT(--(MOD(B195:G195,2)=1))</f>
        <v>0</v>
      </c>
      <c r="Q195" s="3">
        <f t="shared" si="86"/>
        <v>6</v>
      </c>
      <c r="R195" s="34"/>
      <c r="S195" s="3">
        <f t="shared" si="87"/>
        <v>0</v>
      </c>
      <c r="T195" s="3">
        <f t="shared" si="88"/>
        <v>6</v>
      </c>
      <c r="U195" s="34"/>
      <c r="V195" s="3" cm="1">
        <f t="array" ref="V195">SUMPRODUCT(--(MOD(B195:G195,10)&gt;=1), --(MOD(B195:G195,10)&lt;=5))</f>
        <v>0</v>
      </c>
      <c r="W195" s="3">
        <f t="shared" si="89"/>
        <v>6</v>
      </c>
      <c r="X195" s="34"/>
      <c r="Y195" s="3" cm="1">
        <f t="array" ref="Y195">IFERROR(COUNT(_xlfn._xlws.FILTER(B195:G195, ISNUMBER(MATCH(B195:G195, {2,3,5,7,11,13,17,19,23,29,31,37,41,43}, 0)))), 0)</f>
        <v>0</v>
      </c>
      <c r="Z195" s="3" cm="1">
        <f t="array" ref="Z195">IFERROR(COUNT(_xlfn._xlws.FILTER(B195:G195, ISNUMBER(MATCH(B195:G195, {1,4,8,10,14,16,20,22,25,26,28,32,34,35,38,40,44}, 0)))), 0)</f>
        <v>0</v>
      </c>
      <c r="AA195" s="3" cm="1">
        <f t="array" ref="AA195">IFERROR(COUNT(_xlfn._xlws.FILTER(B195:G195, ISNUMBER(MATCH(B195:G195, {6,9,12,15,18,21,24,27,30,33,36,39,42,45}, 0)))), 0)</f>
        <v>0</v>
      </c>
      <c r="AB195" s="30"/>
      <c r="AC195" s="26" cm="1">
        <f t="array" ref="AC195">_xlfn.IFS(
   OR(B195="",ISBLANK(B195),B195=0),0,
   ISNUMBER(MATCH(B195,{2,3,5,7,11,13,17,19,23,29,31,37,41,43},0)),"소",
   AND(ISNUMBER(B195),MOD(B195,3)=0),"배",
   AND(ISNUMBER(B195),B195&gt;0),"자"
)</f>
        <v>0</v>
      </c>
      <c r="AD195" s="26" cm="1">
        <f t="array" ref="AD195">_xlfn.IFS(
   OR(C195="",ISBLANK(C195),C195=0),0,
   ISNUMBER(MATCH(C195,{2,3,5,7,11,13,17,19,23,29,31,37,41,43},0)),"소",
   AND(ISNUMBER(C195),MOD(C195,3)=0),"배",
   AND(ISNUMBER(C195),C195&gt;0),"자"
)</f>
        <v>0</v>
      </c>
      <c r="AE195" s="26" cm="1">
        <f t="array" ref="AE195">_xlfn.IFS(
   OR(D195="",ISBLANK(D195),D195=0),0,
   ISNUMBER(MATCH(D195,{2,3,5,7,11,13,17,19,23,29,31,37,41,43},0)),"소",
   AND(ISNUMBER(D195),MOD(D195,3)=0),"배",
   AND(ISNUMBER(D195),D195&gt;0),"자"
)</f>
        <v>0</v>
      </c>
      <c r="AF195" s="26" cm="1">
        <f t="array" ref="AF195">_xlfn.IFS(
   OR(E195="",ISBLANK(E195),E195=0),0,
   ISNUMBER(MATCH(E195,{2,3,5,7,11,13,17,19,23,29,31,37,41,43},0)),"소",
   AND(ISNUMBER(E195),MOD(E195,3)=0),"배",
   AND(ISNUMBER(E195),E195&gt;0),"자"
)</f>
        <v>0</v>
      </c>
      <c r="AG195" s="26" cm="1">
        <f t="array" ref="AG195">_xlfn.IFS(
   OR(F195="",ISBLANK(F195),F195=0),0,
   ISNUMBER(MATCH(F195,{2,3,5,7,11,13,17,19,23,29,31,37,41,43},0)),"소",
   AND(ISNUMBER(F195),MOD(F195,3)=0),"배",
   AND(ISNUMBER(F195),F195&gt;0),"자"
)</f>
        <v>0</v>
      </c>
      <c r="AH195" s="26" cm="1">
        <f t="array" ref="AH195">_xlfn.IFS(
   OR(G195="",ISBLANK(G195),G195=0),0,
   ISNUMBER(MATCH(G195,{2,3,5,7,11,13,17,19,23,29,31,37,41,43},0)),"소",
   AND(ISNUMBER(G195),MOD(G195,3)=0),"배",
   AND(ISNUMBER(G195),G195&gt;0),"자"
)</f>
        <v>0</v>
      </c>
      <c r="AI195" s="30"/>
      <c r="AJ195" s="3">
        <f t="shared" si="90"/>
        <v>0</v>
      </c>
      <c r="AK195" s="3">
        <f t="shared" si="91"/>
        <v>0</v>
      </c>
      <c r="AL195" s="3">
        <f t="shared" si="92"/>
        <v>6</v>
      </c>
      <c r="AM195" s="33"/>
      <c r="AN195" s="3">
        <f t="shared" si="93"/>
        <v>0</v>
      </c>
      <c r="AO195" s="3">
        <f t="shared" si="94"/>
        <v>0</v>
      </c>
      <c r="AP195" s="3">
        <f t="shared" si="95"/>
        <v>0</v>
      </c>
      <c r="AQ195" s="3">
        <f t="shared" si="96"/>
        <v>0</v>
      </c>
      <c r="AR195" s="3">
        <f t="shared" si="97"/>
        <v>0</v>
      </c>
      <c r="AS195" s="28" t="e">
        <f>#REF!</f>
        <v>#REF!</v>
      </c>
      <c r="AT195" s="28" t="e">
        <f>#REF!*2</f>
        <v>#REF!</v>
      </c>
      <c r="AU195" s="28" t="e">
        <f>#REF!</f>
        <v>#REF!</v>
      </c>
      <c r="AV195" s="28" t="e">
        <f>#REF!*2</f>
        <v>#REF!</v>
      </c>
      <c r="AW195" s="28" t="e">
        <f>#REF!</f>
        <v>#REF!</v>
      </c>
      <c r="AX195" s="28" t="e">
        <f>#REF!*2</f>
        <v>#REF!</v>
      </c>
      <c r="AY195" s="28" t="e">
        <f>#REF!</f>
        <v>#REF!</v>
      </c>
      <c r="AZ195" s="28" t="e">
        <f>#REF!*2</f>
        <v>#REF!</v>
      </c>
      <c r="BA195" s="28" t="e">
        <f>#REF!</f>
        <v>#REF!</v>
      </c>
      <c r="BB195" s="28" t="e">
        <f>#REF!*2</f>
        <v>#REF!</v>
      </c>
      <c r="BC195" s="28" t="e">
        <f>#REF!</f>
        <v>#REF!</v>
      </c>
      <c r="BD195" s="28" t="e">
        <f>#REF!*2</f>
        <v>#REF!</v>
      </c>
      <c r="BE195" s="9" t="e">
        <f>#REF!-#REF!</f>
        <v>#REF!</v>
      </c>
      <c r="BF195" s="9" t="e">
        <f>#REF!-#REF!</f>
        <v>#REF!</v>
      </c>
      <c r="BG195" s="9" t="e">
        <f>#REF!-#REF!</f>
        <v>#REF!</v>
      </c>
      <c r="BH195" s="9" t="e">
        <f>#REF!-#REF!</f>
        <v>#REF!</v>
      </c>
      <c r="BI195" s="9" t="e">
        <f>#REF!-#REF!</f>
        <v>#REF!</v>
      </c>
      <c r="BJ195" s="33"/>
      <c r="BK195" s="3">
        <f t="shared" si="98"/>
        <v>0</v>
      </c>
      <c r="BL195" s="3">
        <f t="shared" si="99"/>
        <v>0</v>
      </c>
      <c r="BM195" s="3">
        <f t="shared" si="100"/>
        <v>0</v>
      </c>
      <c r="BN195" s="3">
        <f t="shared" si="101"/>
        <v>0</v>
      </c>
      <c r="BO195" s="3">
        <f t="shared" si="102"/>
        <v>0</v>
      </c>
      <c r="BP195" s="28" t="e">
        <f>#REF!</f>
        <v>#REF!</v>
      </c>
      <c r="BQ195" s="28" t="e">
        <f>#REF!*2</f>
        <v>#REF!</v>
      </c>
      <c r="BR195" s="28" t="e">
        <f>#REF!</f>
        <v>#REF!</v>
      </c>
      <c r="BS195" s="28" t="e">
        <f>#REF!*2</f>
        <v>#REF!</v>
      </c>
      <c r="BT195" s="28" t="e">
        <f>#REF!</f>
        <v>#REF!</v>
      </c>
      <c r="BU195" s="28" t="e">
        <f>#REF!*2</f>
        <v>#REF!</v>
      </c>
      <c r="BV195" s="28" t="e">
        <f>#REF!</f>
        <v>#REF!</v>
      </c>
      <c r="BW195" s="28" t="e">
        <f>#REF!*2</f>
        <v>#REF!</v>
      </c>
      <c r="BX195" s="28" t="e">
        <f>#REF!</f>
        <v>#REF!</v>
      </c>
      <c r="BY195" s="28" t="e">
        <f>#REF!*2</f>
        <v>#REF!</v>
      </c>
      <c r="BZ195" s="28" t="e">
        <f>#REF!</f>
        <v>#REF!</v>
      </c>
      <c r="CA195" s="28" t="e">
        <f>#REF!*2</f>
        <v>#REF!</v>
      </c>
      <c r="CB195" s="9">
        <f t="shared" si="103"/>
        <v>0</v>
      </c>
      <c r="CC195" s="9">
        <f t="shared" si="104"/>
        <v>0</v>
      </c>
      <c r="CD195" s="9">
        <f t="shared" si="105"/>
        <v>0</v>
      </c>
      <c r="CE195" s="9">
        <f t="shared" si="106"/>
        <v>0</v>
      </c>
      <c r="CF195" s="9">
        <f t="shared" si="107"/>
        <v>0</v>
      </c>
      <c r="CG195" s="33"/>
      <c r="CH195" s="9">
        <f t="shared" si="108"/>
        <v>0</v>
      </c>
      <c r="CI195" s="9">
        <f t="shared" si="109"/>
        <v>0</v>
      </c>
      <c r="CJ195" s="9">
        <f t="shared" si="110"/>
        <v>0</v>
      </c>
      <c r="CK195" s="9">
        <f t="shared" si="111"/>
        <v>0</v>
      </c>
      <c r="CL195" s="9">
        <f t="shared" si="112"/>
        <v>0</v>
      </c>
      <c r="CM195" s="32"/>
      <c r="CN195" s="3">
        <f t="shared" si="113"/>
        <v>0</v>
      </c>
      <c r="CO195" s="3">
        <f t="shared" si="114"/>
        <v>0</v>
      </c>
      <c r="CP195" s="3">
        <f t="shared" si="115"/>
        <v>0</v>
      </c>
      <c r="CQ195" s="3">
        <f t="shared" si="116"/>
        <v>0</v>
      </c>
      <c r="CR195" s="3">
        <f t="shared" si="117"/>
        <v>0</v>
      </c>
      <c r="CS195" s="31"/>
      <c r="CT195" s="3" cm="1">
        <f t="array" ref="CT195">SUMPRODUCT(--(MOD(CH195:CL195,2)=1))</f>
        <v>0</v>
      </c>
      <c r="CU195" s="3">
        <f t="shared" si="118"/>
        <v>5</v>
      </c>
      <c r="CV195" s="30"/>
      <c r="CW195" s="3" cm="1">
        <f t="array" ref="CW195">SUMPRODUCT(--(MOD(CH195:CL195,10)&gt;=1), --(MOD(CH195:CL195,10)&lt;=5))</f>
        <v>0</v>
      </c>
      <c r="CX195" s="3">
        <f t="shared" si="119"/>
        <v>5</v>
      </c>
      <c r="CY195" s="30"/>
      <c r="CZ195" s="3" cm="1">
        <f t="array" ref="CZ195">IFERROR(COUNT(_xlfn._xlws.FILTER(CH195:CL195, ISNUMBER(MATCH(CH195:CL195, {2,3,5,7,11,13,17,19,23,29,31,37,41,43}, 0)))), 0)</f>
        <v>0</v>
      </c>
      <c r="DA195" s="3" cm="1">
        <f t="array" ref="DA195">IFERROR(COUNT(_xlfn._xlws.FILTER(CH195:CL195, ISNUMBER(MATCH(CH195:CL195, {1,4,8,10,14,16,20,22,25,26,28,32,34,35,38,40,44}, 0)))), 0)</f>
        <v>0</v>
      </c>
      <c r="DB195" s="3" cm="1">
        <f t="array" ref="DB195">IFERROR(COUNT(_xlfn._xlws.FILTER(CH195:CL195, ISNUMBER(MATCH(CH195:CL195, {6,9,12,15,18,21,24,27,30,33,36,39,42,45}, 0)))), 0)</f>
        <v>0</v>
      </c>
      <c r="DC195" s="29"/>
      <c r="DD195" s="28" t="e">
        <f>#REF!</f>
        <v>#REF!</v>
      </c>
      <c r="DE195" s="28" t="e">
        <f>#REF!*2</f>
        <v>#REF!</v>
      </c>
      <c r="DF195" s="28" t="e">
        <f>#REF!</f>
        <v>#REF!</v>
      </c>
      <c r="DG195" s="28" t="e">
        <f>#REF!*2</f>
        <v>#REF!</v>
      </c>
      <c r="DH195" s="28" t="e">
        <f>#REF!</f>
        <v>#REF!</v>
      </c>
      <c r="DI195" s="28" t="e">
        <f>#REF!*2</f>
        <v>#REF!</v>
      </c>
      <c r="DJ195" s="28" t="e">
        <f>#REF!</f>
        <v>#REF!</v>
      </c>
      <c r="DK195" s="28" t="e">
        <f>#REF!*2</f>
        <v>#REF!</v>
      </c>
      <c r="DL195" s="28" t="e">
        <f>#REF!</f>
        <v>#REF!</v>
      </c>
      <c r="DM195" s="28" t="e">
        <f>#REF!*2</f>
        <v>#REF!</v>
      </c>
      <c r="DN195" s="27"/>
      <c r="DO195" s="26"/>
      <c r="DP195" s="26"/>
      <c r="DQ195" s="26"/>
      <c r="DR195" s="26"/>
      <c r="DS195" s="26"/>
      <c r="DT195" s="25"/>
    </row>
    <row r="196" spans="2:124" x14ac:dyDescent="0.3"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2"/>
      <c r="I196" s="3">
        <f t="shared" ref="I196:I259" si="120">IF(OR(B196="",ISBLANK(B196),B196=0),0,IF(MOD(B196,2)=1,1,2))</f>
        <v>0</v>
      </c>
      <c r="J196" s="3">
        <f t="shared" ref="J196:J259" si="121">IF(OR(C196="",ISBLANK(C196),C196=0),0,IF(MOD(C196,2)=1,1,2))</f>
        <v>0</v>
      </c>
      <c r="K196" s="3">
        <f t="shared" ref="K196:K259" si="122">IF(OR(D196="",ISBLANK(D196),D196=0),0,IF(MOD(D196,2)=1,1,2))</f>
        <v>0</v>
      </c>
      <c r="L196" s="3">
        <f t="shared" ref="L196:L259" si="123">IF(OR(E196="",ISBLANK(E196),E196=0),0,IF(MOD(E196,2)=1,1,2))</f>
        <v>0</v>
      </c>
      <c r="M196" s="3">
        <f t="shared" ref="M196:M259" si="124">IF(OR(F196="",ISBLANK(F196),F196=0),0,IF(MOD(F196,2)=1,1,2))</f>
        <v>0</v>
      </c>
      <c r="N196" s="3">
        <f t="shared" ref="N196:N259" si="125">IF(OR(G196="",ISBLANK(G196),G196=0),0,IF(MOD(G196,2)=1,1,2))</f>
        <v>0</v>
      </c>
      <c r="O196" s="32"/>
      <c r="P196" s="3" cm="1">
        <f t="array" ref="P196">SUMPRODUCT(--(MOD(B196:G196,2)=1))</f>
        <v>0</v>
      </c>
      <c r="Q196" s="3">
        <f t="shared" ref="Q196:Q259" si="126">6-P196</f>
        <v>6</v>
      </c>
      <c r="R196" s="34"/>
      <c r="S196" s="3">
        <f t="shared" ref="S196:S259" si="127">COUNTIFS(B196:G196,"&gt;=1",B196:G196,"&lt;=23")</f>
        <v>0</v>
      </c>
      <c r="T196" s="3">
        <f t="shared" ref="T196:T259" si="128">6-S196</f>
        <v>6</v>
      </c>
      <c r="U196" s="34"/>
      <c r="V196" s="3" cm="1">
        <f t="array" ref="V196">SUMPRODUCT(--(MOD(B196:G196,10)&gt;=1), --(MOD(B196:G196,10)&lt;=5))</f>
        <v>0</v>
      </c>
      <c r="W196" s="3">
        <f t="shared" ref="W196:W259" si="129">6-V196</f>
        <v>6</v>
      </c>
      <c r="X196" s="34"/>
      <c r="Y196" s="3" cm="1">
        <f t="array" ref="Y196">IFERROR(COUNT(_xlfn._xlws.FILTER(B196:G196, ISNUMBER(MATCH(B196:G196, {2,3,5,7,11,13,17,19,23,29,31,37,41,43}, 0)))), 0)</f>
        <v>0</v>
      </c>
      <c r="Z196" s="3" cm="1">
        <f t="array" ref="Z196">IFERROR(COUNT(_xlfn._xlws.FILTER(B196:G196, ISNUMBER(MATCH(B196:G196, {1,4,8,10,14,16,20,22,25,26,28,32,34,35,38,40,44}, 0)))), 0)</f>
        <v>0</v>
      </c>
      <c r="AA196" s="3" cm="1">
        <f t="array" ref="AA196">IFERROR(COUNT(_xlfn._xlws.FILTER(B196:G196, ISNUMBER(MATCH(B196:G196, {6,9,12,15,18,21,24,27,30,33,36,39,42,45}, 0)))), 0)</f>
        <v>0</v>
      </c>
      <c r="AB196" s="30"/>
      <c r="AC196" s="26" cm="1">
        <f t="array" ref="AC196">_xlfn.IFS(
   OR(B196="",ISBLANK(B196),B196=0),0,
   ISNUMBER(MATCH(B196,{2,3,5,7,11,13,17,19,23,29,31,37,41,43},0)),"소",
   AND(ISNUMBER(B196),MOD(B196,3)=0),"배",
   AND(ISNUMBER(B196),B196&gt;0),"자"
)</f>
        <v>0</v>
      </c>
      <c r="AD196" s="26" cm="1">
        <f t="array" ref="AD196">_xlfn.IFS(
   OR(C196="",ISBLANK(C196),C196=0),0,
   ISNUMBER(MATCH(C196,{2,3,5,7,11,13,17,19,23,29,31,37,41,43},0)),"소",
   AND(ISNUMBER(C196),MOD(C196,3)=0),"배",
   AND(ISNUMBER(C196),C196&gt;0),"자"
)</f>
        <v>0</v>
      </c>
      <c r="AE196" s="26" cm="1">
        <f t="array" ref="AE196">_xlfn.IFS(
   OR(D196="",ISBLANK(D196),D196=0),0,
   ISNUMBER(MATCH(D196,{2,3,5,7,11,13,17,19,23,29,31,37,41,43},0)),"소",
   AND(ISNUMBER(D196),MOD(D196,3)=0),"배",
   AND(ISNUMBER(D196),D196&gt;0),"자"
)</f>
        <v>0</v>
      </c>
      <c r="AF196" s="26" cm="1">
        <f t="array" ref="AF196">_xlfn.IFS(
   OR(E196="",ISBLANK(E196),E196=0),0,
   ISNUMBER(MATCH(E196,{2,3,5,7,11,13,17,19,23,29,31,37,41,43},0)),"소",
   AND(ISNUMBER(E196),MOD(E196,3)=0),"배",
   AND(ISNUMBER(E196),E196&gt;0),"자"
)</f>
        <v>0</v>
      </c>
      <c r="AG196" s="26" cm="1">
        <f t="array" ref="AG196">_xlfn.IFS(
   OR(F196="",ISBLANK(F196),F196=0),0,
   ISNUMBER(MATCH(F196,{2,3,5,7,11,13,17,19,23,29,31,37,41,43},0)),"소",
   AND(ISNUMBER(F196),MOD(F196,3)=0),"배",
   AND(ISNUMBER(F196),F196&gt;0),"자"
)</f>
        <v>0</v>
      </c>
      <c r="AH196" s="26" cm="1">
        <f t="array" ref="AH196">_xlfn.IFS(
   OR(G196="",ISBLANK(G196),G196=0),0,
   ISNUMBER(MATCH(G196,{2,3,5,7,11,13,17,19,23,29,31,37,41,43},0)),"소",
   AND(ISNUMBER(G196),MOD(G196,3)=0),"배",
   AND(ISNUMBER(G196),G196&gt;0),"자"
)</f>
        <v>0</v>
      </c>
      <c r="AI196" s="30"/>
      <c r="AJ196" s="3">
        <f t="shared" ref="AJ196:AJ259" si="130">COUNTIFS(B196:G196,"&gt;=1",B196:G196,"&lt;=14")</f>
        <v>0</v>
      </c>
      <c r="AK196" s="3">
        <f t="shared" ref="AK196:AK259" si="131">COUNTIFS(B196:G196,"&gt;=15",B196:G196,"&lt;=31")</f>
        <v>0</v>
      </c>
      <c r="AL196" s="3">
        <f t="shared" ref="AL196:AL259" si="132">6-AK196-AJ196</f>
        <v>6</v>
      </c>
      <c r="AM196" s="33"/>
      <c r="AN196" s="3">
        <f t="shared" ref="AN196:AN259" si="133">COUNTIFS($B196:$G196, "&gt;=1",$B196:$G196, "&lt;=9")</f>
        <v>0</v>
      </c>
      <c r="AO196" s="3">
        <f t="shared" ref="AO196:AO259" si="134">COUNTIFS($B196:$G196, "&gt;=10",$B196:$G196, "&lt;=18")</f>
        <v>0</v>
      </c>
      <c r="AP196" s="3">
        <f t="shared" ref="AP196:AP259" si="135">COUNTIFS($B196:$G196, "&gt;=19",$B196:$G196, "&lt;=27")</f>
        <v>0</v>
      </c>
      <c r="AQ196" s="3">
        <f t="shared" ref="AQ196:AQ259" si="136">COUNTIFS($B196:$G196, "&gt;=28",$B196:$G196, "&lt;=36")</f>
        <v>0</v>
      </c>
      <c r="AR196" s="3">
        <f t="shared" ref="AR196:AR259" si="137">COUNTIFS($B196:$G196, "&gt;=37",$B196:$G196, "&lt;=45")</f>
        <v>0</v>
      </c>
      <c r="AS196" s="28" t="e">
        <f>#REF!</f>
        <v>#REF!</v>
      </c>
      <c r="AT196" s="28" t="e">
        <f>#REF!*2</f>
        <v>#REF!</v>
      </c>
      <c r="AU196" s="28" t="e">
        <f>#REF!</f>
        <v>#REF!</v>
      </c>
      <c r="AV196" s="28" t="e">
        <f>#REF!*2</f>
        <v>#REF!</v>
      </c>
      <c r="AW196" s="28" t="e">
        <f>#REF!</f>
        <v>#REF!</v>
      </c>
      <c r="AX196" s="28" t="e">
        <f>#REF!*2</f>
        <v>#REF!</v>
      </c>
      <c r="AY196" s="28" t="e">
        <f>#REF!</f>
        <v>#REF!</v>
      </c>
      <c r="AZ196" s="28" t="e">
        <f>#REF!*2</f>
        <v>#REF!</v>
      </c>
      <c r="BA196" s="28" t="e">
        <f>#REF!</f>
        <v>#REF!</v>
      </c>
      <c r="BB196" s="28" t="e">
        <f>#REF!*2</f>
        <v>#REF!</v>
      </c>
      <c r="BC196" s="28" t="e">
        <f>#REF!</f>
        <v>#REF!</v>
      </c>
      <c r="BD196" s="28" t="e">
        <f>#REF!*2</f>
        <v>#REF!</v>
      </c>
      <c r="BE196" s="9" t="e">
        <f>#REF!-#REF!</f>
        <v>#REF!</v>
      </c>
      <c r="BF196" s="9" t="e">
        <f>#REF!-#REF!</f>
        <v>#REF!</v>
      </c>
      <c r="BG196" s="9" t="e">
        <f>#REF!-#REF!</f>
        <v>#REF!</v>
      </c>
      <c r="BH196" s="9" t="e">
        <f>#REF!-#REF!</f>
        <v>#REF!</v>
      </c>
      <c r="BI196" s="9" t="e">
        <f>#REF!-#REF!</f>
        <v>#REF!</v>
      </c>
      <c r="BJ196" s="33"/>
      <c r="BK196" s="3">
        <f t="shared" ref="BK196:BK259" si="138">COUNTIFS(B196:G196, "&gt;=1", B196:G196, "&lt;=9")</f>
        <v>0</v>
      </c>
      <c r="BL196" s="3">
        <f t="shared" ref="BL196:BL259" si="139">COUNTIFS(B196:G196, "&gt;=10", B196:G196, "&lt;=19")</f>
        <v>0</v>
      </c>
      <c r="BM196" s="3">
        <f t="shared" ref="BM196:BM259" si="140">COUNTIFS(B196:G196, "&gt;=20", B196:G196, "&lt;=29")</f>
        <v>0</v>
      </c>
      <c r="BN196" s="3">
        <f t="shared" ref="BN196:BN259" si="141">COUNTIFS(B196:G196, "&gt;=30", B196:G196, "&lt;=39")</f>
        <v>0</v>
      </c>
      <c r="BO196" s="3">
        <f t="shared" ref="BO196:BO259" si="142">COUNTIFS(B196:G196, "&gt;=40", B196:G196, "&lt;=45")</f>
        <v>0</v>
      </c>
      <c r="BP196" s="28" t="e">
        <f>#REF!</f>
        <v>#REF!</v>
      </c>
      <c r="BQ196" s="28" t="e">
        <f>#REF!*2</f>
        <v>#REF!</v>
      </c>
      <c r="BR196" s="28" t="e">
        <f>#REF!</f>
        <v>#REF!</v>
      </c>
      <c r="BS196" s="28" t="e">
        <f>#REF!*2</f>
        <v>#REF!</v>
      </c>
      <c r="BT196" s="28" t="e">
        <f>#REF!</f>
        <v>#REF!</v>
      </c>
      <c r="BU196" s="28" t="e">
        <f>#REF!*2</f>
        <v>#REF!</v>
      </c>
      <c r="BV196" s="28" t="e">
        <f>#REF!</f>
        <v>#REF!</v>
      </c>
      <c r="BW196" s="28" t="e">
        <f>#REF!*2</f>
        <v>#REF!</v>
      </c>
      <c r="BX196" s="28" t="e">
        <f>#REF!</f>
        <v>#REF!</v>
      </c>
      <c r="BY196" s="28" t="e">
        <f>#REF!*2</f>
        <v>#REF!</v>
      </c>
      <c r="BZ196" s="28" t="e">
        <f>#REF!</f>
        <v>#REF!</v>
      </c>
      <c r="CA196" s="28" t="e">
        <f>#REF!*2</f>
        <v>#REF!</v>
      </c>
      <c r="CB196" s="9">
        <f t="shared" ref="CB196:CB259" si="143">C196-B196</f>
        <v>0</v>
      </c>
      <c r="CC196" s="9">
        <f t="shared" ref="CC196:CC259" si="144">D196-C196</f>
        <v>0</v>
      </c>
      <c r="CD196" s="9">
        <f t="shared" ref="CD196:CD259" si="145">E196-D196</f>
        <v>0</v>
      </c>
      <c r="CE196" s="9">
        <f t="shared" ref="CE196:CE259" si="146">F196-E196</f>
        <v>0</v>
      </c>
      <c r="CF196" s="9">
        <f t="shared" ref="CF196:CF259" si="147">G196-F196</f>
        <v>0</v>
      </c>
      <c r="CG196" s="33"/>
      <c r="CH196" s="9">
        <f t="shared" ref="CH196:CH259" si="148">C196-B196</f>
        <v>0</v>
      </c>
      <c r="CI196" s="9">
        <f t="shared" ref="CI196:CI259" si="149">D196-C196</f>
        <v>0</v>
      </c>
      <c r="CJ196" s="9">
        <f t="shared" ref="CJ196:CJ259" si="150">E196-D196</f>
        <v>0</v>
      </c>
      <c r="CK196" s="9">
        <f t="shared" ref="CK196:CK259" si="151">F196-E196</f>
        <v>0</v>
      </c>
      <c r="CL196" s="9">
        <f t="shared" ref="CL196:CL259" si="152">G196-F196</f>
        <v>0</v>
      </c>
      <c r="CM196" s="32"/>
      <c r="CN196" s="3">
        <f t="shared" ref="CN196:CN259" si="153">IF(OR(CH196="",ISBLANK(CH196),CH196=0),0,IF(MOD(CH196,2)=1,1,2))</f>
        <v>0</v>
      </c>
      <c r="CO196" s="3">
        <f t="shared" ref="CO196:CO259" si="154">IF(OR(CI196="",ISBLANK(CI196),CI196=0),0,IF(MOD(CI196,2)=1,1,2))</f>
        <v>0</v>
      </c>
      <c r="CP196" s="3">
        <f t="shared" ref="CP196:CP259" si="155">IF(OR(CJ196="",ISBLANK(CJ196),CJ196=0),0,IF(MOD(CJ196,2)=1,1,2))</f>
        <v>0</v>
      </c>
      <c r="CQ196" s="3">
        <f t="shared" ref="CQ196:CQ259" si="156">IF(OR(CK196="",ISBLANK(CK196),CK196=0),0,IF(MOD(CK196,2)=1,1,2))</f>
        <v>0</v>
      </c>
      <c r="CR196" s="3">
        <f t="shared" ref="CR196:CR259" si="157">IF(OR(CL196="",ISBLANK(CL196),CL196=0),0,IF(MOD(CL196,2)=1,1,2))</f>
        <v>0</v>
      </c>
      <c r="CS196" s="31"/>
      <c r="CT196" s="3" cm="1">
        <f t="array" ref="CT196">SUMPRODUCT(--(MOD(CH196:CL196,2)=1))</f>
        <v>0</v>
      </c>
      <c r="CU196" s="3">
        <f t="shared" ref="CU196:CU259" si="158">5-CT196</f>
        <v>5</v>
      </c>
      <c r="CV196" s="30"/>
      <c r="CW196" s="3" cm="1">
        <f t="array" ref="CW196">SUMPRODUCT(--(MOD(CH196:CL196,10)&gt;=1), --(MOD(CH196:CL196,10)&lt;=5))</f>
        <v>0</v>
      </c>
      <c r="CX196" s="3">
        <f t="shared" ref="CX196:CX259" si="159">5-CW196</f>
        <v>5</v>
      </c>
      <c r="CY196" s="30"/>
      <c r="CZ196" s="3" cm="1">
        <f t="array" ref="CZ196">IFERROR(COUNT(_xlfn._xlws.FILTER(CH196:CL196, ISNUMBER(MATCH(CH196:CL196, {2,3,5,7,11,13,17,19,23,29,31,37,41,43}, 0)))), 0)</f>
        <v>0</v>
      </c>
      <c r="DA196" s="3" cm="1">
        <f t="array" ref="DA196">IFERROR(COUNT(_xlfn._xlws.FILTER(CH196:CL196, ISNUMBER(MATCH(CH196:CL196, {1,4,8,10,14,16,20,22,25,26,28,32,34,35,38,40,44}, 0)))), 0)</f>
        <v>0</v>
      </c>
      <c r="DB196" s="3" cm="1">
        <f t="array" ref="DB196">IFERROR(COUNT(_xlfn._xlws.FILTER(CH196:CL196, ISNUMBER(MATCH(CH196:CL196, {6,9,12,15,18,21,24,27,30,33,36,39,42,45}, 0)))), 0)</f>
        <v>0</v>
      </c>
      <c r="DC196" s="29"/>
      <c r="DD196" s="28" t="e">
        <f>#REF!</f>
        <v>#REF!</v>
      </c>
      <c r="DE196" s="28" t="e">
        <f>#REF!*2</f>
        <v>#REF!</v>
      </c>
      <c r="DF196" s="28" t="e">
        <f>#REF!</f>
        <v>#REF!</v>
      </c>
      <c r="DG196" s="28" t="e">
        <f>#REF!*2</f>
        <v>#REF!</v>
      </c>
      <c r="DH196" s="28" t="e">
        <f>#REF!</f>
        <v>#REF!</v>
      </c>
      <c r="DI196" s="28" t="e">
        <f>#REF!*2</f>
        <v>#REF!</v>
      </c>
      <c r="DJ196" s="28" t="e">
        <f>#REF!</f>
        <v>#REF!</v>
      </c>
      <c r="DK196" s="28" t="e">
        <f>#REF!*2</f>
        <v>#REF!</v>
      </c>
      <c r="DL196" s="28" t="e">
        <f>#REF!</f>
        <v>#REF!</v>
      </c>
      <c r="DM196" s="28" t="e">
        <f>#REF!*2</f>
        <v>#REF!</v>
      </c>
      <c r="DN196" s="27"/>
      <c r="DO196" s="26"/>
      <c r="DP196" s="26"/>
      <c r="DQ196" s="26"/>
      <c r="DR196" s="26"/>
      <c r="DS196" s="26"/>
      <c r="DT196" s="25"/>
    </row>
    <row r="197" spans="2:124" x14ac:dyDescent="0.3"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2"/>
      <c r="I197" s="3">
        <f t="shared" si="120"/>
        <v>0</v>
      </c>
      <c r="J197" s="3">
        <f t="shared" si="121"/>
        <v>0</v>
      </c>
      <c r="K197" s="3">
        <f t="shared" si="122"/>
        <v>0</v>
      </c>
      <c r="L197" s="3">
        <f t="shared" si="123"/>
        <v>0</v>
      </c>
      <c r="M197" s="3">
        <f t="shared" si="124"/>
        <v>0</v>
      </c>
      <c r="N197" s="3">
        <f t="shared" si="125"/>
        <v>0</v>
      </c>
      <c r="O197" s="32"/>
      <c r="P197" s="3" cm="1">
        <f t="array" ref="P197">SUMPRODUCT(--(MOD(B197:G197,2)=1))</f>
        <v>0</v>
      </c>
      <c r="Q197" s="3">
        <f t="shared" si="126"/>
        <v>6</v>
      </c>
      <c r="R197" s="34"/>
      <c r="S197" s="3">
        <f t="shared" si="127"/>
        <v>0</v>
      </c>
      <c r="T197" s="3">
        <f t="shared" si="128"/>
        <v>6</v>
      </c>
      <c r="U197" s="34"/>
      <c r="V197" s="3" cm="1">
        <f t="array" ref="V197">SUMPRODUCT(--(MOD(B197:G197,10)&gt;=1), --(MOD(B197:G197,10)&lt;=5))</f>
        <v>0</v>
      </c>
      <c r="W197" s="3">
        <f t="shared" si="129"/>
        <v>6</v>
      </c>
      <c r="X197" s="34"/>
      <c r="Y197" s="3" cm="1">
        <f t="array" ref="Y197">IFERROR(COUNT(_xlfn._xlws.FILTER(B197:G197, ISNUMBER(MATCH(B197:G197, {2,3,5,7,11,13,17,19,23,29,31,37,41,43}, 0)))), 0)</f>
        <v>0</v>
      </c>
      <c r="Z197" s="3" cm="1">
        <f t="array" ref="Z197">IFERROR(COUNT(_xlfn._xlws.FILTER(B197:G197, ISNUMBER(MATCH(B197:G197, {1,4,8,10,14,16,20,22,25,26,28,32,34,35,38,40,44}, 0)))), 0)</f>
        <v>0</v>
      </c>
      <c r="AA197" s="3" cm="1">
        <f t="array" ref="AA197">IFERROR(COUNT(_xlfn._xlws.FILTER(B197:G197, ISNUMBER(MATCH(B197:G197, {6,9,12,15,18,21,24,27,30,33,36,39,42,45}, 0)))), 0)</f>
        <v>0</v>
      </c>
      <c r="AB197" s="30"/>
      <c r="AC197" s="26" cm="1">
        <f t="array" ref="AC197">_xlfn.IFS(
   OR(B197="",ISBLANK(B197),B197=0),0,
   ISNUMBER(MATCH(B197,{2,3,5,7,11,13,17,19,23,29,31,37,41,43},0)),"소",
   AND(ISNUMBER(B197),MOD(B197,3)=0),"배",
   AND(ISNUMBER(B197),B197&gt;0),"자"
)</f>
        <v>0</v>
      </c>
      <c r="AD197" s="26" cm="1">
        <f t="array" ref="AD197">_xlfn.IFS(
   OR(C197="",ISBLANK(C197),C197=0),0,
   ISNUMBER(MATCH(C197,{2,3,5,7,11,13,17,19,23,29,31,37,41,43},0)),"소",
   AND(ISNUMBER(C197),MOD(C197,3)=0),"배",
   AND(ISNUMBER(C197),C197&gt;0),"자"
)</f>
        <v>0</v>
      </c>
      <c r="AE197" s="26" cm="1">
        <f t="array" ref="AE197">_xlfn.IFS(
   OR(D197="",ISBLANK(D197),D197=0),0,
   ISNUMBER(MATCH(D197,{2,3,5,7,11,13,17,19,23,29,31,37,41,43},0)),"소",
   AND(ISNUMBER(D197),MOD(D197,3)=0),"배",
   AND(ISNUMBER(D197),D197&gt;0),"자"
)</f>
        <v>0</v>
      </c>
      <c r="AF197" s="26" cm="1">
        <f t="array" ref="AF197">_xlfn.IFS(
   OR(E197="",ISBLANK(E197),E197=0),0,
   ISNUMBER(MATCH(E197,{2,3,5,7,11,13,17,19,23,29,31,37,41,43},0)),"소",
   AND(ISNUMBER(E197),MOD(E197,3)=0),"배",
   AND(ISNUMBER(E197),E197&gt;0),"자"
)</f>
        <v>0</v>
      </c>
      <c r="AG197" s="26" cm="1">
        <f t="array" ref="AG197">_xlfn.IFS(
   OR(F197="",ISBLANK(F197),F197=0),0,
   ISNUMBER(MATCH(F197,{2,3,5,7,11,13,17,19,23,29,31,37,41,43},0)),"소",
   AND(ISNUMBER(F197),MOD(F197,3)=0),"배",
   AND(ISNUMBER(F197),F197&gt;0),"자"
)</f>
        <v>0</v>
      </c>
      <c r="AH197" s="26" cm="1">
        <f t="array" ref="AH197">_xlfn.IFS(
   OR(G197="",ISBLANK(G197),G197=0),0,
   ISNUMBER(MATCH(G197,{2,3,5,7,11,13,17,19,23,29,31,37,41,43},0)),"소",
   AND(ISNUMBER(G197),MOD(G197,3)=0),"배",
   AND(ISNUMBER(G197),G197&gt;0),"자"
)</f>
        <v>0</v>
      </c>
      <c r="AI197" s="30"/>
      <c r="AJ197" s="3">
        <f t="shared" si="130"/>
        <v>0</v>
      </c>
      <c r="AK197" s="3">
        <f t="shared" si="131"/>
        <v>0</v>
      </c>
      <c r="AL197" s="3">
        <f t="shared" si="132"/>
        <v>6</v>
      </c>
      <c r="AM197" s="33"/>
      <c r="AN197" s="3">
        <f t="shared" si="133"/>
        <v>0</v>
      </c>
      <c r="AO197" s="3">
        <f t="shared" si="134"/>
        <v>0</v>
      </c>
      <c r="AP197" s="3">
        <f t="shared" si="135"/>
        <v>0</v>
      </c>
      <c r="AQ197" s="3">
        <f t="shared" si="136"/>
        <v>0</v>
      </c>
      <c r="AR197" s="3">
        <f t="shared" si="137"/>
        <v>0</v>
      </c>
      <c r="AS197" s="28" t="e">
        <f>#REF!</f>
        <v>#REF!</v>
      </c>
      <c r="AT197" s="28" t="e">
        <f>#REF!*2</f>
        <v>#REF!</v>
      </c>
      <c r="AU197" s="28" t="e">
        <f>#REF!</f>
        <v>#REF!</v>
      </c>
      <c r="AV197" s="28" t="e">
        <f>#REF!*2</f>
        <v>#REF!</v>
      </c>
      <c r="AW197" s="28" t="e">
        <f>#REF!</f>
        <v>#REF!</v>
      </c>
      <c r="AX197" s="28" t="e">
        <f>#REF!*2</f>
        <v>#REF!</v>
      </c>
      <c r="AY197" s="28" t="e">
        <f>#REF!</f>
        <v>#REF!</v>
      </c>
      <c r="AZ197" s="28" t="e">
        <f>#REF!*2</f>
        <v>#REF!</v>
      </c>
      <c r="BA197" s="28" t="e">
        <f>#REF!</f>
        <v>#REF!</v>
      </c>
      <c r="BB197" s="28" t="e">
        <f>#REF!*2</f>
        <v>#REF!</v>
      </c>
      <c r="BC197" s="28" t="e">
        <f>#REF!</f>
        <v>#REF!</v>
      </c>
      <c r="BD197" s="28" t="e">
        <f>#REF!*2</f>
        <v>#REF!</v>
      </c>
      <c r="BE197" s="9" t="e">
        <f>#REF!-#REF!</f>
        <v>#REF!</v>
      </c>
      <c r="BF197" s="9" t="e">
        <f>#REF!-#REF!</f>
        <v>#REF!</v>
      </c>
      <c r="BG197" s="9" t="e">
        <f>#REF!-#REF!</f>
        <v>#REF!</v>
      </c>
      <c r="BH197" s="9" t="e">
        <f>#REF!-#REF!</f>
        <v>#REF!</v>
      </c>
      <c r="BI197" s="9" t="e">
        <f>#REF!-#REF!</f>
        <v>#REF!</v>
      </c>
      <c r="BJ197" s="33"/>
      <c r="BK197" s="3">
        <f t="shared" si="138"/>
        <v>0</v>
      </c>
      <c r="BL197" s="3">
        <f t="shared" si="139"/>
        <v>0</v>
      </c>
      <c r="BM197" s="3">
        <f t="shared" si="140"/>
        <v>0</v>
      </c>
      <c r="BN197" s="3">
        <f t="shared" si="141"/>
        <v>0</v>
      </c>
      <c r="BO197" s="3">
        <f t="shared" si="142"/>
        <v>0</v>
      </c>
      <c r="BP197" s="28" t="e">
        <f>#REF!</f>
        <v>#REF!</v>
      </c>
      <c r="BQ197" s="28" t="e">
        <f>#REF!*2</f>
        <v>#REF!</v>
      </c>
      <c r="BR197" s="28" t="e">
        <f>#REF!</f>
        <v>#REF!</v>
      </c>
      <c r="BS197" s="28" t="e">
        <f>#REF!*2</f>
        <v>#REF!</v>
      </c>
      <c r="BT197" s="28" t="e">
        <f>#REF!</f>
        <v>#REF!</v>
      </c>
      <c r="BU197" s="28" t="e">
        <f>#REF!*2</f>
        <v>#REF!</v>
      </c>
      <c r="BV197" s="28" t="e">
        <f>#REF!</f>
        <v>#REF!</v>
      </c>
      <c r="BW197" s="28" t="e">
        <f>#REF!*2</f>
        <v>#REF!</v>
      </c>
      <c r="BX197" s="28" t="e">
        <f>#REF!</f>
        <v>#REF!</v>
      </c>
      <c r="BY197" s="28" t="e">
        <f>#REF!*2</f>
        <v>#REF!</v>
      </c>
      <c r="BZ197" s="28" t="e">
        <f>#REF!</f>
        <v>#REF!</v>
      </c>
      <c r="CA197" s="28" t="e">
        <f>#REF!*2</f>
        <v>#REF!</v>
      </c>
      <c r="CB197" s="9">
        <f t="shared" si="143"/>
        <v>0</v>
      </c>
      <c r="CC197" s="9">
        <f t="shared" si="144"/>
        <v>0</v>
      </c>
      <c r="CD197" s="9">
        <f t="shared" si="145"/>
        <v>0</v>
      </c>
      <c r="CE197" s="9">
        <f t="shared" si="146"/>
        <v>0</v>
      </c>
      <c r="CF197" s="9">
        <f t="shared" si="147"/>
        <v>0</v>
      </c>
      <c r="CG197" s="33"/>
      <c r="CH197" s="9">
        <f t="shared" si="148"/>
        <v>0</v>
      </c>
      <c r="CI197" s="9">
        <f t="shared" si="149"/>
        <v>0</v>
      </c>
      <c r="CJ197" s="9">
        <f t="shared" si="150"/>
        <v>0</v>
      </c>
      <c r="CK197" s="9">
        <f t="shared" si="151"/>
        <v>0</v>
      </c>
      <c r="CL197" s="9">
        <f t="shared" si="152"/>
        <v>0</v>
      </c>
      <c r="CM197" s="32"/>
      <c r="CN197" s="3">
        <f t="shared" si="153"/>
        <v>0</v>
      </c>
      <c r="CO197" s="3">
        <f t="shared" si="154"/>
        <v>0</v>
      </c>
      <c r="CP197" s="3">
        <f t="shared" si="155"/>
        <v>0</v>
      </c>
      <c r="CQ197" s="3">
        <f t="shared" si="156"/>
        <v>0</v>
      </c>
      <c r="CR197" s="3">
        <f t="shared" si="157"/>
        <v>0</v>
      </c>
      <c r="CS197" s="31"/>
      <c r="CT197" s="3" cm="1">
        <f t="array" ref="CT197">SUMPRODUCT(--(MOD(CH197:CL197,2)=1))</f>
        <v>0</v>
      </c>
      <c r="CU197" s="3">
        <f t="shared" si="158"/>
        <v>5</v>
      </c>
      <c r="CV197" s="30"/>
      <c r="CW197" s="3" cm="1">
        <f t="array" ref="CW197">SUMPRODUCT(--(MOD(CH197:CL197,10)&gt;=1), --(MOD(CH197:CL197,10)&lt;=5))</f>
        <v>0</v>
      </c>
      <c r="CX197" s="3">
        <f t="shared" si="159"/>
        <v>5</v>
      </c>
      <c r="CY197" s="30"/>
      <c r="CZ197" s="3" cm="1">
        <f t="array" ref="CZ197">IFERROR(COUNT(_xlfn._xlws.FILTER(CH197:CL197, ISNUMBER(MATCH(CH197:CL197, {2,3,5,7,11,13,17,19,23,29,31,37,41,43}, 0)))), 0)</f>
        <v>0</v>
      </c>
      <c r="DA197" s="3" cm="1">
        <f t="array" ref="DA197">IFERROR(COUNT(_xlfn._xlws.FILTER(CH197:CL197, ISNUMBER(MATCH(CH197:CL197, {1,4,8,10,14,16,20,22,25,26,28,32,34,35,38,40,44}, 0)))), 0)</f>
        <v>0</v>
      </c>
      <c r="DB197" s="3" cm="1">
        <f t="array" ref="DB197">IFERROR(COUNT(_xlfn._xlws.FILTER(CH197:CL197, ISNUMBER(MATCH(CH197:CL197, {6,9,12,15,18,21,24,27,30,33,36,39,42,45}, 0)))), 0)</f>
        <v>0</v>
      </c>
      <c r="DC197" s="29"/>
      <c r="DD197" s="28" t="e">
        <f>#REF!</f>
        <v>#REF!</v>
      </c>
      <c r="DE197" s="28" t="e">
        <f>#REF!*2</f>
        <v>#REF!</v>
      </c>
      <c r="DF197" s="28" t="e">
        <f>#REF!</f>
        <v>#REF!</v>
      </c>
      <c r="DG197" s="28" t="e">
        <f>#REF!*2</f>
        <v>#REF!</v>
      </c>
      <c r="DH197" s="28" t="e">
        <f>#REF!</f>
        <v>#REF!</v>
      </c>
      <c r="DI197" s="28" t="e">
        <f>#REF!*2</f>
        <v>#REF!</v>
      </c>
      <c r="DJ197" s="28" t="e">
        <f>#REF!</f>
        <v>#REF!</v>
      </c>
      <c r="DK197" s="28" t="e">
        <f>#REF!*2</f>
        <v>#REF!</v>
      </c>
      <c r="DL197" s="28" t="e">
        <f>#REF!</f>
        <v>#REF!</v>
      </c>
      <c r="DM197" s="28" t="e">
        <f>#REF!*2</f>
        <v>#REF!</v>
      </c>
      <c r="DN197" s="27"/>
      <c r="DO197" s="26"/>
      <c r="DP197" s="26"/>
      <c r="DQ197" s="26"/>
      <c r="DR197" s="26"/>
      <c r="DS197" s="26"/>
      <c r="DT197" s="25"/>
    </row>
    <row r="198" spans="2:124" x14ac:dyDescent="0.3"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2"/>
      <c r="I198" s="3">
        <f t="shared" si="120"/>
        <v>0</v>
      </c>
      <c r="J198" s="3">
        <f t="shared" si="121"/>
        <v>0</v>
      </c>
      <c r="K198" s="3">
        <f t="shared" si="122"/>
        <v>0</v>
      </c>
      <c r="L198" s="3">
        <f t="shared" si="123"/>
        <v>0</v>
      </c>
      <c r="M198" s="3">
        <f t="shared" si="124"/>
        <v>0</v>
      </c>
      <c r="N198" s="3">
        <f t="shared" si="125"/>
        <v>0</v>
      </c>
      <c r="O198" s="32"/>
      <c r="P198" s="3" cm="1">
        <f t="array" ref="P198">SUMPRODUCT(--(MOD(B198:G198,2)=1))</f>
        <v>0</v>
      </c>
      <c r="Q198" s="3">
        <f t="shared" si="126"/>
        <v>6</v>
      </c>
      <c r="R198" s="34"/>
      <c r="S198" s="3">
        <f t="shared" si="127"/>
        <v>0</v>
      </c>
      <c r="T198" s="3">
        <f t="shared" si="128"/>
        <v>6</v>
      </c>
      <c r="U198" s="34"/>
      <c r="V198" s="3" cm="1">
        <f t="array" ref="V198">SUMPRODUCT(--(MOD(B198:G198,10)&gt;=1), --(MOD(B198:G198,10)&lt;=5))</f>
        <v>0</v>
      </c>
      <c r="W198" s="3">
        <f t="shared" si="129"/>
        <v>6</v>
      </c>
      <c r="X198" s="34"/>
      <c r="Y198" s="3" cm="1">
        <f t="array" ref="Y198">IFERROR(COUNT(_xlfn._xlws.FILTER(B198:G198, ISNUMBER(MATCH(B198:G198, {2,3,5,7,11,13,17,19,23,29,31,37,41,43}, 0)))), 0)</f>
        <v>0</v>
      </c>
      <c r="Z198" s="3" cm="1">
        <f t="array" ref="Z198">IFERROR(COUNT(_xlfn._xlws.FILTER(B198:G198, ISNUMBER(MATCH(B198:G198, {1,4,8,10,14,16,20,22,25,26,28,32,34,35,38,40,44}, 0)))), 0)</f>
        <v>0</v>
      </c>
      <c r="AA198" s="3" cm="1">
        <f t="array" ref="AA198">IFERROR(COUNT(_xlfn._xlws.FILTER(B198:G198, ISNUMBER(MATCH(B198:G198, {6,9,12,15,18,21,24,27,30,33,36,39,42,45}, 0)))), 0)</f>
        <v>0</v>
      </c>
      <c r="AB198" s="30"/>
      <c r="AC198" s="26" cm="1">
        <f t="array" ref="AC198">_xlfn.IFS(
   OR(B198="",ISBLANK(B198),B198=0),0,
   ISNUMBER(MATCH(B198,{2,3,5,7,11,13,17,19,23,29,31,37,41,43},0)),"소",
   AND(ISNUMBER(B198),MOD(B198,3)=0),"배",
   AND(ISNUMBER(B198),B198&gt;0),"자"
)</f>
        <v>0</v>
      </c>
      <c r="AD198" s="26" cm="1">
        <f t="array" ref="AD198">_xlfn.IFS(
   OR(C198="",ISBLANK(C198),C198=0),0,
   ISNUMBER(MATCH(C198,{2,3,5,7,11,13,17,19,23,29,31,37,41,43},0)),"소",
   AND(ISNUMBER(C198),MOD(C198,3)=0),"배",
   AND(ISNUMBER(C198),C198&gt;0),"자"
)</f>
        <v>0</v>
      </c>
      <c r="AE198" s="26" cm="1">
        <f t="array" ref="AE198">_xlfn.IFS(
   OR(D198="",ISBLANK(D198),D198=0),0,
   ISNUMBER(MATCH(D198,{2,3,5,7,11,13,17,19,23,29,31,37,41,43},0)),"소",
   AND(ISNUMBER(D198),MOD(D198,3)=0),"배",
   AND(ISNUMBER(D198),D198&gt;0),"자"
)</f>
        <v>0</v>
      </c>
      <c r="AF198" s="26" cm="1">
        <f t="array" ref="AF198">_xlfn.IFS(
   OR(E198="",ISBLANK(E198),E198=0),0,
   ISNUMBER(MATCH(E198,{2,3,5,7,11,13,17,19,23,29,31,37,41,43},0)),"소",
   AND(ISNUMBER(E198),MOD(E198,3)=0),"배",
   AND(ISNUMBER(E198),E198&gt;0),"자"
)</f>
        <v>0</v>
      </c>
      <c r="AG198" s="26" cm="1">
        <f t="array" ref="AG198">_xlfn.IFS(
   OR(F198="",ISBLANK(F198),F198=0),0,
   ISNUMBER(MATCH(F198,{2,3,5,7,11,13,17,19,23,29,31,37,41,43},0)),"소",
   AND(ISNUMBER(F198),MOD(F198,3)=0),"배",
   AND(ISNUMBER(F198),F198&gt;0),"자"
)</f>
        <v>0</v>
      </c>
      <c r="AH198" s="26" cm="1">
        <f t="array" ref="AH198">_xlfn.IFS(
   OR(G198="",ISBLANK(G198),G198=0),0,
   ISNUMBER(MATCH(G198,{2,3,5,7,11,13,17,19,23,29,31,37,41,43},0)),"소",
   AND(ISNUMBER(G198),MOD(G198,3)=0),"배",
   AND(ISNUMBER(G198),G198&gt;0),"자"
)</f>
        <v>0</v>
      </c>
      <c r="AI198" s="30"/>
      <c r="AJ198" s="3">
        <f t="shared" si="130"/>
        <v>0</v>
      </c>
      <c r="AK198" s="3">
        <f t="shared" si="131"/>
        <v>0</v>
      </c>
      <c r="AL198" s="3">
        <f t="shared" si="132"/>
        <v>6</v>
      </c>
      <c r="AM198" s="33"/>
      <c r="AN198" s="3">
        <f t="shared" si="133"/>
        <v>0</v>
      </c>
      <c r="AO198" s="3">
        <f t="shared" si="134"/>
        <v>0</v>
      </c>
      <c r="AP198" s="3">
        <f t="shared" si="135"/>
        <v>0</v>
      </c>
      <c r="AQ198" s="3">
        <f t="shared" si="136"/>
        <v>0</v>
      </c>
      <c r="AR198" s="3">
        <f t="shared" si="137"/>
        <v>0</v>
      </c>
      <c r="AS198" s="28" t="e">
        <f>#REF!</f>
        <v>#REF!</v>
      </c>
      <c r="AT198" s="28" t="e">
        <f>#REF!*2</f>
        <v>#REF!</v>
      </c>
      <c r="AU198" s="28" t="e">
        <f>#REF!</f>
        <v>#REF!</v>
      </c>
      <c r="AV198" s="28" t="e">
        <f>#REF!*2</f>
        <v>#REF!</v>
      </c>
      <c r="AW198" s="28" t="e">
        <f>#REF!</f>
        <v>#REF!</v>
      </c>
      <c r="AX198" s="28" t="e">
        <f>#REF!*2</f>
        <v>#REF!</v>
      </c>
      <c r="AY198" s="28" t="e">
        <f>#REF!</f>
        <v>#REF!</v>
      </c>
      <c r="AZ198" s="28" t="e">
        <f>#REF!*2</f>
        <v>#REF!</v>
      </c>
      <c r="BA198" s="28" t="e">
        <f>#REF!</f>
        <v>#REF!</v>
      </c>
      <c r="BB198" s="28" t="e">
        <f>#REF!*2</f>
        <v>#REF!</v>
      </c>
      <c r="BC198" s="28" t="e">
        <f>#REF!</f>
        <v>#REF!</v>
      </c>
      <c r="BD198" s="28" t="e">
        <f>#REF!*2</f>
        <v>#REF!</v>
      </c>
      <c r="BE198" s="9" t="e">
        <f>#REF!-#REF!</f>
        <v>#REF!</v>
      </c>
      <c r="BF198" s="9" t="e">
        <f>#REF!-#REF!</f>
        <v>#REF!</v>
      </c>
      <c r="BG198" s="9" t="e">
        <f>#REF!-#REF!</f>
        <v>#REF!</v>
      </c>
      <c r="BH198" s="9" t="e">
        <f>#REF!-#REF!</f>
        <v>#REF!</v>
      </c>
      <c r="BI198" s="9" t="e">
        <f>#REF!-#REF!</f>
        <v>#REF!</v>
      </c>
      <c r="BJ198" s="33"/>
      <c r="BK198" s="3">
        <f t="shared" si="138"/>
        <v>0</v>
      </c>
      <c r="BL198" s="3">
        <f t="shared" si="139"/>
        <v>0</v>
      </c>
      <c r="BM198" s="3">
        <f t="shared" si="140"/>
        <v>0</v>
      </c>
      <c r="BN198" s="3">
        <f t="shared" si="141"/>
        <v>0</v>
      </c>
      <c r="BO198" s="3">
        <f t="shared" si="142"/>
        <v>0</v>
      </c>
      <c r="BP198" s="28" t="e">
        <f>#REF!</f>
        <v>#REF!</v>
      </c>
      <c r="BQ198" s="28" t="e">
        <f>#REF!*2</f>
        <v>#REF!</v>
      </c>
      <c r="BR198" s="28" t="e">
        <f>#REF!</f>
        <v>#REF!</v>
      </c>
      <c r="BS198" s="28" t="e">
        <f>#REF!*2</f>
        <v>#REF!</v>
      </c>
      <c r="BT198" s="28" t="e">
        <f>#REF!</f>
        <v>#REF!</v>
      </c>
      <c r="BU198" s="28" t="e">
        <f>#REF!*2</f>
        <v>#REF!</v>
      </c>
      <c r="BV198" s="28" t="e">
        <f>#REF!</f>
        <v>#REF!</v>
      </c>
      <c r="BW198" s="28" t="e">
        <f>#REF!*2</f>
        <v>#REF!</v>
      </c>
      <c r="BX198" s="28" t="e">
        <f>#REF!</f>
        <v>#REF!</v>
      </c>
      <c r="BY198" s="28" t="e">
        <f>#REF!*2</f>
        <v>#REF!</v>
      </c>
      <c r="BZ198" s="28" t="e">
        <f>#REF!</f>
        <v>#REF!</v>
      </c>
      <c r="CA198" s="28" t="e">
        <f>#REF!*2</f>
        <v>#REF!</v>
      </c>
      <c r="CB198" s="9">
        <f t="shared" si="143"/>
        <v>0</v>
      </c>
      <c r="CC198" s="9">
        <f t="shared" si="144"/>
        <v>0</v>
      </c>
      <c r="CD198" s="9">
        <f t="shared" si="145"/>
        <v>0</v>
      </c>
      <c r="CE198" s="9">
        <f t="shared" si="146"/>
        <v>0</v>
      </c>
      <c r="CF198" s="9">
        <f t="shared" si="147"/>
        <v>0</v>
      </c>
      <c r="CG198" s="33"/>
      <c r="CH198" s="9">
        <f t="shared" si="148"/>
        <v>0</v>
      </c>
      <c r="CI198" s="9">
        <f t="shared" si="149"/>
        <v>0</v>
      </c>
      <c r="CJ198" s="9">
        <f t="shared" si="150"/>
        <v>0</v>
      </c>
      <c r="CK198" s="9">
        <f t="shared" si="151"/>
        <v>0</v>
      </c>
      <c r="CL198" s="9">
        <f t="shared" si="152"/>
        <v>0</v>
      </c>
      <c r="CM198" s="32"/>
      <c r="CN198" s="3">
        <f t="shared" si="153"/>
        <v>0</v>
      </c>
      <c r="CO198" s="3">
        <f t="shared" si="154"/>
        <v>0</v>
      </c>
      <c r="CP198" s="3">
        <f t="shared" si="155"/>
        <v>0</v>
      </c>
      <c r="CQ198" s="3">
        <f t="shared" si="156"/>
        <v>0</v>
      </c>
      <c r="CR198" s="3">
        <f t="shared" si="157"/>
        <v>0</v>
      </c>
      <c r="CS198" s="31"/>
      <c r="CT198" s="3" cm="1">
        <f t="array" ref="CT198">SUMPRODUCT(--(MOD(CH198:CL198,2)=1))</f>
        <v>0</v>
      </c>
      <c r="CU198" s="3">
        <f t="shared" si="158"/>
        <v>5</v>
      </c>
      <c r="CV198" s="30"/>
      <c r="CW198" s="3" cm="1">
        <f t="array" ref="CW198">SUMPRODUCT(--(MOD(CH198:CL198,10)&gt;=1), --(MOD(CH198:CL198,10)&lt;=5))</f>
        <v>0</v>
      </c>
      <c r="CX198" s="3">
        <f t="shared" si="159"/>
        <v>5</v>
      </c>
      <c r="CY198" s="30"/>
      <c r="CZ198" s="3" cm="1">
        <f t="array" ref="CZ198">IFERROR(COUNT(_xlfn._xlws.FILTER(CH198:CL198, ISNUMBER(MATCH(CH198:CL198, {2,3,5,7,11,13,17,19,23,29,31,37,41,43}, 0)))), 0)</f>
        <v>0</v>
      </c>
      <c r="DA198" s="3" cm="1">
        <f t="array" ref="DA198">IFERROR(COUNT(_xlfn._xlws.FILTER(CH198:CL198, ISNUMBER(MATCH(CH198:CL198, {1,4,8,10,14,16,20,22,25,26,28,32,34,35,38,40,44}, 0)))), 0)</f>
        <v>0</v>
      </c>
      <c r="DB198" s="3" cm="1">
        <f t="array" ref="DB198">IFERROR(COUNT(_xlfn._xlws.FILTER(CH198:CL198, ISNUMBER(MATCH(CH198:CL198, {6,9,12,15,18,21,24,27,30,33,36,39,42,45}, 0)))), 0)</f>
        <v>0</v>
      </c>
      <c r="DC198" s="29"/>
      <c r="DD198" s="28" t="e">
        <f>#REF!</f>
        <v>#REF!</v>
      </c>
      <c r="DE198" s="28" t="e">
        <f>#REF!*2</f>
        <v>#REF!</v>
      </c>
      <c r="DF198" s="28" t="e">
        <f>#REF!</f>
        <v>#REF!</v>
      </c>
      <c r="DG198" s="28" t="e">
        <f>#REF!*2</f>
        <v>#REF!</v>
      </c>
      <c r="DH198" s="28" t="e">
        <f>#REF!</f>
        <v>#REF!</v>
      </c>
      <c r="DI198" s="28" t="e">
        <f>#REF!*2</f>
        <v>#REF!</v>
      </c>
      <c r="DJ198" s="28" t="e">
        <f>#REF!</f>
        <v>#REF!</v>
      </c>
      <c r="DK198" s="28" t="e">
        <f>#REF!*2</f>
        <v>#REF!</v>
      </c>
      <c r="DL198" s="28" t="e">
        <f>#REF!</f>
        <v>#REF!</v>
      </c>
      <c r="DM198" s="28" t="e">
        <f>#REF!*2</f>
        <v>#REF!</v>
      </c>
      <c r="DN198" s="27"/>
      <c r="DO198" s="26"/>
      <c r="DP198" s="26"/>
      <c r="DQ198" s="26"/>
      <c r="DR198" s="26"/>
      <c r="DS198" s="26"/>
      <c r="DT198" s="25"/>
    </row>
    <row r="199" spans="2:124" x14ac:dyDescent="0.3"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2"/>
      <c r="I199" s="3">
        <f t="shared" si="120"/>
        <v>0</v>
      </c>
      <c r="J199" s="3">
        <f t="shared" si="121"/>
        <v>0</v>
      </c>
      <c r="K199" s="3">
        <f t="shared" si="122"/>
        <v>0</v>
      </c>
      <c r="L199" s="3">
        <f t="shared" si="123"/>
        <v>0</v>
      </c>
      <c r="M199" s="3">
        <f t="shared" si="124"/>
        <v>0</v>
      </c>
      <c r="N199" s="3">
        <f t="shared" si="125"/>
        <v>0</v>
      </c>
      <c r="O199" s="32"/>
      <c r="P199" s="3" cm="1">
        <f t="array" ref="P199">SUMPRODUCT(--(MOD(B199:G199,2)=1))</f>
        <v>0</v>
      </c>
      <c r="Q199" s="3">
        <f t="shared" si="126"/>
        <v>6</v>
      </c>
      <c r="R199" s="34"/>
      <c r="S199" s="3">
        <f t="shared" si="127"/>
        <v>0</v>
      </c>
      <c r="T199" s="3">
        <f t="shared" si="128"/>
        <v>6</v>
      </c>
      <c r="U199" s="34"/>
      <c r="V199" s="3" cm="1">
        <f t="array" ref="V199">SUMPRODUCT(--(MOD(B199:G199,10)&gt;=1), --(MOD(B199:G199,10)&lt;=5))</f>
        <v>0</v>
      </c>
      <c r="W199" s="3">
        <f t="shared" si="129"/>
        <v>6</v>
      </c>
      <c r="X199" s="34"/>
      <c r="Y199" s="3" cm="1">
        <f t="array" ref="Y199">IFERROR(COUNT(_xlfn._xlws.FILTER(B199:G199, ISNUMBER(MATCH(B199:G199, {2,3,5,7,11,13,17,19,23,29,31,37,41,43}, 0)))), 0)</f>
        <v>0</v>
      </c>
      <c r="Z199" s="3" cm="1">
        <f t="array" ref="Z199">IFERROR(COUNT(_xlfn._xlws.FILTER(B199:G199, ISNUMBER(MATCH(B199:G199, {1,4,8,10,14,16,20,22,25,26,28,32,34,35,38,40,44}, 0)))), 0)</f>
        <v>0</v>
      </c>
      <c r="AA199" s="3" cm="1">
        <f t="array" ref="AA199">IFERROR(COUNT(_xlfn._xlws.FILTER(B199:G199, ISNUMBER(MATCH(B199:G199, {6,9,12,15,18,21,24,27,30,33,36,39,42,45}, 0)))), 0)</f>
        <v>0</v>
      </c>
      <c r="AB199" s="30"/>
      <c r="AC199" s="26" cm="1">
        <f t="array" ref="AC199">_xlfn.IFS(
   OR(B199="",ISBLANK(B199),B199=0),0,
   ISNUMBER(MATCH(B199,{2,3,5,7,11,13,17,19,23,29,31,37,41,43},0)),"소",
   AND(ISNUMBER(B199),MOD(B199,3)=0),"배",
   AND(ISNUMBER(B199),B199&gt;0),"자"
)</f>
        <v>0</v>
      </c>
      <c r="AD199" s="26" cm="1">
        <f t="array" ref="AD199">_xlfn.IFS(
   OR(C199="",ISBLANK(C199),C199=0),0,
   ISNUMBER(MATCH(C199,{2,3,5,7,11,13,17,19,23,29,31,37,41,43},0)),"소",
   AND(ISNUMBER(C199),MOD(C199,3)=0),"배",
   AND(ISNUMBER(C199),C199&gt;0),"자"
)</f>
        <v>0</v>
      </c>
      <c r="AE199" s="26" cm="1">
        <f t="array" ref="AE199">_xlfn.IFS(
   OR(D199="",ISBLANK(D199),D199=0),0,
   ISNUMBER(MATCH(D199,{2,3,5,7,11,13,17,19,23,29,31,37,41,43},0)),"소",
   AND(ISNUMBER(D199),MOD(D199,3)=0),"배",
   AND(ISNUMBER(D199),D199&gt;0),"자"
)</f>
        <v>0</v>
      </c>
      <c r="AF199" s="26" cm="1">
        <f t="array" ref="AF199">_xlfn.IFS(
   OR(E199="",ISBLANK(E199),E199=0),0,
   ISNUMBER(MATCH(E199,{2,3,5,7,11,13,17,19,23,29,31,37,41,43},0)),"소",
   AND(ISNUMBER(E199),MOD(E199,3)=0),"배",
   AND(ISNUMBER(E199),E199&gt;0),"자"
)</f>
        <v>0</v>
      </c>
      <c r="AG199" s="26" cm="1">
        <f t="array" ref="AG199">_xlfn.IFS(
   OR(F199="",ISBLANK(F199),F199=0),0,
   ISNUMBER(MATCH(F199,{2,3,5,7,11,13,17,19,23,29,31,37,41,43},0)),"소",
   AND(ISNUMBER(F199),MOD(F199,3)=0),"배",
   AND(ISNUMBER(F199),F199&gt;0),"자"
)</f>
        <v>0</v>
      </c>
      <c r="AH199" s="26" cm="1">
        <f t="array" ref="AH199">_xlfn.IFS(
   OR(G199="",ISBLANK(G199),G199=0),0,
   ISNUMBER(MATCH(G199,{2,3,5,7,11,13,17,19,23,29,31,37,41,43},0)),"소",
   AND(ISNUMBER(G199),MOD(G199,3)=0),"배",
   AND(ISNUMBER(G199),G199&gt;0),"자"
)</f>
        <v>0</v>
      </c>
      <c r="AI199" s="30"/>
      <c r="AJ199" s="3">
        <f t="shared" si="130"/>
        <v>0</v>
      </c>
      <c r="AK199" s="3">
        <f t="shared" si="131"/>
        <v>0</v>
      </c>
      <c r="AL199" s="3">
        <f t="shared" si="132"/>
        <v>6</v>
      </c>
      <c r="AM199" s="33"/>
      <c r="AN199" s="3">
        <f t="shared" si="133"/>
        <v>0</v>
      </c>
      <c r="AO199" s="3">
        <f t="shared" si="134"/>
        <v>0</v>
      </c>
      <c r="AP199" s="3">
        <f t="shared" si="135"/>
        <v>0</v>
      </c>
      <c r="AQ199" s="3">
        <f t="shared" si="136"/>
        <v>0</v>
      </c>
      <c r="AR199" s="3">
        <f t="shared" si="137"/>
        <v>0</v>
      </c>
      <c r="AS199" s="28" t="e">
        <f>#REF!</f>
        <v>#REF!</v>
      </c>
      <c r="AT199" s="28" t="e">
        <f>#REF!*2</f>
        <v>#REF!</v>
      </c>
      <c r="AU199" s="28" t="e">
        <f>#REF!</f>
        <v>#REF!</v>
      </c>
      <c r="AV199" s="28" t="e">
        <f>#REF!*2</f>
        <v>#REF!</v>
      </c>
      <c r="AW199" s="28" t="e">
        <f>#REF!</f>
        <v>#REF!</v>
      </c>
      <c r="AX199" s="28" t="e">
        <f>#REF!*2</f>
        <v>#REF!</v>
      </c>
      <c r="AY199" s="28" t="e">
        <f>#REF!</f>
        <v>#REF!</v>
      </c>
      <c r="AZ199" s="28" t="e">
        <f>#REF!*2</f>
        <v>#REF!</v>
      </c>
      <c r="BA199" s="28" t="e">
        <f>#REF!</f>
        <v>#REF!</v>
      </c>
      <c r="BB199" s="28" t="e">
        <f>#REF!*2</f>
        <v>#REF!</v>
      </c>
      <c r="BC199" s="28" t="e">
        <f>#REF!</f>
        <v>#REF!</v>
      </c>
      <c r="BD199" s="28" t="e">
        <f>#REF!*2</f>
        <v>#REF!</v>
      </c>
      <c r="BE199" s="9" t="e">
        <f>#REF!-#REF!</f>
        <v>#REF!</v>
      </c>
      <c r="BF199" s="9" t="e">
        <f>#REF!-#REF!</f>
        <v>#REF!</v>
      </c>
      <c r="BG199" s="9" t="e">
        <f>#REF!-#REF!</f>
        <v>#REF!</v>
      </c>
      <c r="BH199" s="9" t="e">
        <f>#REF!-#REF!</f>
        <v>#REF!</v>
      </c>
      <c r="BI199" s="9" t="e">
        <f>#REF!-#REF!</f>
        <v>#REF!</v>
      </c>
      <c r="BJ199" s="33"/>
      <c r="BK199" s="3">
        <f t="shared" si="138"/>
        <v>0</v>
      </c>
      <c r="BL199" s="3">
        <f t="shared" si="139"/>
        <v>0</v>
      </c>
      <c r="BM199" s="3">
        <f t="shared" si="140"/>
        <v>0</v>
      </c>
      <c r="BN199" s="3">
        <f t="shared" si="141"/>
        <v>0</v>
      </c>
      <c r="BO199" s="3">
        <f t="shared" si="142"/>
        <v>0</v>
      </c>
      <c r="BP199" s="28" t="e">
        <f>#REF!</f>
        <v>#REF!</v>
      </c>
      <c r="BQ199" s="28" t="e">
        <f>#REF!*2</f>
        <v>#REF!</v>
      </c>
      <c r="BR199" s="28" t="e">
        <f>#REF!</f>
        <v>#REF!</v>
      </c>
      <c r="BS199" s="28" t="e">
        <f>#REF!*2</f>
        <v>#REF!</v>
      </c>
      <c r="BT199" s="28" t="e">
        <f>#REF!</f>
        <v>#REF!</v>
      </c>
      <c r="BU199" s="28" t="e">
        <f>#REF!*2</f>
        <v>#REF!</v>
      </c>
      <c r="BV199" s="28" t="e">
        <f>#REF!</f>
        <v>#REF!</v>
      </c>
      <c r="BW199" s="28" t="e">
        <f>#REF!*2</f>
        <v>#REF!</v>
      </c>
      <c r="BX199" s="28" t="e">
        <f>#REF!</f>
        <v>#REF!</v>
      </c>
      <c r="BY199" s="28" t="e">
        <f>#REF!*2</f>
        <v>#REF!</v>
      </c>
      <c r="BZ199" s="28" t="e">
        <f>#REF!</f>
        <v>#REF!</v>
      </c>
      <c r="CA199" s="28" t="e">
        <f>#REF!*2</f>
        <v>#REF!</v>
      </c>
      <c r="CB199" s="9">
        <f t="shared" si="143"/>
        <v>0</v>
      </c>
      <c r="CC199" s="9">
        <f t="shared" si="144"/>
        <v>0</v>
      </c>
      <c r="CD199" s="9">
        <f t="shared" si="145"/>
        <v>0</v>
      </c>
      <c r="CE199" s="9">
        <f t="shared" si="146"/>
        <v>0</v>
      </c>
      <c r="CF199" s="9">
        <f t="shared" si="147"/>
        <v>0</v>
      </c>
      <c r="CG199" s="33"/>
      <c r="CH199" s="9">
        <f t="shared" si="148"/>
        <v>0</v>
      </c>
      <c r="CI199" s="9">
        <f t="shared" si="149"/>
        <v>0</v>
      </c>
      <c r="CJ199" s="9">
        <f t="shared" si="150"/>
        <v>0</v>
      </c>
      <c r="CK199" s="9">
        <f t="shared" si="151"/>
        <v>0</v>
      </c>
      <c r="CL199" s="9">
        <f t="shared" si="152"/>
        <v>0</v>
      </c>
      <c r="CM199" s="32"/>
      <c r="CN199" s="3">
        <f t="shared" si="153"/>
        <v>0</v>
      </c>
      <c r="CO199" s="3">
        <f t="shared" si="154"/>
        <v>0</v>
      </c>
      <c r="CP199" s="3">
        <f t="shared" si="155"/>
        <v>0</v>
      </c>
      <c r="CQ199" s="3">
        <f t="shared" si="156"/>
        <v>0</v>
      </c>
      <c r="CR199" s="3">
        <f t="shared" si="157"/>
        <v>0</v>
      </c>
      <c r="CS199" s="31"/>
      <c r="CT199" s="3" cm="1">
        <f t="array" ref="CT199">SUMPRODUCT(--(MOD(CH199:CL199,2)=1))</f>
        <v>0</v>
      </c>
      <c r="CU199" s="3">
        <f t="shared" si="158"/>
        <v>5</v>
      </c>
      <c r="CV199" s="30"/>
      <c r="CW199" s="3" cm="1">
        <f t="array" ref="CW199">SUMPRODUCT(--(MOD(CH199:CL199,10)&gt;=1), --(MOD(CH199:CL199,10)&lt;=5))</f>
        <v>0</v>
      </c>
      <c r="CX199" s="3">
        <f t="shared" si="159"/>
        <v>5</v>
      </c>
      <c r="CY199" s="30"/>
      <c r="CZ199" s="3" cm="1">
        <f t="array" ref="CZ199">IFERROR(COUNT(_xlfn._xlws.FILTER(CH199:CL199, ISNUMBER(MATCH(CH199:CL199, {2,3,5,7,11,13,17,19,23,29,31,37,41,43}, 0)))), 0)</f>
        <v>0</v>
      </c>
      <c r="DA199" s="3" cm="1">
        <f t="array" ref="DA199">IFERROR(COUNT(_xlfn._xlws.FILTER(CH199:CL199, ISNUMBER(MATCH(CH199:CL199, {1,4,8,10,14,16,20,22,25,26,28,32,34,35,38,40,44}, 0)))), 0)</f>
        <v>0</v>
      </c>
      <c r="DB199" s="3" cm="1">
        <f t="array" ref="DB199">IFERROR(COUNT(_xlfn._xlws.FILTER(CH199:CL199, ISNUMBER(MATCH(CH199:CL199, {6,9,12,15,18,21,24,27,30,33,36,39,42,45}, 0)))), 0)</f>
        <v>0</v>
      </c>
      <c r="DC199" s="29"/>
      <c r="DD199" s="28" t="e">
        <f>#REF!</f>
        <v>#REF!</v>
      </c>
      <c r="DE199" s="28" t="e">
        <f>#REF!*2</f>
        <v>#REF!</v>
      </c>
      <c r="DF199" s="28" t="e">
        <f>#REF!</f>
        <v>#REF!</v>
      </c>
      <c r="DG199" s="28" t="e">
        <f>#REF!*2</f>
        <v>#REF!</v>
      </c>
      <c r="DH199" s="28" t="e">
        <f>#REF!</f>
        <v>#REF!</v>
      </c>
      <c r="DI199" s="28" t="e">
        <f>#REF!*2</f>
        <v>#REF!</v>
      </c>
      <c r="DJ199" s="28" t="e">
        <f>#REF!</f>
        <v>#REF!</v>
      </c>
      <c r="DK199" s="28" t="e">
        <f>#REF!*2</f>
        <v>#REF!</v>
      </c>
      <c r="DL199" s="28" t="e">
        <f>#REF!</f>
        <v>#REF!</v>
      </c>
      <c r="DM199" s="28" t="e">
        <f>#REF!*2</f>
        <v>#REF!</v>
      </c>
      <c r="DN199" s="27"/>
      <c r="DO199" s="26"/>
      <c r="DP199" s="26"/>
      <c r="DQ199" s="26"/>
      <c r="DR199" s="26"/>
      <c r="DS199" s="26"/>
      <c r="DT199" s="25"/>
    </row>
    <row r="200" spans="2:124" x14ac:dyDescent="0.3"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2"/>
      <c r="I200" s="3">
        <f t="shared" si="120"/>
        <v>0</v>
      </c>
      <c r="J200" s="3">
        <f t="shared" si="121"/>
        <v>0</v>
      </c>
      <c r="K200" s="3">
        <f t="shared" si="122"/>
        <v>0</v>
      </c>
      <c r="L200" s="3">
        <f t="shared" si="123"/>
        <v>0</v>
      </c>
      <c r="M200" s="3">
        <f t="shared" si="124"/>
        <v>0</v>
      </c>
      <c r="N200" s="3">
        <f t="shared" si="125"/>
        <v>0</v>
      </c>
      <c r="O200" s="32"/>
      <c r="P200" s="3" cm="1">
        <f t="array" ref="P200">SUMPRODUCT(--(MOD(B200:G200,2)=1))</f>
        <v>0</v>
      </c>
      <c r="Q200" s="3">
        <f t="shared" si="126"/>
        <v>6</v>
      </c>
      <c r="R200" s="34"/>
      <c r="S200" s="3">
        <f t="shared" si="127"/>
        <v>0</v>
      </c>
      <c r="T200" s="3">
        <f t="shared" si="128"/>
        <v>6</v>
      </c>
      <c r="U200" s="34"/>
      <c r="V200" s="3" cm="1">
        <f t="array" ref="V200">SUMPRODUCT(--(MOD(B200:G200,10)&gt;=1), --(MOD(B200:G200,10)&lt;=5))</f>
        <v>0</v>
      </c>
      <c r="W200" s="3">
        <f t="shared" si="129"/>
        <v>6</v>
      </c>
      <c r="X200" s="34"/>
      <c r="Y200" s="3" cm="1">
        <f t="array" ref="Y200">IFERROR(COUNT(_xlfn._xlws.FILTER(B200:G200, ISNUMBER(MATCH(B200:G200, {2,3,5,7,11,13,17,19,23,29,31,37,41,43}, 0)))), 0)</f>
        <v>0</v>
      </c>
      <c r="Z200" s="3" cm="1">
        <f t="array" ref="Z200">IFERROR(COUNT(_xlfn._xlws.FILTER(B200:G200, ISNUMBER(MATCH(B200:G200, {1,4,8,10,14,16,20,22,25,26,28,32,34,35,38,40,44}, 0)))), 0)</f>
        <v>0</v>
      </c>
      <c r="AA200" s="3" cm="1">
        <f t="array" ref="AA200">IFERROR(COUNT(_xlfn._xlws.FILTER(B200:G200, ISNUMBER(MATCH(B200:G200, {6,9,12,15,18,21,24,27,30,33,36,39,42,45}, 0)))), 0)</f>
        <v>0</v>
      </c>
      <c r="AB200" s="30"/>
      <c r="AC200" s="26" cm="1">
        <f t="array" ref="AC200">_xlfn.IFS(
   OR(B200="",ISBLANK(B200),B200=0),0,
   ISNUMBER(MATCH(B200,{2,3,5,7,11,13,17,19,23,29,31,37,41,43},0)),"소",
   AND(ISNUMBER(B200),MOD(B200,3)=0),"배",
   AND(ISNUMBER(B200),B200&gt;0),"자"
)</f>
        <v>0</v>
      </c>
      <c r="AD200" s="26" cm="1">
        <f t="array" ref="AD200">_xlfn.IFS(
   OR(C200="",ISBLANK(C200),C200=0),0,
   ISNUMBER(MATCH(C200,{2,3,5,7,11,13,17,19,23,29,31,37,41,43},0)),"소",
   AND(ISNUMBER(C200),MOD(C200,3)=0),"배",
   AND(ISNUMBER(C200),C200&gt;0),"자"
)</f>
        <v>0</v>
      </c>
      <c r="AE200" s="26" cm="1">
        <f t="array" ref="AE200">_xlfn.IFS(
   OR(D200="",ISBLANK(D200),D200=0),0,
   ISNUMBER(MATCH(D200,{2,3,5,7,11,13,17,19,23,29,31,37,41,43},0)),"소",
   AND(ISNUMBER(D200),MOD(D200,3)=0),"배",
   AND(ISNUMBER(D200),D200&gt;0),"자"
)</f>
        <v>0</v>
      </c>
      <c r="AF200" s="26" cm="1">
        <f t="array" ref="AF200">_xlfn.IFS(
   OR(E200="",ISBLANK(E200),E200=0),0,
   ISNUMBER(MATCH(E200,{2,3,5,7,11,13,17,19,23,29,31,37,41,43},0)),"소",
   AND(ISNUMBER(E200),MOD(E200,3)=0),"배",
   AND(ISNUMBER(E200),E200&gt;0),"자"
)</f>
        <v>0</v>
      </c>
      <c r="AG200" s="26" cm="1">
        <f t="array" ref="AG200">_xlfn.IFS(
   OR(F200="",ISBLANK(F200),F200=0),0,
   ISNUMBER(MATCH(F200,{2,3,5,7,11,13,17,19,23,29,31,37,41,43},0)),"소",
   AND(ISNUMBER(F200),MOD(F200,3)=0),"배",
   AND(ISNUMBER(F200),F200&gt;0),"자"
)</f>
        <v>0</v>
      </c>
      <c r="AH200" s="26" cm="1">
        <f t="array" ref="AH200">_xlfn.IFS(
   OR(G200="",ISBLANK(G200),G200=0),0,
   ISNUMBER(MATCH(G200,{2,3,5,7,11,13,17,19,23,29,31,37,41,43},0)),"소",
   AND(ISNUMBER(G200),MOD(G200,3)=0),"배",
   AND(ISNUMBER(G200),G200&gt;0),"자"
)</f>
        <v>0</v>
      </c>
      <c r="AI200" s="30"/>
      <c r="AJ200" s="3">
        <f t="shared" si="130"/>
        <v>0</v>
      </c>
      <c r="AK200" s="3">
        <f t="shared" si="131"/>
        <v>0</v>
      </c>
      <c r="AL200" s="3">
        <f t="shared" si="132"/>
        <v>6</v>
      </c>
      <c r="AM200" s="33"/>
      <c r="AN200" s="3">
        <f t="shared" si="133"/>
        <v>0</v>
      </c>
      <c r="AO200" s="3">
        <f t="shared" si="134"/>
        <v>0</v>
      </c>
      <c r="AP200" s="3">
        <f t="shared" si="135"/>
        <v>0</v>
      </c>
      <c r="AQ200" s="3">
        <f t="shared" si="136"/>
        <v>0</v>
      </c>
      <c r="AR200" s="3">
        <f t="shared" si="137"/>
        <v>0</v>
      </c>
      <c r="AS200" s="28" t="e">
        <f>#REF!</f>
        <v>#REF!</v>
      </c>
      <c r="AT200" s="28" t="e">
        <f>#REF!*2</f>
        <v>#REF!</v>
      </c>
      <c r="AU200" s="28" t="e">
        <f>#REF!</f>
        <v>#REF!</v>
      </c>
      <c r="AV200" s="28" t="e">
        <f>#REF!*2</f>
        <v>#REF!</v>
      </c>
      <c r="AW200" s="28" t="e">
        <f>#REF!</f>
        <v>#REF!</v>
      </c>
      <c r="AX200" s="28" t="e">
        <f>#REF!*2</f>
        <v>#REF!</v>
      </c>
      <c r="AY200" s="28" t="e">
        <f>#REF!</f>
        <v>#REF!</v>
      </c>
      <c r="AZ200" s="28" t="e">
        <f>#REF!*2</f>
        <v>#REF!</v>
      </c>
      <c r="BA200" s="28" t="e">
        <f>#REF!</f>
        <v>#REF!</v>
      </c>
      <c r="BB200" s="28" t="e">
        <f>#REF!*2</f>
        <v>#REF!</v>
      </c>
      <c r="BC200" s="28" t="e">
        <f>#REF!</f>
        <v>#REF!</v>
      </c>
      <c r="BD200" s="28" t="e">
        <f>#REF!*2</f>
        <v>#REF!</v>
      </c>
      <c r="BE200" s="9" t="e">
        <f>#REF!-#REF!</f>
        <v>#REF!</v>
      </c>
      <c r="BF200" s="9" t="e">
        <f>#REF!-#REF!</f>
        <v>#REF!</v>
      </c>
      <c r="BG200" s="9" t="e">
        <f>#REF!-#REF!</f>
        <v>#REF!</v>
      </c>
      <c r="BH200" s="9" t="e">
        <f>#REF!-#REF!</f>
        <v>#REF!</v>
      </c>
      <c r="BI200" s="9" t="e">
        <f>#REF!-#REF!</f>
        <v>#REF!</v>
      </c>
      <c r="BJ200" s="33"/>
      <c r="BK200" s="3">
        <f t="shared" si="138"/>
        <v>0</v>
      </c>
      <c r="BL200" s="3">
        <f t="shared" si="139"/>
        <v>0</v>
      </c>
      <c r="BM200" s="3">
        <f t="shared" si="140"/>
        <v>0</v>
      </c>
      <c r="BN200" s="3">
        <f t="shared" si="141"/>
        <v>0</v>
      </c>
      <c r="BO200" s="3">
        <f t="shared" si="142"/>
        <v>0</v>
      </c>
      <c r="BP200" s="28" t="e">
        <f>#REF!</f>
        <v>#REF!</v>
      </c>
      <c r="BQ200" s="28" t="e">
        <f>#REF!*2</f>
        <v>#REF!</v>
      </c>
      <c r="BR200" s="28" t="e">
        <f>#REF!</f>
        <v>#REF!</v>
      </c>
      <c r="BS200" s="28" t="e">
        <f>#REF!*2</f>
        <v>#REF!</v>
      </c>
      <c r="BT200" s="28" t="e">
        <f>#REF!</f>
        <v>#REF!</v>
      </c>
      <c r="BU200" s="28" t="e">
        <f>#REF!*2</f>
        <v>#REF!</v>
      </c>
      <c r="BV200" s="28" t="e">
        <f>#REF!</f>
        <v>#REF!</v>
      </c>
      <c r="BW200" s="28" t="e">
        <f>#REF!*2</f>
        <v>#REF!</v>
      </c>
      <c r="BX200" s="28" t="e">
        <f>#REF!</f>
        <v>#REF!</v>
      </c>
      <c r="BY200" s="28" t="e">
        <f>#REF!*2</f>
        <v>#REF!</v>
      </c>
      <c r="BZ200" s="28" t="e">
        <f>#REF!</f>
        <v>#REF!</v>
      </c>
      <c r="CA200" s="28" t="e">
        <f>#REF!*2</f>
        <v>#REF!</v>
      </c>
      <c r="CB200" s="9">
        <f t="shared" si="143"/>
        <v>0</v>
      </c>
      <c r="CC200" s="9">
        <f t="shared" si="144"/>
        <v>0</v>
      </c>
      <c r="CD200" s="9">
        <f t="shared" si="145"/>
        <v>0</v>
      </c>
      <c r="CE200" s="9">
        <f t="shared" si="146"/>
        <v>0</v>
      </c>
      <c r="CF200" s="9">
        <f t="shared" si="147"/>
        <v>0</v>
      </c>
      <c r="CG200" s="33"/>
      <c r="CH200" s="9">
        <f t="shared" si="148"/>
        <v>0</v>
      </c>
      <c r="CI200" s="9">
        <f t="shared" si="149"/>
        <v>0</v>
      </c>
      <c r="CJ200" s="9">
        <f t="shared" si="150"/>
        <v>0</v>
      </c>
      <c r="CK200" s="9">
        <f t="shared" si="151"/>
        <v>0</v>
      </c>
      <c r="CL200" s="9">
        <f t="shared" si="152"/>
        <v>0</v>
      </c>
      <c r="CM200" s="32"/>
      <c r="CN200" s="3">
        <f t="shared" si="153"/>
        <v>0</v>
      </c>
      <c r="CO200" s="3">
        <f t="shared" si="154"/>
        <v>0</v>
      </c>
      <c r="CP200" s="3">
        <f t="shared" si="155"/>
        <v>0</v>
      </c>
      <c r="CQ200" s="3">
        <f t="shared" si="156"/>
        <v>0</v>
      </c>
      <c r="CR200" s="3">
        <f t="shared" si="157"/>
        <v>0</v>
      </c>
      <c r="CS200" s="31"/>
      <c r="CT200" s="3" cm="1">
        <f t="array" ref="CT200">SUMPRODUCT(--(MOD(CH200:CL200,2)=1))</f>
        <v>0</v>
      </c>
      <c r="CU200" s="3">
        <f t="shared" si="158"/>
        <v>5</v>
      </c>
      <c r="CV200" s="30"/>
      <c r="CW200" s="3" cm="1">
        <f t="array" ref="CW200">SUMPRODUCT(--(MOD(CH200:CL200,10)&gt;=1), --(MOD(CH200:CL200,10)&lt;=5))</f>
        <v>0</v>
      </c>
      <c r="CX200" s="3">
        <f t="shared" si="159"/>
        <v>5</v>
      </c>
      <c r="CY200" s="30"/>
      <c r="CZ200" s="3" cm="1">
        <f t="array" ref="CZ200">IFERROR(COUNT(_xlfn._xlws.FILTER(CH200:CL200, ISNUMBER(MATCH(CH200:CL200, {2,3,5,7,11,13,17,19,23,29,31,37,41,43}, 0)))), 0)</f>
        <v>0</v>
      </c>
      <c r="DA200" s="3" cm="1">
        <f t="array" ref="DA200">IFERROR(COUNT(_xlfn._xlws.FILTER(CH200:CL200, ISNUMBER(MATCH(CH200:CL200, {1,4,8,10,14,16,20,22,25,26,28,32,34,35,38,40,44}, 0)))), 0)</f>
        <v>0</v>
      </c>
      <c r="DB200" s="3" cm="1">
        <f t="array" ref="DB200">IFERROR(COUNT(_xlfn._xlws.FILTER(CH200:CL200, ISNUMBER(MATCH(CH200:CL200, {6,9,12,15,18,21,24,27,30,33,36,39,42,45}, 0)))), 0)</f>
        <v>0</v>
      </c>
      <c r="DC200" s="29"/>
      <c r="DD200" s="28" t="e">
        <f>#REF!</f>
        <v>#REF!</v>
      </c>
      <c r="DE200" s="28" t="e">
        <f>#REF!*2</f>
        <v>#REF!</v>
      </c>
      <c r="DF200" s="28" t="e">
        <f>#REF!</f>
        <v>#REF!</v>
      </c>
      <c r="DG200" s="28" t="e">
        <f>#REF!*2</f>
        <v>#REF!</v>
      </c>
      <c r="DH200" s="28" t="e">
        <f>#REF!</f>
        <v>#REF!</v>
      </c>
      <c r="DI200" s="28" t="e">
        <f>#REF!*2</f>
        <v>#REF!</v>
      </c>
      <c r="DJ200" s="28" t="e">
        <f>#REF!</f>
        <v>#REF!</v>
      </c>
      <c r="DK200" s="28" t="e">
        <f>#REF!*2</f>
        <v>#REF!</v>
      </c>
      <c r="DL200" s="28" t="e">
        <f>#REF!</f>
        <v>#REF!</v>
      </c>
      <c r="DM200" s="28" t="e">
        <f>#REF!*2</f>
        <v>#REF!</v>
      </c>
      <c r="DN200" s="27"/>
      <c r="DO200" s="26"/>
      <c r="DP200" s="26"/>
      <c r="DQ200" s="26"/>
      <c r="DR200" s="26"/>
      <c r="DS200" s="26"/>
      <c r="DT200" s="25"/>
    </row>
    <row r="201" spans="2:124" x14ac:dyDescent="0.3"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2"/>
      <c r="I201" s="3">
        <f t="shared" si="120"/>
        <v>0</v>
      </c>
      <c r="J201" s="3">
        <f t="shared" si="121"/>
        <v>0</v>
      </c>
      <c r="K201" s="3">
        <f t="shared" si="122"/>
        <v>0</v>
      </c>
      <c r="L201" s="3">
        <f t="shared" si="123"/>
        <v>0</v>
      </c>
      <c r="M201" s="3">
        <f t="shared" si="124"/>
        <v>0</v>
      </c>
      <c r="N201" s="3">
        <f t="shared" si="125"/>
        <v>0</v>
      </c>
      <c r="O201" s="32"/>
      <c r="P201" s="3" cm="1">
        <f t="array" ref="P201">SUMPRODUCT(--(MOD(B201:G201,2)=1))</f>
        <v>0</v>
      </c>
      <c r="Q201" s="3">
        <f t="shared" si="126"/>
        <v>6</v>
      </c>
      <c r="R201" s="34"/>
      <c r="S201" s="3">
        <f t="shared" si="127"/>
        <v>0</v>
      </c>
      <c r="T201" s="3">
        <f t="shared" si="128"/>
        <v>6</v>
      </c>
      <c r="U201" s="34"/>
      <c r="V201" s="3" cm="1">
        <f t="array" ref="V201">SUMPRODUCT(--(MOD(B201:G201,10)&gt;=1), --(MOD(B201:G201,10)&lt;=5))</f>
        <v>0</v>
      </c>
      <c r="W201" s="3">
        <f t="shared" si="129"/>
        <v>6</v>
      </c>
      <c r="X201" s="34"/>
      <c r="Y201" s="3" cm="1">
        <f t="array" ref="Y201">IFERROR(COUNT(_xlfn._xlws.FILTER(B201:G201, ISNUMBER(MATCH(B201:G201, {2,3,5,7,11,13,17,19,23,29,31,37,41,43}, 0)))), 0)</f>
        <v>0</v>
      </c>
      <c r="Z201" s="3" cm="1">
        <f t="array" ref="Z201">IFERROR(COUNT(_xlfn._xlws.FILTER(B201:G201, ISNUMBER(MATCH(B201:G201, {1,4,8,10,14,16,20,22,25,26,28,32,34,35,38,40,44}, 0)))), 0)</f>
        <v>0</v>
      </c>
      <c r="AA201" s="3" cm="1">
        <f t="array" ref="AA201">IFERROR(COUNT(_xlfn._xlws.FILTER(B201:G201, ISNUMBER(MATCH(B201:G201, {6,9,12,15,18,21,24,27,30,33,36,39,42,45}, 0)))), 0)</f>
        <v>0</v>
      </c>
      <c r="AB201" s="30"/>
      <c r="AC201" s="26" cm="1">
        <f t="array" ref="AC201">_xlfn.IFS(
   OR(B201="",ISBLANK(B201),B201=0),0,
   ISNUMBER(MATCH(B201,{2,3,5,7,11,13,17,19,23,29,31,37,41,43},0)),"소",
   AND(ISNUMBER(B201),MOD(B201,3)=0),"배",
   AND(ISNUMBER(B201),B201&gt;0),"자"
)</f>
        <v>0</v>
      </c>
      <c r="AD201" s="26" cm="1">
        <f t="array" ref="AD201">_xlfn.IFS(
   OR(C201="",ISBLANK(C201),C201=0),0,
   ISNUMBER(MATCH(C201,{2,3,5,7,11,13,17,19,23,29,31,37,41,43},0)),"소",
   AND(ISNUMBER(C201),MOD(C201,3)=0),"배",
   AND(ISNUMBER(C201),C201&gt;0),"자"
)</f>
        <v>0</v>
      </c>
      <c r="AE201" s="26" cm="1">
        <f t="array" ref="AE201">_xlfn.IFS(
   OR(D201="",ISBLANK(D201),D201=0),0,
   ISNUMBER(MATCH(D201,{2,3,5,7,11,13,17,19,23,29,31,37,41,43},0)),"소",
   AND(ISNUMBER(D201),MOD(D201,3)=0),"배",
   AND(ISNUMBER(D201),D201&gt;0),"자"
)</f>
        <v>0</v>
      </c>
      <c r="AF201" s="26" cm="1">
        <f t="array" ref="AF201">_xlfn.IFS(
   OR(E201="",ISBLANK(E201),E201=0),0,
   ISNUMBER(MATCH(E201,{2,3,5,7,11,13,17,19,23,29,31,37,41,43},0)),"소",
   AND(ISNUMBER(E201),MOD(E201,3)=0),"배",
   AND(ISNUMBER(E201),E201&gt;0),"자"
)</f>
        <v>0</v>
      </c>
      <c r="AG201" s="26" cm="1">
        <f t="array" ref="AG201">_xlfn.IFS(
   OR(F201="",ISBLANK(F201),F201=0),0,
   ISNUMBER(MATCH(F201,{2,3,5,7,11,13,17,19,23,29,31,37,41,43},0)),"소",
   AND(ISNUMBER(F201),MOD(F201,3)=0),"배",
   AND(ISNUMBER(F201),F201&gt;0),"자"
)</f>
        <v>0</v>
      </c>
      <c r="AH201" s="26" cm="1">
        <f t="array" ref="AH201">_xlfn.IFS(
   OR(G201="",ISBLANK(G201),G201=0),0,
   ISNUMBER(MATCH(G201,{2,3,5,7,11,13,17,19,23,29,31,37,41,43},0)),"소",
   AND(ISNUMBER(G201),MOD(G201,3)=0),"배",
   AND(ISNUMBER(G201),G201&gt;0),"자"
)</f>
        <v>0</v>
      </c>
      <c r="AI201" s="30"/>
      <c r="AJ201" s="3">
        <f t="shared" si="130"/>
        <v>0</v>
      </c>
      <c r="AK201" s="3">
        <f t="shared" si="131"/>
        <v>0</v>
      </c>
      <c r="AL201" s="3">
        <f t="shared" si="132"/>
        <v>6</v>
      </c>
      <c r="AM201" s="33"/>
      <c r="AN201" s="3">
        <f t="shared" si="133"/>
        <v>0</v>
      </c>
      <c r="AO201" s="3">
        <f t="shared" si="134"/>
        <v>0</v>
      </c>
      <c r="AP201" s="3">
        <f t="shared" si="135"/>
        <v>0</v>
      </c>
      <c r="AQ201" s="3">
        <f t="shared" si="136"/>
        <v>0</v>
      </c>
      <c r="AR201" s="3">
        <f t="shared" si="137"/>
        <v>0</v>
      </c>
      <c r="AS201" s="28" t="e">
        <f>#REF!</f>
        <v>#REF!</v>
      </c>
      <c r="AT201" s="28" t="e">
        <f>#REF!*2</f>
        <v>#REF!</v>
      </c>
      <c r="AU201" s="28" t="e">
        <f>#REF!</f>
        <v>#REF!</v>
      </c>
      <c r="AV201" s="28" t="e">
        <f>#REF!*2</f>
        <v>#REF!</v>
      </c>
      <c r="AW201" s="28" t="e">
        <f>#REF!</f>
        <v>#REF!</v>
      </c>
      <c r="AX201" s="28" t="e">
        <f>#REF!*2</f>
        <v>#REF!</v>
      </c>
      <c r="AY201" s="28" t="e">
        <f>#REF!</f>
        <v>#REF!</v>
      </c>
      <c r="AZ201" s="28" t="e">
        <f>#REF!*2</f>
        <v>#REF!</v>
      </c>
      <c r="BA201" s="28" t="e">
        <f>#REF!</f>
        <v>#REF!</v>
      </c>
      <c r="BB201" s="28" t="e">
        <f>#REF!*2</f>
        <v>#REF!</v>
      </c>
      <c r="BC201" s="28" t="e">
        <f>#REF!</f>
        <v>#REF!</v>
      </c>
      <c r="BD201" s="28" t="e">
        <f>#REF!*2</f>
        <v>#REF!</v>
      </c>
      <c r="BE201" s="9" t="e">
        <f>#REF!-#REF!</f>
        <v>#REF!</v>
      </c>
      <c r="BF201" s="9" t="e">
        <f>#REF!-#REF!</f>
        <v>#REF!</v>
      </c>
      <c r="BG201" s="9" t="e">
        <f>#REF!-#REF!</f>
        <v>#REF!</v>
      </c>
      <c r="BH201" s="9" t="e">
        <f>#REF!-#REF!</f>
        <v>#REF!</v>
      </c>
      <c r="BI201" s="9" t="e">
        <f>#REF!-#REF!</f>
        <v>#REF!</v>
      </c>
      <c r="BJ201" s="33"/>
      <c r="BK201" s="3">
        <f t="shared" si="138"/>
        <v>0</v>
      </c>
      <c r="BL201" s="3">
        <f t="shared" si="139"/>
        <v>0</v>
      </c>
      <c r="BM201" s="3">
        <f t="shared" si="140"/>
        <v>0</v>
      </c>
      <c r="BN201" s="3">
        <f t="shared" si="141"/>
        <v>0</v>
      </c>
      <c r="BO201" s="3">
        <f t="shared" si="142"/>
        <v>0</v>
      </c>
      <c r="BP201" s="28" t="e">
        <f>#REF!</f>
        <v>#REF!</v>
      </c>
      <c r="BQ201" s="28" t="e">
        <f>#REF!*2</f>
        <v>#REF!</v>
      </c>
      <c r="BR201" s="28" t="e">
        <f>#REF!</f>
        <v>#REF!</v>
      </c>
      <c r="BS201" s="28" t="e">
        <f>#REF!*2</f>
        <v>#REF!</v>
      </c>
      <c r="BT201" s="28" t="e">
        <f>#REF!</f>
        <v>#REF!</v>
      </c>
      <c r="BU201" s="28" t="e">
        <f>#REF!*2</f>
        <v>#REF!</v>
      </c>
      <c r="BV201" s="28" t="e">
        <f>#REF!</f>
        <v>#REF!</v>
      </c>
      <c r="BW201" s="28" t="e">
        <f>#REF!*2</f>
        <v>#REF!</v>
      </c>
      <c r="BX201" s="28" t="e">
        <f>#REF!</f>
        <v>#REF!</v>
      </c>
      <c r="BY201" s="28" t="e">
        <f>#REF!*2</f>
        <v>#REF!</v>
      </c>
      <c r="BZ201" s="28" t="e">
        <f>#REF!</f>
        <v>#REF!</v>
      </c>
      <c r="CA201" s="28" t="e">
        <f>#REF!*2</f>
        <v>#REF!</v>
      </c>
      <c r="CB201" s="9">
        <f t="shared" si="143"/>
        <v>0</v>
      </c>
      <c r="CC201" s="9">
        <f t="shared" si="144"/>
        <v>0</v>
      </c>
      <c r="CD201" s="9">
        <f t="shared" si="145"/>
        <v>0</v>
      </c>
      <c r="CE201" s="9">
        <f t="shared" si="146"/>
        <v>0</v>
      </c>
      <c r="CF201" s="9">
        <f t="shared" si="147"/>
        <v>0</v>
      </c>
      <c r="CG201" s="33"/>
      <c r="CH201" s="9">
        <f t="shared" si="148"/>
        <v>0</v>
      </c>
      <c r="CI201" s="9">
        <f t="shared" si="149"/>
        <v>0</v>
      </c>
      <c r="CJ201" s="9">
        <f t="shared" si="150"/>
        <v>0</v>
      </c>
      <c r="CK201" s="9">
        <f t="shared" si="151"/>
        <v>0</v>
      </c>
      <c r="CL201" s="9">
        <f t="shared" si="152"/>
        <v>0</v>
      </c>
      <c r="CM201" s="32"/>
      <c r="CN201" s="3">
        <f t="shared" si="153"/>
        <v>0</v>
      </c>
      <c r="CO201" s="3">
        <f t="shared" si="154"/>
        <v>0</v>
      </c>
      <c r="CP201" s="3">
        <f t="shared" si="155"/>
        <v>0</v>
      </c>
      <c r="CQ201" s="3">
        <f t="shared" si="156"/>
        <v>0</v>
      </c>
      <c r="CR201" s="3">
        <f t="shared" si="157"/>
        <v>0</v>
      </c>
      <c r="CS201" s="31"/>
      <c r="CT201" s="3" cm="1">
        <f t="array" ref="CT201">SUMPRODUCT(--(MOD(CH201:CL201,2)=1))</f>
        <v>0</v>
      </c>
      <c r="CU201" s="3">
        <f t="shared" si="158"/>
        <v>5</v>
      </c>
      <c r="CV201" s="30"/>
      <c r="CW201" s="3" cm="1">
        <f t="array" ref="CW201">SUMPRODUCT(--(MOD(CH201:CL201,10)&gt;=1), --(MOD(CH201:CL201,10)&lt;=5))</f>
        <v>0</v>
      </c>
      <c r="CX201" s="3">
        <f t="shared" si="159"/>
        <v>5</v>
      </c>
      <c r="CY201" s="30"/>
      <c r="CZ201" s="3" cm="1">
        <f t="array" ref="CZ201">IFERROR(COUNT(_xlfn._xlws.FILTER(CH201:CL201, ISNUMBER(MATCH(CH201:CL201, {2,3,5,7,11,13,17,19,23,29,31,37,41,43}, 0)))), 0)</f>
        <v>0</v>
      </c>
      <c r="DA201" s="3" cm="1">
        <f t="array" ref="DA201">IFERROR(COUNT(_xlfn._xlws.FILTER(CH201:CL201, ISNUMBER(MATCH(CH201:CL201, {1,4,8,10,14,16,20,22,25,26,28,32,34,35,38,40,44}, 0)))), 0)</f>
        <v>0</v>
      </c>
      <c r="DB201" s="3" cm="1">
        <f t="array" ref="DB201">IFERROR(COUNT(_xlfn._xlws.FILTER(CH201:CL201, ISNUMBER(MATCH(CH201:CL201, {6,9,12,15,18,21,24,27,30,33,36,39,42,45}, 0)))), 0)</f>
        <v>0</v>
      </c>
      <c r="DC201" s="29"/>
      <c r="DD201" s="28" t="e">
        <f>#REF!</f>
        <v>#REF!</v>
      </c>
      <c r="DE201" s="28" t="e">
        <f>#REF!*2</f>
        <v>#REF!</v>
      </c>
      <c r="DF201" s="28" t="e">
        <f>#REF!</f>
        <v>#REF!</v>
      </c>
      <c r="DG201" s="28" t="e">
        <f>#REF!*2</f>
        <v>#REF!</v>
      </c>
      <c r="DH201" s="28" t="e">
        <f>#REF!</f>
        <v>#REF!</v>
      </c>
      <c r="DI201" s="28" t="e">
        <f>#REF!*2</f>
        <v>#REF!</v>
      </c>
      <c r="DJ201" s="28" t="e">
        <f>#REF!</f>
        <v>#REF!</v>
      </c>
      <c r="DK201" s="28" t="e">
        <f>#REF!*2</f>
        <v>#REF!</v>
      </c>
      <c r="DL201" s="28" t="e">
        <f>#REF!</f>
        <v>#REF!</v>
      </c>
      <c r="DM201" s="28" t="e">
        <f>#REF!*2</f>
        <v>#REF!</v>
      </c>
      <c r="DN201" s="27"/>
      <c r="DO201" s="26"/>
      <c r="DP201" s="26"/>
      <c r="DQ201" s="26"/>
      <c r="DR201" s="26"/>
      <c r="DS201" s="26"/>
      <c r="DT201" s="25"/>
    </row>
    <row r="202" spans="2:124" x14ac:dyDescent="0.3"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2"/>
      <c r="I202" s="3">
        <f t="shared" si="120"/>
        <v>0</v>
      </c>
      <c r="J202" s="3">
        <f t="shared" si="121"/>
        <v>0</v>
      </c>
      <c r="K202" s="3">
        <f t="shared" si="122"/>
        <v>0</v>
      </c>
      <c r="L202" s="3">
        <f t="shared" si="123"/>
        <v>0</v>
      </c>
      <c r="M202" s="3">
        <f t="shared" si="124"/>
        <v>0</v>
      </c>
      <c r="N202" s="3">
        <f t="shared" si="125"/>
        <v>0</v>
      </c>
      <c r="O202" s="32"/>
      <c r="P202" s="3" cm="1">
        <f t="array" ref="P202">SUMPRODUCT(--(MOD(B202:G202,2)=1))</f>
        <v>0</v>
      </c>
      <c r="Q202" s="3">
        <f t="shared" si="126"/>
        <v>6</v>
      </c>
      <c r="R202" s="34"/>
      <c r="S202" s="3">
        <f t="shared" si="127"/>
        <v>0</v>
      </c>
      <c r="T202" s="3">
        <f t="shared" si="128"/>
        <v>6</v>
      </c>
      <c r="U202" s="34"/>
      <c r="V202" s="3" cm="1">
        <f t="array" ref="V202">SUMPRODUCT(--(MOD(B202:G202,10)&gt;=1), --(MOD(B202:G202,10)&lt;=5))</f>
        <v>0</v>
      </c>
      <c r="W202" s="3">
        <f t="shared" si="129"/>
        <v>6</v>
      </c>
      <c r="X202" s="34"/>
      <c r="Y202" s="3" cm="1">
        <f t="array" ref="Y202">IFERROR(COUNT(_xlfn._xlws.FILTER(B202:G202, ISNUMBER(MATCH(B202:G202, {2,3,5,7,11,13,17,19,23,29,31,37,41,43}, 0)))), 0)</f>
        <v>0</v>
      </c>
      <c r="Z202" s="3" cm="1">
        <f t="array" ref="Z202">IFERROR(COUNT(_xlfn._xlws.FILTER(B202:G202, ISNUMBER(MATCH(B202:G202, {1,4,8,10,14,16,20,22,25,26,28,32,34,35,38,40,44}, 0)))), 0)</f>
        <v>0</v>
      </c>
      <c r="AA202" s="3" cm="1">
        <f t="array" ref="AA202">IFERROR(COUNT(_xlfn._xlws.FILTER(B202:G202, ISNUMBER(MATCH(B202:G202, {6,9,12,15,18,21,24,27,30,33,36,39,42,45}, 0)))), 0)</f>
        <v>0</v>
      </c>
      <c r="AB202" s="30"/>
      <c r="AC202" s="26" cm="1">
        <f t="array" ref="AC202">_xlfn.IFS(
   OR(B202="",ISBLANK(B202),B202=0),0,
   ISNUMBER(MATCH(B202,{2,3,5,7,11,13,17,19,23,29,31,37,41,43},0)),"소",
   AND(ISNUMBER(B202),MOD(B202,3)=0),"배",
   AND(ISNUMBER(B202),B202&gt;0),"자"
)</f>
        <v>0</v>
      </c>
      <c r="AD202" s="26" cm="1">
        <f t="array" ref="AD202">_xlfn.IFS(
   OR(C202="",ISBLANK(C202),C202=0),0,
   ISNUMBER(MATCH(C202,{2,3,5,7,11,13,17,19,23,29,31,37,41,43},0)),"소",
   AND(ISNUMBER(C202),MOD(C202,3)=0),"배",
   AND(ISNUMBER(C202),C202&gt;0),"자"
)</f>
        <v>0</v>
      </c>
      <c r="AE202" s="26" cm="1">
        <f t="array" ref="AE202">_xlfn.IFS(
   OR(D202="",ISBLANK(D202),D202=0),0,
   ISNUMBER(MATCH(D202,{2,3,5,7,11,13,17,19,23,29,31,37,41,43},0)),"소",
   AND(ISNUMBER(D202),MOD(D202,3)=0),"배",
   AND(ISNUMBER(D202),D202&gt;0),"자"
)</f>
        <v>0</v>
      </c>
      <c r="AF202" s="26" cm="1">
        <f t="array" ref="AF202">_xlfn.IFS(
   OR(E202="",ISBLANK(E202),E202=0),0,
   ISNUMBER(MATCH(E202,{2,3,5,7,11,13,17,19,23,29,31,37,41,43},0)),"소",
   AND(ISNUMBER(E202),MOD(E202,3)=0),"배",
   AND(ISNUMBER(E202),E202&gt;0),"자"
)</f>
        <v>0</v>
      </c>
      <c r="AG202" s="26" cm="1">
        <f t="array" ref="AG202">_xlfn.IFS(
   OR(F202="",ISBLANK(F202),F202=0),0,
   ISNUMBER(MATCH(F202,{2,3,5,7,11,13,17,19,23,29,31,37,41,43},0)),"소",
   AND(ISNUMBER(F202),MOD(F202,3)=0),"배",
   AND(ISNUMBER(F202),F202&gt;0),"자"
)</f>
        <v>0</v>
      </c>
      <c r="AH202" s="26" cm="1">
        <f t="array" ref="AH202">_xlfn.IFS(
   OR(G202="",ISBLANK(G202),G202=0),0,
   ISNUMBER(MATCH(G202,{2,3,5,7,11,13,17,19,23,29,31,37,41,43},0)),"소",
   AND(ISNUMBER(G202),MOD(G202,3)=0),"배",
   AND(ISNUMBER(G202),G202&gt;0),"자"
)</f>
        <v>0</v>
      </c>
      <c r="AI202" s="30"/>
      <c r="AJ202" s="3">
        <f t="shared" si="130"/>
        <v>0</v>
      </c>
      <c r="AK202" s="3">
        <f t="shared" si="131"/>
        <v>0</v>
      </c>
      <c r="AL202" s="3">
        <f t="shared" si="132"/>
        <v>6</v>
      </c>
      <c r="AM202" s="33"/>
      <c r="AN202" s="3">
        <f t="shared" si="133"/>
        <v>0</v>
      </c>
      <c r="AO202" s="3">
        <f t="shared" si="134"/>
        <v>0</v>
      </c>
      <c r="AP202" s="3">
        <f t="shared" si="135"/>
        <v>0</v>
      </c>
      <c r="AQ202" s="3">
        <f t="shared" si="136"/>
        <v>0</v>
      </c>
      <c r="AR202" s="3">
        <f t="shared" si="137"/>
        <v>0</v>
      </c>
      <c r="AS202" s="28" t="e">
        <f>#REF!</f>
        <v>#REF!</v>
      </c>
      <c r="AT202" s="28" t="e">
        <f>#REF!*2</f>
        <v>#REF!</v>
      </c>
      <c r="AU202" s="28" t="e">
        <f>#REF!</f>
        <v>#REF!</v>
      </c>
      <c r="AV202" s="28" t="e">
        <f>#REF!*2</f>
        <v>#REF!</v>
      </c>
      <c r="AW202" s="28" t="e">
        <f>#REF!</f>
        <v>#REF!</v>
      </c>
      <c r="AX202" s="28" t="e">
        <f>#REF!*2</f>
        <v>#REF!</v>
      </c>
      <c r="AY202" s="28" t="e">
        <f>#REF!</f>
        <v>#REF!</v>
      </c>
      <c r="AZ202" s="28" t="e">
        <f>#REF!*2</f>
        <v>#REF!</v>
      </c>
      <c r="BA202" s="28" t="e">
        <f>#REF!</f>
        <v>#REF!</v>
      </c>
      <c r="BB202" s="28" t="e">
        <f>#REF!*2</f>
        <v>#REF!</v>
      </c>
      <c r="BC202" s="28" t="e">
        <f>#REF!</f>
        <v>#REF!</v>
      </c>
      <c r="BD202" s="28" t="e">
        <f>#REF!*2</f>
        <v>#REF!</v>
      </c>
      <c r="BE202" s="9" t="e">
        <f>#REF!-#REF!</f>
        <v>#REF!</v>
      </c>
      <c r="BF202" s="9" t="e">
        <f>#REF!-#REF!</f>
        <v>#REF!</v>
      </c>
      <c r="BG202" s="9" t="e">
        <f>#REF!-#REF!</f>
        <v>#REF!</v>
      </c>
      <c r="BH202" s="9" t="e">
        <f>#REF!-#REF!</f>
        <v>#REF!</v>
      </c>
      <c r="BI202" s="9" t="e">
        <f>#REF!-#REF!</f>
        <v>#REF!</v>
      </c>
      <c r="BJ202" s="33"/>
      <c r="BK202" s="3">
        <f t="shared" si="138"/>
        <v>0</v>
      </c>
      <c r="BL202" s="3">
        <f t="shared" si="139"/>
        <v>0</v>
      </c>
      <c r="BM202" s="3">
        <f t="shared" si="140"/>
        <v>0</v>
      </c>
      <c r="BN202" s="3">
        <f t="shared" si="141"/>
        <v>0</v>
      </c>
      <c r="BO202" s="3">
        <f t="shared" si="142"/>
        <v>0</v>
      </c>
      <c r="BP202" s="28" t="e">
        <f>#REF!</f>
        <v>#REF!</v>
      </c>
      <c r="BQ202" s="28" t="e">
        <f>#REF!*2</f>
        <v>#REF!</v>
      </c>
      <c r="BR202" s="28" t="e">
        <f>#REF!</f>
        <v>#REF!</v>
      </c>
      <c r="BS202" s="28" t="e">
        <f>#REF!*2</f>
        <v>#REF!</v>
      </c>
      <c r="BT202" s="28" t="e">
        <f>#REF!</f>
        <v>#REF!</v>
      </c>
      <c r="BU202" s="28" t="e">
        <f>#REF!*2</f>
        <v>#REF!</v>
      </c>
      <c r="BV202" s="28" t="e">
        <f>#REF!</f>
        <v>#REF!</v>
      </c>
      <c r="BW202" s="28" t="e">
        <f>#REF!*2</f>
        <v>#REF!</v>
      </c>
      <c r="BX202" s="28" t="e">
        <f>#REF!</f>
        <v>#REF!</v>
      </c>
      <c r="BY202" s="28" t="e">
        <f>#REF!*2</f>
        <v>#REF!</v>
      </c>
      <c r="BZ202" s="28" t="e">
        <f>#REF!</f>
        <v>#REF!</v>
      </c>
      <c r="CA202" s="28" t="e">
        <f>#REF!*2</f>
        <v>#REF!</v>
      </c>
      <c r="CB202" s="9">
        <f t="shared" si="143"/>
        <v>0</v>
      </c>
      <c r="CC202" s="9">
        <f t="shared" si="144"/>
        <v>0</v>
      </c>
      <c r="CD202" s="9">
        <f t="shared" si="145"/>
        <v>0</v>
      </c>
      <c r="CE202" s="9">
        <f t="shared" si="146"/>
        <v>0</v>
      </c>
      <c r="CF202" s="9">
        <f t="shared" si="147"/>
        <v>0</v>
      </c>
      <c r="CG202" s="33"/>
      <c r="CH202" s="9">
        <f t="shared" si="148"/>
        <v>0</v>
      </c>
      <c r="CI202" s="9">
        <f t="shared" si="149"/>
        <v>0</v>
      </c>
      <c r="CJ202" s="9">
        <f t="shared" si="150"/>
        <v>0</v>
      </c>
      <c r="CK202" s="9">
        <f t="shared" si="151"/>
        <v>0</v>
      </c>
      <c r="CL202" s="9">
        <f t="shared" si="152"/>
        <v>0</v>
      </c>
      <c r="CM202" s="32"/>
      <c r="CN202" s="3">
        <f t="shared" si="153"/>
        <v>0</v>
      </c>
      <c r="CO202" s="3">
        <f t="shared" si="154"/>
        <v>0</v>
      </c>
      <c r="CP202" s="3">
        <f t="shared" si="155"/>
        <v>0</v>
      </c>
      <c r="CQ202" s="3">
        <f t="shared" si="156"/>
        <v>0</v>
      </c>
      <c r="CR202" s="3">
        <f t="shared" si="157"/>
        <v>0</v>
      </c>
      <c r="CS202" s="31"/>
      <c r="CT202" s="3" cm="1">
        <f t="array" ref="CT202">SUMPRODUCT(--(MOD(CH202:CL202,2)=1))</f>
        <v>0</v>
      </c>
      <c r="CU202" s="3">
        <f t="shared" si="158"/>
        <v>5</v>
      </c>
      <c r="CV202" s="30"/>
      <c r="CW202" s="3" cm="1">
        <f t="array" ref="CW202">SUMPRODUCT(--(MOD(CH202:CL202,10)&gt;=1), --(MOD(CH202:CL202,10)&lt;=5))</f>
        <v>0</v>
      </c>
      <c r="CX202" s="3">
        <f t="shared" si="159"/>
        <v>5</v>
      </c>
      <c r="CY202" s="30"/>
      <c r="CZ202" s="3" cm="1">
        <f t="array" ref="CZ202">IFERROR(COUNT(_xlfn._xlws.FILTER(CH202:CL202, ISNUMBER(MATCH(CH202:CL202, {2,3,5,7,11,13,17,19,23,29,31,37,41,43}, 0)))), 0)</f>
        <v>0</v>
      </c>
      <c r="DA202" s="3" cm="1">
        <f t="array" ref="DA202">IFERROR(COUNT(_xlfn._xlws.FILTER(CH202:CL202, ISNUMBER(MATCH(CH202:CL202, {1,4,8,10,14,16,20,22,25,26,28,32,34,35,38,40,44}, 0)))), 0)</f>
        <v>0</v>
      </c>
      <c r="DB202" s="3" cm="1">
        <f t="array" ref="DB202">IFERROR(COUNT(_xlfn._xlws.FILTER(CH202:CL202, ISNUMBER(MATCH(CH202:CL202, {6,9,12,15,18,21,24,27,30,33,36,39,42,45}, 0)))), 0)</f>
        <v>0</v>
      </c>
      <c r="DC202" s="29"/>
      <c r="DD202" s="28" t="e">
        <f>#REF!</f>
        <v>#REF!</v>
      </c>
      <c r="DE202" s="28" t="e">
        <f>#REF!*2</f>
        <v>#REF!</v>
      </c>
      <c r="DF202" s="28" t="e">
        <f>#REF!</f>
        <v>#REF!</v>
      </c>
      <c r="DG202" s="28" t="e">
        <f>#REF!*2</f>
        <v>#REF!</v>
      </c>
      <c r="DH202" s="28" t="e">
        <f>#REF!</f>
        <v>#REF!</v>
      </c>
      <c r="DI202" s="28" t="e">
        <f>#REF!*2</f>
        <v>#REF!</v>
      </c>
      <c r="DJ202" s="28" t="e">
        <f>#REF!</f>
        <v>#REF!</v>
      </c>
      <c r="DK202" s="28" t="e">
        <f>#REF!*2</f>
        <v>#REF!</v>
      </c>
      <c r="DL202" s="28" t="e">
        <f>#REF!</f>
        <v>#REF!</v>
      </c>
      <c r="DM202" s="28" t="e">
        <f>#REF!*2</f>
        <v>#REF!</v>
      </c>
      <c r="DN202" s="27"/>
      <c r="DO202" s="26"/>
      <c r="DP202" s="26"/>
      <c r="DQ202" s="26"/>
      <c r="DR202" s="26"/>
      <c r="DS202" s="26"/>
      <c r="DT202" s="25"/>
    </row>
    <row r="203" spans="2:124" x14ac:dyDescent="0.3"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2"/>
      <c r="I203" s="3">
        <f t="shared" si="120"/>
        <v>0</v>
      </c>
      <c r="J203" s="3">
        <f t="shared" si="121"/>
        <v>0</v>
      </c>
      <c r="K203" s="3">
        <f t="shared" si="122"/>
        <v>0</v>
      </c>
      <c r="L203" s="3">
        <f t="shared" si="123"/>
        <v>0</v>
      </c>
      <c r="M203" s="3">
        <f t="shared" si="124"/>
        <v>0</v>
      </c>
      <c r="N203" s="3">
        <f t="shared" si="125"/>
        <v>0</v>
      </c>
      <c r="O203" s="32"/>
      <c r="P203" s="3" cm="1">
        <f t="array" ref="P203">SUMPRODUCT(--(MOD(B203:G203,2)=1))</f>
        <v>0</v>
      </c>
      <c r="Q203" s="3">
        <f t="shared" si="126"/>
        <v>6</v>
      </c>
      <c r="R203" s="34"/>
      <c r="S203" s="3">
        <f t="shared" si="127"/>
        <v>0</v>
      </c>
      <c r="T203" s="3">
        <f t="shared" si="128"/>
        <v>6</v>
      </c>
      <c r="U203" s="34"/>
      <c r="V203" s="3" cm="1">
        <f t="array" ref="V203">SUMPRODUCT(--(MOD(B203:G203,10)&gt;=1), --(MOD(B203:G203,10)&lt;=5))</f>
        <v>0</v>
      </c>
      <c r="W203" s="3">
        <f t="shared" si="129"/>
        <v>6</v>
      </c>
      <c r="X203" s="34"/>
      <c r="Y203" s="3" cm="1">
        <f t="array" ref="Y203">IFERROR(COUNT(_xlfn._xlws.FILTER(B203:G203, ISNUMBER(MATCH(B203:G203, {2,3,5,7,11,13,17,19,23,29,31,37,41,43}, 0)))), 0)</f>
        <v>0</v>
      </c>
      <c r="Z203" s="3" cm="1">
        <f t="array" ref="Z203">IFERROR(COUNT(_xlfn._xlws.FILTER(B203:G203, ISNUMBER(MATCH(B203:G203, {1,4,8,10,14,16,20,22,25,26,28,32,34,35,38,40,44}, 0)))), 0)</f>
        <v>0</v>
      </c>
      <c r="AA203" s="3" cm="1">
        <f t="array" ref="AA203">IFERROR(COUNT(_xlfn._xlws.FILTER(B203:G203, ISNUMBER(MATCH(B203:G203, {6,9,12,15,18,21,24,27,30,33,36,39,42,45}, 0)))), 0)</f>
        <v>0</v>
      </c>
      <c r="AB203" s="30"/>
      <c r="AC203" s="26" cm="1">
        <f t="array" ref="AC203">_xlfn.IFS(
   OR(B203="",ISBLANK(B203),B203=0),0,
   ISNUMBER(MATCH(B203,{2,3,5,7,11,13,17,19,23,29,31,37,41,43},0)),"소",
   AND(ISNUMBER(B203),MOD(B203,3)=0),"배",
   AND(ISNUMBER(B203),B203&gt;0),"자"
)</f>
        <v>0</v>
      </c>
      <c r="AD203" s="26" cm="1">
        <f t="array" ref="AD203">_xlfn.IFS(
   OR(C203="",ISBLANK(C203),C203=0),0,
   ISNUMBER(MATCH(C203,{2,3,5,7,11,13,17,19,23,29,31,37,41,43},0)),"소",
   AND(ISNUMBER(C203),MOD(C203,3)=0),"배",
   AND(ISNUMBER(C203),C203&gt;0),"자"
)</f>
        <v>0</v>
      </c>
      <c r="AE203" s="26" cm="1">
        <f t="array" ref="AE203">_xlfn.IFS(
   OR(D203="",ISBLANK(D203),D203=0),0,
   ISNUMBER(MATCH(D203,{2,3,5,7,11,13,17,19,23,29,31,37,41,43},0)),"소",
   AND(ISNUMBER(D203),MOD(D203,3)=0),"배",
   AND(ISNUMBER(D203),D203&gt;0),"자"
)</f>
        <v>0</v>
      </c>
      <c r="AF203" s="26" cm="1">
        <f t="array" ref="AF203">_xlfn.IFS(
   OR(E203="",ISBLANK(E203),E203=0),0,
   ISNUMBER(MATCH(E203,{2,3,5,7,11,13,17,19,23,29,31,37,41,43},0)),"소",
   AND(ISNUMBER(E203),MOD(E203,3)=0),"배",
   AND(ISNUMBER(E203),E203&gt;0),"자"
)</f>
        <v>0</v>
      </c>
      <c r="AG203" s="26" cm="1">
        <f t="array" ref="AG203">_xlfn.IFS(
   OR(F203="",ISBLANK(F203),F203=0),0,
   ISNUMBER(MATCH(F203,{2,3,5,7,11,13,17,19,23,29,31,37,41,43},0)),"소",
   AND(ISNUMBER(F203),MOD(F203,3)=0),"배",
   AND(ISNUMBER(F203),F203&gt;0),"자"
)</f>
        <v>0</v>
      </c>
      <c r="AH203" s="26" cm="1">
        <f t="array" ref="AH203">_xlfn.IFS(
   OR(G203="",ISBLANK(G203),G203=0),0,
   ISNUMBER(MATCH(G203,{2,3,5,7,11,13,17,19,23,29,31,37,41,43},0)),"소",
   AND(ISNUMBER(G203),MOD(G203,3)=0),"배",
   AND(ISNUMBER(G203),G203&gt;0),"자"
)</f>
        <v>0</v>
      </c>
      <c r="AI203" s="30"/>
      <c r="AJ203" s="3">
        <f t="shared" si="130"/>
        <v>0</v>
      </c>
      <c r="AK203" s="3">
        <f t="shared" si="131"/>
        <v>0</v>
      </c>
      <c r="AL203" s="3">
        <f t="shared" si="132"/>
        <v>6</v>
      </c>
      <c r="AM203" s="33"/>
      <c r="AN203" s="3">
        <f t="shared" si="133"/>
        <v>0</v>
      </c>
      <c r="AO203" s="3">
        <f t="shared" si="134"/>
        <v>0</v>
      </c>
      <c r="AP203" s="3">
        <f t="shared" si="135"/>
        <v>0</v>
      </c>
      <c r="AQ203" s="3">
        <f t="shared" si="136"/>
        <v>0</v>
      </c>
      <c r="AR203" s="3">
        <f t="shared" si="137"/>
        <v>0</v>
      </c>
      <c r="AS203" s="28" t="e">
        <f>#REF!</f>
        <v>#REF!</v>
      </c>
      <c r="AT203" s="28" t="e">
        <f>#REF!*2</f>
        <v>#REF!</v>
      </c>
      <c r="AU203" s="28" t="e">
        <f>#REF!</f>
        <v>#REF!</v>
      </c>
      <c r="AV203" s="28" t="e">
        <f>#REF!*2</f>
        <v>#REF!</v>
      </c>
      <c r="AW203" s="28" t="e">
        <f>#REF!</f>
        <v>#REF!</v>
      </c>
      <c r="AX203" s="28" t="e">
        <f>#REF!*2</f>
        <v>#REF!</v>
      </c>
      <c r="AY203" s="28" t="e">
        <f>#REF!</f>
        <v>#REF!</v>
      </c>
      <c r="AZ203" s="28" t="e">
        <f>#REF!*2</f>
        <v>#REF!</v>
      </c>
      <c r="BA203" s="28" t="e">
        <f>#REF!</f>
        <v>#REF!</v>
      </c>
      <c r="BB203" s="28" t="e">
        <f>#REF!*2</f>
        <v>#REF!</v>
      </c>
      <c r="BC203" s="28" t="e">
        <f>#REF!</f>
        <v>#REF!</v>
      </c>
      <c r="BD203" s="28" t="e">
        <f>#REF!*2</f>
        <v>#REF!</v>
      </c>
      <c r="BE203" s="9" t="e">
        <f>#REF!-#REF!</f>
        <v>#REF!</v>
      </c>
      <c r="BF203" s="9" t="e">
        <f>#REF!-#REF!</f>
        <v>#REF!</v>
      </c>
      <c r="BG203" s="9" t="e">
        <f>#REF!-#REF!</f>
        <v>#REF!</v>
      </c>
      <c r="BH203" s="9" t="e">
        <f>#REF!-#REF!</f>
        <v>#REF!</v>
      </c>
      <c r="BI203" s="9" t="e">
        <f>#REF!-#REF!</f>
        <v>#REF!</v>
      </c>
      <c r="BJ203" s="33"/>
      <c r="BK203" s="3">
        <f t="shared" si="138"/>
        <v>0</v>
      </c>
      <c r="BL203" s="3">
        <f t="shared" si="139"/>
        <v>0</v>
      </c>
      <c r="BM203" s="3">
        <f t="shared" si="140"/>
        <v>0</v>
      </c>
      <c r="BN203" s="3">
        <f t="shared" si="141"/>
        <v>0</v>
      </c>
      <c r="BO203" s="3">
        <f t="shared" si="142"/>
        <v>0</v>
      </c>
      <c r="BP203" s="28" t="e">
        <f>#REF!</f>
        <v>#REF!</v>
      </c>
      <c r="BQ203" s="28" t="e">
        <f>#REF!*2</f>
        <v>#REF!</v>
      </c>
      <c r="BR203" s="28" t="e">
        <f>#REF!</f>
        <v>#REF!</v>
      </c>
      <c r="BS203" s="28" t="e">
        <f>#REF!*2</f>
        <v>#REF!</v>
      </c>
      <c r="BT203" s="28" t="e">
        <f>#REF!</f>
        <v>#REF!</v>
      </c>
      <c r="BU203" s="28" t="e">
        <f>#REF!*2</f>
        <v>#REF!</v>
      </c>
      <c r="BV203" s="28" t="e">
        <f>#REF!</f>
        <v>#REF!</v>
      </c>
      <c r="BW203" s="28" t="e">
        <f>#REF!*2</f>
        <v>#REF!</v>
      </c>
      <c r="BX203" s="28" t="e">
        <f>#REF!</f>
        <v>#REF!</v>
      </c>
      <c r="BY203" s="28" t="e">
        <f>#REF!*2</f>
        <v>#REF!</v>
      </c>
      <c r="BZ203" s="28" t="e">
        <f>#REF!</f>
        <v>#REF!</v>
      </c>
      <c r="CA203" s="28" t="e">
        <f>#REF!*2</f>
        <v>#REF!</v>
      </c>
      <c r="CB203" s="9">
        <f t="shared" si="143"/>
        <v>0</v>
      </c>
      <c r="CC203" s="9">
        <f t="shared" si="144"/>
        <v>0</v>
      </c>
      <c r="CD203" s="9">
        <f t="shared" si="145"/>
        <v>0</v>
      </c>
      <c r="CE203" s="9">
        <f t="shared" si="146"/>
        <v>0</v>
      </c>
      <c r="CF203" s="9">
        <f t="shared" si="147"/>
        <v>0</v>
      </c>
      <c r="CG203" s="33"/>
      <c r="CH203" s="9">
        <f t="shared" si="148"/>
        <v>0</v>
      </c>
      <c r="CI203" s="9">
        <f t="shared" si="149"/>
        <v>0</v>
      </c>
      <c r="CJ203" s="9">
        <f t="shared" si="150"/>
        <v>0</v>
      </c>
      <c r="CK203" s="9">
        <f t="shared" si="151"/>
        <v>0</v>
      </c>
      <c r="CL203" s="9">
        <f t="shared" si="152"/>
        <v>0</v>
      </c>
      <c r="CM203" s="32"/>
      <c r="CN203" s="3">
        <f t="shared" si="153"/>
        <v>0</v>
      </c>
      <c r="CO203" s="3">
        <f t="shared" si="154"/>
        <v>0</v>
      </c>
      <c r="CP203" s="3">
        <f t="shared" si="155"/>
        <v>0</v>
      </c>
      <c r="CQ203" s="3">
        <f t="shared" si="156"/>
        <v>0</v>
      </c>
      <c r="CR203" s="3">
        <f t="shared" si="157"/>
        <v>0</v>
      </c>
      <c r="CS203" s="31"/>
      <c r="CT203" s="3" cm="1">
        <f t="array" ref="CT203">SUMPRODUCT(--(MOD(CH203:CL203,2)=1))</f>
        <v>0</v>
      </c>
      <c r="CU203" s="3">
        <f t="shared" si="158"/>
        <v>5</v>
      </c>
      <c r="CV203" s="30"/>
      <c r="CW203" s="3" cm="1">
        <f t="array" ref="CW203">SUMPRODUCT(--(MOD(CH203:CL203,10)&gt;=1), --(MOD(CH203:CL203,10)&lt;=5))</f>
        <v>0</v>
      </c>
      <c r="CX203" s="3">
        <f t="shared" si="159"/>
        <v>5</v>
      </c>
      <c r="CY203" s="30"/>
      <c r="CZ203" s="3" cm="1">
        <f t="array" ref="CZ203">IFERROR(COUNT(_xlfn._xlws.FILTER(CH203:CL203, ISNUMBER(MATCH(CH203:CL203, {2,3,5,7,11,13,17,19,23,29,31,37,41,43}, 0)))), 0)</f>
        <v>0</v>
      </c>
      <c r="DA203" s="3" cm="1">
        <f t="array" ref="DA203">IFERROR(COUNT(_xlfn._xlws.FILTER(CH203:CL203, ISNUMBER(MATCH(CH203:CL203, {1,4,8,10,14,16,20,22,25,26,28,32,34,35,38,40,44}, 0)))), 0)</f>
        <v>0</v>
      </c>
      <c r="DB203" s="3" cm="1">
        <f t="array" ref="DB203">IFERROR(COUNT(_xlfn._xlws.FILTER(CH203:CL203, ISNUMBER(MATCH(CH203:CL203, {6,9,12,15,18,21,24,27,30,33,36,39,42,45}, 0)))), 0)</f>
        <v>0</v>
      </c>
      <c r="DC203" s="29"/>
      <c r="DD203" s="28" t="e">
        <f>#REF!</f>
        <v>#REF!</v>
      </c>
      <c r="DE203" s="28" t="e">
        <f>#REF!*2</f>
        <v>#REF!</v>
      </c>
      <c r="DF203" s="28" t="e">
        <f>#REF!</f>
        <v>#REF!</v>
      </c>
      <c r="DG203" s="28" t="e">
        <f>#REF!*2</f>
        <v>#REF!</v>
      </c>
      <c r="DH203" s="28" t="e">
        <f>#REF!</f>
        <v>#REF!</v>
      </c>
      <c r="DI203" s="28" t="e">
        <f>#REF!*2</f>
        <v>#REF!</v>
      </c>
      <c r="DJ203" s="28" t="e">
        <f>#REF!</f>
        <v>#REF!</v>
      </c>
      <c r="DK203" s="28" t="e">
        <f>#REF!*2</f>
        <v>#REF!</v>
      </c>
      <c r="DL203" s="28" t="e">
        <f>#REF!</f>
        <v>#REF!</v>
      </c>
      <c r="DM203" s="28" t="e">
        <f>#REF!*2</f>
        <v>#REF!</v>
      </c>
      <c r="DN203" s="27"/>
      <c r="DO203" s="26"/>
      <c r="DP203" s="26"/>
      <c r="DQ203" s="26"/>
      <c r="DR203" s="26"/>
      <c r="DS203" s="26"/>
      <c r="DT203" s="25"/>
    </row>
    <row r="204" spans="2:124" x14ac:dyDescent="0.3"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2"/>
      <c r="I204" s="3">
        <f t="shared" si="120"/>
        <v>0</v>
      </c>
      <c r="J204" s="3">
        <f t="shared" si="121"/>
        <v>0</v>
      </c>
      <c r="K204" s="3">
        <f t="shared" si="122"/>
        <v>0</v>
      </c>
      <c r="L204" s="3">
        <f t="shared" si="123"/>
        <v>0</v>
      </c>
      <c r="M204" s="3">
        <f t="shared" si="124"/>
        <v>0</v>
      </c>
      <c r="N204" s="3">
        <f t="shared" si="125"/>
        <v>0</v>
      </c>
      <c r="O204" s="32"/>
      <c r="P204" s="3" cm="1">
        <f t="array" ref="P204">SUMPRODUCT(--(MOD(B204:G204,2)=1))</f>
        <v>0</v>
      </c>
      <c r="Q204" s="3">
        <f t="shared" si="126"/>
        <v>6</v>
      </c>
      <c r="R204" s="34"/>
      <c r="S204" s="3">
        <f t="shared" si="127"/>
        <v>0</v>
      </c>
      <c r="T204" s="3">
        <f t="shared" si="128"/>
        <v>6</v>
      </c>
      <c r="U204" s="34"/>
      <c r="V204" s="3" cm="1">
        <f t="array" ref="V204">SUMPRODUCT(--(MOD(B204:G204,10)&gt;=1), --(MOD(B204:G204,10)&lt;=5))</f>
        <v>0</v>
      </c>
      <c r="W204" s="3">
        <f t="shared" si="129"/>
        <v>6</v>
      </c>
      <c r="X204" s="34"/>
      <c r="Y204" s="3" cm="1">
        <f t="array" ref="Y204">IFERROR(COUNT(_xlfn._xlws.FILTER(B204:G204, ISNUMBER(MATCH(B204:G204, {2,3,5,7,11,13,17,19,23,29,31,37,41,43}, 0)))), 0)</f>
        <v>0</v>
      </c>
      <c r="Z204" s="3" cm="1">
        <f t="array" ref="Z204">IFERROR(COUNT(_xlfn._xlws.FILTER(B204:G204, ISNUMBER(MATCH(B204:G204, {1,4,8,10,14,16,20,22,25,26,28,32,34,35,38,40,44}, 0)))), 0)</f>
        <v>0</v>
      </c>
      <c r="AA204" s="3" cm="1">
        <f t="array" ref="AA204">IFERROR(COUNT(_xlfn._xlws.FILTER(B204:G204, ISNUMBER(MATCH(B204:G204, {6,9,12,15,18,21,24,27,30,33,36,39,42,45}, 0)))), 0)</f>
        <v>0</v>
      </c>
      <c r="AB204" s="30"/>
      <c r="AC204" s="26" cm="1">
        <f t="array" ref="AC204">_xlfn.IFS(
   OR(B204="",ISBLANK(B204),B204=0),0,
   ISNUMBER(MATCH(B204,{2,3,5,7,11,13,17,19,23,29,31,37,41,43},0)),"소",
   AND(ISNUMBER(B204),MOD(B204,3)=0),"배",
   AND(ISNUMBER(B204),B204&gt;0),"자"
)</f>
        <v>0</v>
      </c>
      <c r="AD204" s="26" cm="1">
        <f t="array" ref="AD204">_xlfn.IFS(
   OR(C204="",ISBLANK(C204),C204=0),0,
   ISNUMBER(MATCH(C204,{2,3,5,7,11,13,17,19,23,29,31,37,41,43},0)),"소",
   AND(ISNUMBER(C204),MOD(C204,3)=0),"배",
   AND(ISNUMBER(C204),C204&gt;0),"자"
)</f>
        <v>0</v>
      </c>
      <c r="AE204" s="26" cm="1">
        <f t="array" ref="AE204">_xlfn.IFS(
   OR(D204="",ISBLANK(D204),D204=0),0,
   ISNUMBER(MATCH(D204,{2,3,5,7,11,13,17,19,23,29,31,37,41,43},0)),"소",
   AND(ISNUMBER(D204),MOD(D204,3)=0),"배",
   AND(ISNUMBER(D204),D204&gt;0),"자"
)</f>
        <v>0</v>
      </c>
      <c r="AF204" s="26" cm="1">
        <f t="array" ref="AF204">_xlfn.IFS(
   OR(E204="",ISBLANK(E204),E204=0),0,
   ISNUMBER(MATCH(E204,{2,3,5,7,11,13,17,19,23,29,31,37,41,43},0)),"소",
   AND(ISNUMBER(E204),MOD(E204,3)=0),"배",
   AND(ISNUMBER(E204),E204&gt;0),"자"
)</f>
        <v>0</v>
      </c>
      <c r="AG204" s="26" cm="1">
        <f t="array" ref="AG204">_xlfn.IFS(
   OR(F204="",ISBLANK(F204),F204=0),0,
   ISNUMBER(MATCH(F204,{2,3,5,7,11,13,17,19,23,29,31,37,41,43},0)),"소",
   AND(ISNUMBER(F204),MOD(F204,3)=0),"배",
   AND(ISNUMBER(F204),F204&gt;0),"자"
)</f>
        <v>0</v>
      </c>
      <c r="AH204" s="26" cm="1">
        <f t="array" ref="AH204">_xlfn.IFS(
   OR(G204="",ISBLANK(G204),G204=0),0,
   ISNUMBER(MATCH(G204,{2,3,5,7,11,13,17,19,23,29,31,37,41,43},0)),"소",
   AND(ISNUMBER(G204),MOD(G204,3)=0),"배",
   AND(ISNUMBER(G204),G204&gt;0),"자"
)</f>
        <v>0</v>
      </c>
      <c r="AI204" s="30"/>
      <c r="AJ204" s="3">
        <f t="shared" si="130"/>
        <v>0</v>
      </c>
      <c r="AK204" s="3">
        <f t="shared" si="131"/>
        <v>0</v>
      </c>
      <c r="AL204" s="3">
        <f t="shared" si="132"/>
        <v>6</v>
      </c>
      <c r="AM204" s="33"/>
      <c r="AN204" s="3">
        <f t="shared" si="133"/>
        <v>0</v>
      </c>
      <c r="AO204" s="3">
        <f t="shared" si="134"/>
        <v>0</v>
      </c>
      <c r="AP204" s="3">
        <f t="shared" si="135"/>
        <v>0</v>
      </c>
      <c r="AQ204" s="3">
        <f t="shared" si="136"/>
        <v>0</v>
      </c>
      <c r="AR204" s="3">
        <f t="shared" si="137"/>
        <v>0</v>
      </c>
      <c r="AS204" s="28" t="e">
        <f>#REF!</f>
        <v>#REF!</v>
      </c>
      <c r="AT204" s="28" t="e">
        <f>#REF!*2</f>
        <v>#REF!</v>
      </c>
      <c r="AU204" s="28" t="e">
        <f>#REF!</f>
        <v>#REF!</v>
      </c>
      <c r="AV204" s="28" t="e">
        <f>#REF!*2</f>
        <v>#REF!</v>
      </c>
      <c r="AW204" s="28" t="e">
        <f>#REF!</f>
        <v>#REF!</v>
      </c>
      <c r="AX204" s="28" t="e">
        <f>#REF!*2</f>
        <v>#REF!</v>
      </c>
      <c r="AY204" s="28" t="e">
        <f>#REF!</f>
        <v>#REF!</v>
      </c>
      <c r="AZ204" s="28" t="e">
        <f>#REF!*2</f>
        <v>#REF!</v>
      </c>
      <c r="BA204" s="28" t="e">
        <f>#REF!</f>
        <v>#REF!</v>
      </c>
      <c r="BB204" s="28" t="e">
        <f>#REF!*2</f>
        <v>#REF!</v>
      </c>
      <c r="BC204" s="28" t="e">
        <f>#REF!</f>
        <v>#REF!</v>
      </c>
      <c r="BD204" s="28" t="e">
        <f>#REF!*2</f>
        <v>#REF!</v>
      </c>
      <c r="BE204" s="9" t="e">
        <f>#REF!-#REF!</f>
        <v>#REF!</v>
      </c>
      <c r="BF204" s="9" t="e">
        <f>#REF!-#REF!</f>
        <v>#REF!</v>
      </c>
      <c r="BG204" s="9" t="e">
        <f>#REF!-#REF!</f>
        <v>#REF!</v>
      </c>
      <c r="BH204" s="9" t="e">
        <f>#REF!-#REF!</f>
        <v>#REF!</v>
      </c>
      <c r="BI204" s="9" t="e">
        <f>#REF!-#REF!</f>
        <v>#REF!</v>
      </c>
      <c r="BJ204" s="33"/>
      <c r="BK204" s="3">
        <f t="shared" si="138"/>
        <v>0</v>
      </c>
      <c r="BL204" s="3">
        <f t="shared" si="139"/>
        <v>0</v>
      </c>
      <c r="BM204" s="3">
        <f t="shared" si="140"/>
        <v>0</v>
      </c>
      <c r="BN204" s="3">
        <f t="shared" si="141"/>
        <v>0</v>
      </c>
      <c r="BO204" s="3">
        <f t="shared" si="142"/>
        <v>0</v>
      </c>
      <c r="BP204" s="28" t="e">
        <f>#REF!</f>
        <v>#REF!</v>
      </c>
      <c r="BQ204" s="28" t="e">
        <f>#REF!*2</f>
        <v>#REF!</v>
      </c>
      <c r="BR204" s="28" t="e">
        <f>#REF!</f>
        <v>#REF!</v>
      </c>
      <c r="BS204" s="28" t="e">
        <f>#REF!*2</f>
        <v>#REF!</v>
      </c>
      <c r="BT204" s="28" t="e">
        <f>#REF!</f>
        <v>#REF!</v>
      </c>
      <c r="BU204" s="28" t="e">
        <f>#REF!*2</f>
        <v>#REF!</v>
      </c>
      <c r="BV204" s="28" t="e">
        <f>#REF!</f>
        <v>#REF!</v>
      </c>
      <c r="BW204" s="28" t="e">
        <f>#REF!*2</f>
        <v>#REF!</v>
      </c>
      <c r="BX204" s="28" t="e">
        <f>#REF!</f>
        <v>#REF!</v>
      </c>
      <c r="BY204" s="28" t="e">
        <f>#REF!*2</f>
        <v>#REF!</v>
      </c>
      <c r="BZ204" s="28" t="e">
        <f>#REF!</f>
        <v>#REF!</v>
      </c>
      <c r="CA204" s="28" t="e">
        <f>#REF!*2</f>
        <v>#REF!</v>
      </c>
      <c r="CB204" s="9">
        <f t="shared" si="143"/>
        <v>0</v>
      </c>
      <c r="CC204" s="9">
        <f t="shared" si="144"/>
        <v>0</v>
      </c>
      <c r="CD204" s="9">
        <f t="shared" si="145"/>
        <v>0</v>
      </c>
      <c r="CE204" s="9">
        <f t="shared" si="146"/>
        <v>0</v>
      </c>
      <c r="CF204" s="9">
        <f t="shared" si="147"/>
        <v>0</v>
      </c>
      <c r="CG204" s="33"/>
      <c r="CH204" s="9">
        <f t="shared" si="148"/>
        <v>0</v>
      </c>
      <c r="CI204" s="9">
        <f t="shared" si="149"/>
        <v>0</v>
      </c>
      <c r="CJ204" s="9">
        <f t="shared" si="150"/>
        <v>0</v>
      </c>
      <c r="CK204" s="9">
        <f t="shared" si="151"/>
        <v>0</v>
      </c>
      <c r="CL204" s="9">
        <f t="shared" si="152"/>
        <v>0</v>
      </c>
      <c r="CM204" s="32"/>
      <c r="CN204" s="3">
        <f t="shared" si="153"/>
        <v>0</v>
      </c>
      <c r="CO204" s="3">
        <f t="shared" si="154"/>
        <v>0</v>
      </c>
      <c r="CP204" s="3">
        <f t="shared" si="155"/>
        <v>0</v>
      </c>
      <c r="CQ204" s="3">
        <f t="shared" si="156"/>
        <v>0</v>
      </c>
      <c r="CR204" s="3">
        <f t="shared" si="157"/>
        <v>0</v>
      </c>
      <c r="CS204" s="31"/>
      <c r="CT204" s="3" cm="1">
        <f t="array" ref="CT204">SUMPRODUCT(--(MOD(CH204:CL204,2)=1))</f>
        <v>0</v>
      </c>
      <c r="CU204" s="3">
        <f t="shared" si="158"/>
        <v>5</v>
      </c>
      <c r="CV204" s="30"/>
      <c r="CW204" s="3" cm="1">
        <f t="array" ref="CW204">SUMPRODUCT(--(MOD(CH204:CL204,10)&gt;=1), --(MOD(CH204:CL204,10)&lt;=5))</f>
        <v>0</v>
      </c>
      <c r="CX204" s="3">
        <f t="shared" si="159"/>
        <v>5</v>
      </c>
      <c r="CY204" s="30"/>
      <c r="CZ204" s="3" cm="1">
        <f t="array" ref="CZ204">IFERROR(COUNT(_xlfn._xlws.FILTER(CH204:CL204, ISNUMBER(MATCH(CH204:CL204, {2,3,5,7,11,13,17,19,23,29,31,37,41,43}, 0)))), 0)</f>
        <v>0</v>
      </c>
      <c r="DA204" s="3" cm="1">
        <f t="array" ref="DA204">IFERROR(COUNT(_xlfn._xlws.FILTER(CH204:CL204, ISNUMBER(MATCH(CH204:CL204, {1,4,8,10,14,16,20,22,25,26,28,32,34,35,38,40,44}, 0)))), 0)</f>
        <v>0</v>
      </c>
      <c r="DB204" s="3" cm="1">
        <f t="array" ref="DB204">IFERROR(COUNT(_xlfn._xlws.FILTER(CH204:CL204, ISNUMBER(MATCH(CH204:CL204, {6,9,12,15,18,21,24,27,30,33,36,39,42,45}, 0)))), 0)</f>
        <v>0</v>
      </c>
      <c r="DC204" s="29"/>
      <c r="DD204" s="28" t="e">
        <f>#REF!</f>
        <v>#REF!</v>
      </c>
      <c r="DE204" s="28" t="e">
        <f>#REF!*2</f>
        <v>#REF!</v>
      </c>
      <c r="DF204" s="28" t="e">
        <f>#REF!</f>
        <v>#REF!</v>
      </c>
      <c r="DG204" s="28" t="e">
        <f>#REF!*2</f>
        <v>#REF!</v>
      </c>
      <c r="DH204" s="28" t="e">
        <f>#REF!</f>
        <v>#REF!</v>
      </c>
      <c r="DI204" s="28" t="e">
        <f>#REF!*2</f>
        <v>#REF!</v>
      </c>
      <c r="DJ204" s="28" t="e">
        <f>#REF!</f>
        <v>#REF!</v>
      </c>
      <c r="DK204" s="28" t="e">
        <f>#REF!*2</f>
        <v>#REF!</v>
      </c>
      <c r="DL204" s="28" t="e">
        <f>#REF!</f>
        <v>#REF!</v>
      </c>
      <c r="DM204" s="28" t="e">
        <f>#REF!*2</f>
        <v>#REF!</v>
      </c>
      <c r="DN204" s="27"/>
      <c r="DO204" s="26"/>
      <c r="DP204" s="26"/>
      <c r="DQ204" s="26"/>
      <c r="DR204" s="26"/>
      <c r="DS204" s="26"/>
      <c r="DT204" s="25"/>
    </row>
    <row r="205" spans="2:124" x14ac:dyDescent="0.3"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2"/>
      <c r="I205" s="3">
        <f t="shared" si="120"/>
        <v>0</v>
      </c>
      <c r="J205" s="3">
        <f t="shared" si="121"/>
        <v>0</v>
      </c>
      <c r="K205" s="3">
        <f t="shared" si="122"/>
        <v>0</v>
      </c>
      <c r="L205" s="3">
        <f t="shared" si="123"/>
        <v>0</v>
      </c>
      <c r="M205" s="3">
        <f t="shared" si="124"/>
        <v>0</v>
      </c>
      <c r="N205" s="3">
        <f t="shared" si="125"/>
        <v>0</v>
      </c>
      <c r="O205" s="32"/>
      <c r="P205" s="3" cm="1">
        <f t="array" ref="P205">SUMPRODUCT(--(MOD(B205:G205,2)=1))</f>
        <v>0</v>
      </c>
      <c r="Q205" s="3">
        <f t="shared" si="126"/>
        <v>6</v>
      </c>
      <c r="R205" s="34"/>
      <c r="S205" s="3">
        <f t="shared" si="127"/>
        <v>0</v>
      </c>
      <c r="T205" s="3">
        <f t="shared" si="128"/>
        <v>6</v>
      </c>
      <c r="U205" s="34"/>
      <c r="V205" s="3" cm="1">
        <f t="array" ref="V205">SUMPRODUCT(--(MOD(B205:G205,10)&gt;=1), --(MOD(B205:G205,10)&lt;=5))</f>
        <v>0</v>
      </c>
      <c r="W205" s="3">
        <f t="shared" si="129"/>
        <v>6</v>
      </c>
      <c r="X205" s="34"/>
      <c r="Y205" s="3" cm="1">
        <f t="array" ref="Y205">IFERROR(COUNT(_xlfn._xlws.FILTER(B205:G205, ISNUMBER(MATCH(B205:G205, {2,3,5,7,11,13,17,19,23,29,31,37,41,43}, 0)))), 0)</f>
        <v>0</v>
      </c>
      <c r="Z205" s="3" cm="1">
        <f t="array" ref="Z205">IFERROR(COUNT(_xlfn._xlws.FILTER(B205:G205, ISNUMBER(MATCH(B205:G205, {1,4,8,10,14,16,20,22,25,26,28,32,34,35,38,40,44}, 0)))), 0)</f>
        <v>0</v>
      </c>
      <c r="AA205" s="3" cm="1">
        <f t="array" ref="AA205">IFERROR(COUNT(_xlfn._xlws.FILTER(B205:G205, ISNUMBER(MATCH(B205:G205, {6,9,12,15,18,21,24,27,30,33,36,39,42,45}, 0)))), 0)</f>
        <v>0</v>
      </c>
      <c r="AB205" s="30"/>
      <c r="AC205" s="26" cm="1">
        <f t="array" ref="AC205">_xlfn.IFS(
   OR(B205="",ISBLANK(B205),B205=0),0,
   ISNUMBER(MATCH(B205,{2,3,5,7,11,13,17,19,23,29,31,37,41,43},0)),"소",
   AND(ISNUMBER(B205),MOD(B205,3)=0),"배",
   AND(ISNUMBER(B205),B205&gt;0),"자"
)</f>
        <v>0</v>
      </c>
      <c r="AD205" s="26" cm="1">
        <f t="array" ref="AD205">_xlfn.IFS(
   OR(C205="",ISBLANK(C205),C205=0),0,
   ISNUMBER(MATCH(C205,{2,3,5,7,11,13,17,19,23,29,31,37,41,43},0)),"소",
   AND(ISNUMBER(C205),MOD(C205,3)=0),"배",
   AND(ISNUMBER(C205),C205&gt;0),"자"
)</f>
        <v>0</v>
      </c>
      <c r="AE205" s="26" cm="1">
        <f t="array" ref="AE205">_xlfn.IFS(
   OR(D205="",ISBLANK(D205),D205=0),0,
   ISNUMBER(MATCH(D205,{2,3,5,7,11,13,17,19,23,29,31,37,41,43},0)),"소",
   AND(ISNUMBER(D205),MOD(D205,3)=0),"배",
   AND(ISNUMBER(D205),D205&gt;0),"자"
)</f>
        <v>0</v>
      </c>
      <c r="AF205" s="26" cm="1">
        <f t="array" ref="AF205">_xlfn.IFS(
   OR(E205="",ISBLANK(E205),E205=0),0,
   ISNUMBER(MATCH(E205,{2,3,5,7,11,13,17,19,23,29,31,37,41,43},0)),"소",
   AND(ISNUMBER(E205),MOD(E205,3)=0),"배",
   AND(ISNUMBER(E205),E205&gt;0),"자"
)</f>
        <v>0</v>
      </c>
      <c r="AG205" s="26" cm="1">
        <f t="array" ref="AG205">_xlfn.IFS(
   OR(F205="",ISBLANK(F205),F205=0),0,
   ISNUMBER(MATCH(F205,{2,3,5,7,11,13,17,19,23,29,31,37,41,43},0)),"소",
   AND(ISNUMBER(F205),MOD(F205,3)=0),"배",
   AND(ISNUMBER(F205),F205&gt;0),"자"
)</f>
        <v>0</v>
      </c>
      <c r="AH205" s="26" cm="1">
        <f t="array" ref="AH205">_xlfn.IFS(
   OR(G205="",ISBLANK(G205),G205=0),0,
   ISNUMBER(MATCH(G205,{2,3,5,7,11,13,17,19,23,29,31,37,41,43},0)),"소",
   AND(ISNUMBER(G205),MOD(G205,3)=0),"배",
   AND(ISNUMBER(G205),G205&gt;0),"자"
)</f>
        <v>0</v>
      </c>
      <c r="AI205" s="30"/>
      <c r="AJ205" s="3">
        <f t="shared" si="130"/>
        <v>0</v>
      </c>
      <c r="AK205" s="3">
        <f t="shared" si="131"/>
        <v>0</v>
      </c>
      <c r="AL205" s="3">
        <f t="shared" si="132"/>
        <v>6</v>
      </c>
      <c r="AM205" s="33"/>
      <c r="AN205" s="3">
        <f t="shared" si="133"/>
        <v>0</v>
      </c>
      <c r="AO205" s="3">
        <f t="shared" si="134"/>
        <v>0</v>
      </c>
      <c r="AP205" s="3">
        <f t="shared" si="135"/>
        <v>0</v>
      </c>
      <c r="AQ205" s="3">
        <f t="shared" si="136"/>
        <v>0</v>
      </c>
      <c r="AR205" s="3">
        <f t="shared" si="137"/>
        <v>0</v>
      </c>
      <c r="AS205" s="28" t="e">
        <f>#REF!</f>
        <v>#REF!</v>
      </c>
      <c r="AT205" s="28" t="e">
        <f>#REF!*2</f>
        <v>#REF!</v>
      </c>
      <c r="AU205" s="28" t="e">
        <f>#REF!</f>
        <v>#REF!</v>
      </c>
      <c r="AV205" s="28" t="e">
        <f>#REF!*2</f>
        <v>#REF!</v>
      </c>
      <c r="AW205" s="28" t="e">
        <f>#REF!</f>
        <v>#REF!</v>
      </c>
      <c r="AX205" s="28" t="e">
        <f>#REF!*2</f>
        <v>#REF!</v>
      </c>
      <c r="AY205" s="28" t="e">
        <f>#REF!</f>
        <v>#REF!</v>
      </c>
      <c r="AZ205" s="28" t="e">
        <f>#REF!*2</f>
        <v>#REF!</v>
      </c>
      <c r="BA205" s="28" t="e">
        <f>#REF!</f>
        <v>#REF!</v>
      </c>
      <c r="BB205" s="28" t="e">
        <f>#REF!*2</f>
        <v>#REF!</v>
      </c>
      <c r="BC205" s="28" t="e">
        <f>#REF!</f>
        <v>#REF!</v>
      </c>
      <c r="BD205" s="28" t="e">
        <f>#REF!*2</f>
        <v>#REF!</v>
      </c>
      <c r="BE205" s="9" t="e">
        <f>#REF!-#REF!</f>
        <v>#REF!</v>
      </c>
      <c r="BF205" s="9" t="e">
        <f>#REF!-#REF!</f>
        <v>#REF!</v>
      </c>
      <c r="BG205" s="9" t="e">
        <f>#REF!-#REF!</f>
        <v>#REF!</v>
      </c>
      <c r="BH205" s="9" t="e">
        <f>#REF!-#REF!</f>
        <v>#REF!</v>
      </c>
      <c r="BI205" s="9" t="e">
        <f>#REF!-#REF!</f>
        <v>#REF!</v>
      </c>
      <c r="BJ205" s="33"/>
      <c r="BK205" s="3">
        <f t="shared" si="138"/>
        <v>0</v>
      </c>
      <c r="BL205" s="3">
        <f t="shared" si="139"/>
        <v>0</v>
      </c>
      <c r="BM205" s="3">
        <f t="shared" si="140"/>
        <v>0</v>
      </c>
      <c r="BN205" s="3">
        <f t="shared" si="141"/>
        <v>0</v>
      </c>
      <c r="BO205" s="3">
        <f t="shared" si="142"/>
        <v>0</v>
      </c>
      <c r="BP205" s="28" t="e">
        <f>#REF!</f>
        <v>#REF!</v>
      </c>
      <c r="BQ205" s="28" t="e">
        <f>#REF!*2</f>
        <v>#REF!</v>
      </c>
      <c r="BR205" s="28" t="e">
        <f>#REF!</f>
        <v>#REF!</v>
      </c>
      <c r="BS205" s="28" t="e">
        <f>#REF!*2</f>
        <v>#REF!</v>
      </c>
      <c r="BT205" s="28" t="e">
        <f>#REF!</f>
        <v>#REF!</v>
      </c>
      <c r="BU205" s="28" t="e">
        <f>#REF!*2</f>
        <v>#REF!</v>
      </c>
      <c r="BV205" s="28" t="e">
        <f>#REF!</f>
        <v>#REF!</v>
      </c>
      <c r="BW205" s="28" t="e">
        <f>#REF!*2</f>
        <v>#REF!</v>
      </c>
      <c r="BX205" s="28" t="e">
        <f>#REF!</f>
        <v>#REF!</v>
      </c>
      <c r="BY205" s="28" t="e">
        <f>#REF!*2</f>
        <v>#REF!</v>
      </c>
      <c r="BZ205" s="28" t="e">
        <f>#REF!</f>
        <v>#REF!</v>
      </c>
      <c r="CA205" s="28" t="e">
        <f>#REF!*2</f>
        <v>#REF!</v>
      </c>
      <c r="CB205" s="9">
        <f t="shared" si="143"/>
        <v>0</v>
      </c>
      <c r="CC205" s="9">
        <f t="shared" si="144"/>
        <v>0</v>
      </c>
      <c r="CD205" s="9">
        <f t="shared" si="145"/>
        <v>0</v>
      </c>
      <c r="CE205" s="9">
        <f t="shared" si="146"/>
        <v>0</v>
      </c>
      <c r="CF205" s="9">
        <f t="shared" si="147"/>
        <v>0</v>
      </c>
      <c r="CG205" s="33"/>
      <c r="CH205" s="9">
        <f t="shared" si="148"/>
        <v>0</v>
      </c>
      <c r="CI205" s="9">
        <f t="shared" si="149"/>
        <v>0</v>
      </c>
      <c r="CJ205" s="9">
        <f t="shared" si="150"/>
        <v>0</v>
      </c>
      <c r="CK205" s="9">
        <f t="shared" si="151"/>
        <v>0</v>
      </c>
      <c r="CL205" s="9">
        <f t="shared" si="152"/>
        <v>0</v>
      </c>
      <c r="CM205" s="32"/>
      <c r="CN205" s="3">
        <f t="shared" si="153"/>
        <v>0</v>
      </c>
      <c r="CO205" s="3">
        <f t="shared" si="154"/>
        <v>0</v>
      </c>
      <c r="CP205" s="3">
        <f t="shared" si="155"/>
        <v>0</v>
      </c>
      <c r="CQ205" s="3">
        <f t="shared" si="156"/>
        <v>0</v>
      </c>
      <c r="CR205" s="3">
        <f t="shared" si="157"/>
        <v>0</v>
      </c>
      <c r="CS205" s="31"/>
      <c r="CT205" s="3" cm="1">
        <f t="array" ref="CT205">SUMPRODUCT(--(MOD(CH205:CL205,2)=1))</f>
        <v>0</v>
      </c>
      <c r="CU205" s="3">
        <f t="shared" si="158"/>
        <v>5</v>
      </c>
      <c r="CV205" s="30"/>
      <c r="CW205" s="3" cm="1">
        <f t="array" ref="CW205">SUMPRODUCT(--(MOD(CH205:CL205,10)&gt;=1), --(MOD(CH205:CL205,10)&lt;=5))</f>
        <v>0</v>
      </c>
      <c r="CX205" s="3">
        <f t="shared" si="159"/>
        <v>5</v>
      </c>
      <c r="CY205" s="30"/>
      <c r="CZ205" s="3" cm="1">
        <f t="array" ref="CZ205">IFERROR(COUNT(_xlfn._xlws.FILTER(CH205:CL205, ISNUMBER(MATCH(CH205:CL205, {2,3,5,7,11,13,17,19,23,29,31,37,41,43}, 0)))), 0)</f>
        <v>0</v>
      </c>
      <c r="DA205" s="3" cm="1">
        <f t="array" ref="DA205">IFERROR(COUNT(_xlfn._xlws.FILTER(CH205:CL205, ISNUMBER(MATCH(CH205:CL205, {1,4,8,10,14,16,20,22,25,26,28,32,34,35,38,40,44}, 0)))), 0)</f>
        <v>0</v>
      </c>
      <c r="DB205" s="3" cm="1">
        <f t="array" ref="DB205">IFERROR(COUNT(_xlfn._xlws.FILTER(CH205:CL205, ISNUMBER(MATCH(CH205:CL205, {6,9,12,15,18,21,24,27,30,33,36,39,42,45}, 0)))), 0)</f>
        <v>0</v>
      </c>
      <c r="DC205" s="29"/>
      <c r="DD205" s="28" t="e">
        <f>#REF!</f>
        <v>#REF!</v>
      </c>
      <c r="DE205" s="28" t="e">
        <f>#REF!*2</f>
        <v>#REF!</v>
      </c>
      <c r="DF205" s="28" t="e">
        <f>#REF!</f>
        <v>#REF!</v>
      </c>
      <c r="DG205" s="28" t="e">
        <f>#REF!*2</f>
        <v>#REF!</v>
      </c>
      <c r="DH205" s="28" t="e">
        <f>#REF!</f>
        <v>#REF!</v>
      </c>
      <c r="DI205" s="28" t="e">
        <f>#REF!*2</f>
        <v>#REF!</v>
      </c>
      <c r="DJ205" s="28" t="e">
        <f>#REF!</f>
        <v>#REF!</v>
      </c>
      <c r="DK205" s="28" t="e">
        <f>#REF!*2</f>
        <v>#REF!</v>
      </c>
      <c r="DL205" s="28" t="e">
        <f>#REF!</f>
        <v>#REF!</v>
      </c>
      <c r="DM205" s="28" t="e">
        <f>#REF!*2</f>
        <v>#REF!</v>
      </c>
      <c r="DN205" s="27"/>
      <c r="DO205" s="26"/>
      <c r="DP205" s="26"/>
      <c r="DQ205" s="26"/>
      <c r="DR205" s="26"/>
      <c r="DS205" s="26"/>
      <c r="DT205" s="25"/>
    </row>
    <row r="206" spans="2:124" x14ac:dyDescent="0.3"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2"/>
      <c r="I206" s="3">
        <f t="shared" si="120"/>
        <v>0</v>
      </c>
      <c r="J206" s="3">
        <f t="shared" si="121"/>
        <v>0</v>
      </c>
      <c r="K206" s="3">
        <f t="shared" si="122"/>
        <v>0</v>
      </c>
      <c r="L206" s="3">
        <f t="shared" si="123"/>
        <v>0</v>
      </c>
      <c r="M206" s="3">
        <f t="shared" si="124"/>
        <v>0</v>
      </c>
      <c r="N206" s="3">
        <f t="shared" si="125"/>
        <v>0</v>
      </c>
      <c r="O206" s="32"/>
      <c r="P206" s="3" cm="1">
        <f t="array" ref="P206">SUMPRODUCT(--(MOD(B206:G206,2)=1))</f>
        <v>0</v>
      </c>
      <c r="Q206" s="3">
        <f t="shared" si="126"/>
        <v>6</v>
      </c>
      <c r="R206" s="34"/>
      <c r="S206" s="3">
        <f t="shared" si="127"/>
        <v>0</v>
      </c>
      <c r="T206" s="3">
        <f t="shared" si="128"/>
        <v>6</v>
      </c>
      <c r="U206" s="34"/>
      <c r="V206" s="3" cm="1">
        <f t="array" ref="V206">SUMPRODUCT(--(MOD(B206:G206,10)&gt;=1), --(MOD(B206:G206,10)&lt;=5))</f>
        <v>0</v>
      </c>
      <c r="W206" s="3">
        <f t="shared" si="129"/>
        <v>6</v>
      </c>
      <c r="X206" s="34"/>
      <c r="Y206" s="3" cm="1">
        <f t="array" ref="Y206">IFERROR(COUNT(_xlfn._xlws.FILTER(B206:G206, ISNUMBER(MATCH(B206:G206, {2,3,5,7,11,13,17,19,23,29,31,37,41,43}, 0)))), 0)</f>
        <v>0</v>
      </c>
      <c r="Z206" s="3" cm="1">
        <f t="array" ref="Z206">IFERROR(COUNT(_xlfn._xlws.FILTER(B206:G206, ISNUMBER(MATCH(B206:G206, {1,4,8,10,14,16,20,22,25,26,28,32,34,35,38,40,44}, 0)))), 0)</f>
        <v>0</v>
      </c>
      <c r="AA206" s="3" cm="1">
        <f t="array" ref="AA206">IFERROR(COUNT(_xlfn._xlws.FILTER(B206:G206, ISNUMBER(MATCH(B206:G206, {6,9,12,15,18,21,24,27,30,33,36,39,42,45}, 0)))), 0)</f>
        <v>0</v>
      </c>
      <c r="AB206" s="30"/>
      <c r="AC206" s="26" cm="1">
        <f t="array" ref="AC206">_xlfn.IFS(
   OR(B206="",ISBLANK(B206),B206=0),0,
   ISNUMBER(MATCH(B206,{2,3,5,7,11,13,17,19,23,29,31,37,41,43},0)),"소",
   AND(ISNUMBER(B206),MOD(B206,3)=0),"배",
   AND(ISNUMBER(B206),B206&gt;0),"자"
)</f>
        <v>0</v>
      </c>
      <c r="AD206" s="26" cm="1">
        <f t="array" ref="AD206">_xlfn.IFS(
   OR(C206="",ISBLANK(C206),C206=0),0,
   ISNUMBER(MATCH(C206,{2,3,5,7,11,13,17,19,23,29,31,37,41,43},0)),"소",
   AND(ISNUMBER(C206),MOD(C206,3)=0),"배",
   AND(ISNUMBER(C206),C206&gt;0),"자"
)</f>
        <v>0</v>
      </c>
      <c r="AE206" s="26" cm="1">
        <f t="array" ref="AE206">_xlfn.IFS(
   OR(D206="",ISBLANK(D206),D206=0),0,
   ISNUMBER(MATCH(D206,{2,3,5,7,11,13,17,19,23,29,31,37,41,43},0)),"소",
   AND(ISNUMBER(D206),MOD(D206,3)=0),"배",
   AND(ISNUMBER(D206),D206&gt;0),"자"
)</f>
        <v>0</v>
      </c>
      <c r="AF206" s="26" cm="1">
        <f t="array" ref="AF206">_xlfn.IFS(
   OR(E206="",ISBLANK(E206),E206=0),0,
   ISNUMBER(MATCH(E206,{2,3,5,7,11,13,17,19,23,29,31,37,41,43},0)),"소",
   AND(ISNUMBER(E206),MOD(E206,3)=0),"배",
   AND(ISNUMBER(E206),E206&gt;0),"자"
)</f>
        <v>0</v>
      </c>
      <c r="AG206" s="26" cm="1">
        <f t="array" ref="AG206">_xlfn.IFS(
   OR(F206="",ISBLANK(F206),F206=0),0,
   ISNUMBER(MATCH(F206,{2,3,5,7,11,13,17,19,23,29,31,37,41,43},0)),"소",
   AND(ISNUMBER(F206),MOD(F206,3)=0),"배",
   AND(ISNUMBER(F206),F206&gt;0),"자"
)</f>
        <v>0</v>
      </c>
      <c r="AH206" s="26" cm="1">
        <f t="array" ref="AH206">_xlfn.IFS(
   OR(G206="",ISBLANK(G206),G206=0),0,
   ISNUMBER(MATCH(G206,{2,3,5,7,11,13,17,19,23,29,31,37,41,43},0)),"소",
   AND(ISNUMBER(G206),MOD(G206,3)=0),"배",
   AND(ISNUMBER(G206),G206&gt;0),"자"
)</f>
        <v>0</v>
      </c>
      <c r="AI206" s="30"/>
      <c r="AJ206" s="3">
        <f t="shared" si="130"/>
        <v>0</v>
      </c>
      <c r="AK206" s="3">
        <f t="shared" si="131"/>
        <v>0</v>
      </c>
      <c r="AL206" s="3">
        <f t="shared" si="132"/>
        <v>6</v>
      </c>
      <c r="AM206" s="33"/>
      <c r="AN206" s="3">
        <f t="shared" si="133"/>
        <v>0</v>
      </c>
      <c r="AO206" s="3">
        <f t="shared" si="134"/>
        <v>0</v>
      </c>
      <c r="AP206" s="3">
        <f t="shared" si="135"/>
        <v>0</v>
      </c>
      <c r="AQ206" s="3">
        <f t="shared" si="136"/>
        <v>0</v>
      </c>
      <c r="AR206" s="3">
        <f t="shared" si="137"/>
        <v>0</v>
      </c>
      <c r="AS206" s="28" t="e">
        <f>#REF!</f>
        <v>#REF!</v>
      </c>
      <c r="AT206" s="28" t="e">
        <f>#REF!*2</f>
        <v>#REF!</v>
      </c>
      <c r="AU206" s="28" t="e">
        <f>#REF!</f>
        <v>#REF!</v>
      </c>
      <c r="AV206" s="28" t="e">
        <f>#REF!*2</f>
        <v>#REF!</v>
      </c>
      <c r="AW206" s="28" t="e">
        <f>#REF!</f>
        <v>#REF!</v>
      </c>
      <c r="AX206" s="28" t="e">
        <f>#REF!*2</f>
        <v>#REF!</v>
      </c>
      <c r="AY206" s="28" t="e">
        <f>#REF!</f>
        <v>#REF!</v>
      </c>
      <c r="AZ206" s="28" t="e">
        <f>#REF!*2</f>
        <v>#REF!</v>
      </c>
      <c r="BA206" s="28" t="e">
        <f>#REF!</f>
        <v>#REF!</v>
      </c>
      <c r="BB206" s="28" t="e">
        <f>#REF!*2</f>
        <v>#REF!</v>
      </c>
      <c r="BC206" s="28" t="e">
        <f>#REF!</f>
        <v>#REF!</v>
      </c>
      <c r="BD206" s="28" t="e">
        <f>#REF!*2</f>
        <v>#REF!</v>
      </c>
      <c r="BE206" s="9" t="e">
        <f>#REF!-#REF!</f>
        <v>#REF!</v>
      </c>
      <c r="BF206" s="9" t="e">
        <f>#REF!-#REF!</f>
        <v>#REF!</v>
      </c>
      <c r="BG206" s="9" t="e">
        <f>#REF!-#REF!</f>
        <v>#REF!</v>
      </c>
      <c r="BH206" s="9" t="e">
        <f>#REF!-#REF!</f>
        <v>#REF!</v>
      </c>
      <c r="BI206" s="9" t="e">
        <f>#REF!-#REF!</f>
        <v>#REF!</v>
      </c>
      <c r="BJ206" s="33"/>
      <c r="BK206" s="3">
        <f t="shared" si="138"/>
        <v>0</v>
      </c>
      <c r="BL206" s="3">
        <f t="shared" si="139"/>
        <v>0</v>
      </c>
      <c r="BM206" s="3">
        <f t="shared" si="140"/>
        <v>0</v>
      </c>
      <c r="BN206" s="3">
        <f t="shared" si="141"/>
        <v>0</v>
      </c>
      <c r="BO206" s="3">
        <f t="shared" si="142"/>
        <v>0</v>
      </c>
      <c r="BP206" s="28" t="e">
        <f>#REF!</f>
        <v>#REF!</v>
      </c>
      <c r="BQ206" s="28" t="e">
        <f>#REF!*2</f>
        <v>#REF!</v>
      </c>
      <c r="BR206" s="28" t="e">
        <f>#REF!</f>
        <v>#REF!</v>
      </c>
      <c r="BS206" s="28" t="e">
        <f>#REF!*2</f>
        <v>#REF!</v>
      </c>
      <c r="BT206" s="28" t="e">
        <f>#REF!</f>
        <v>#REF!</v>
      </c>
      <c r="BU206" s="28" t="e">
        <f>#REF!*2</f>
        <v>#REF!</v>
      </c>
      <c r="BV206" s="28" t="e">
        <f>#REF!</f>
        <v>#REF!</v>
      </c>
      <c r="BW206" s="28" t="e">
        <f>#REF!*2</f>
        <v>#REF!</v>
      </c>
      <c r="BX206" s="28" t="e">
        <f>#REF!</f>
        <v>#REF!</v>
      </c>
      <c r="BY206" s="28" t="e">
        <f>#REF!*2</f>
        <v>#REF!</v>
      </c>
      <c r="BZ206" s="28" t="e">
        <f>#REF!</f>
        <v>#REF!</v>
      </c>
      <c r="CA206" s="28" t="e">
        <f>#REF!*2</f>
        <v>#REF!</v>
      </c>
      <c r="CB206" s="9">
        <f t="shared" si="143"/>
        <v>0</v>
      </c>
      <c r="CC206" s="9">
        <f t="shared" si="144"/>
        <v>0</v>
      </c>
      <c r="CD206" s="9">
        <f t="shared" si="145"/>
        <v>0</v>
      </c>
      <c r="CE206" s="9">
        <f t="shared" si="146"/>
        <v>0</v>
      </c>
      <c r="CF206" s="9">
        <f t="shared" si="147"/>
        <v>0</v>
      </c>
      <c r="CG206" s="33"/>
      <c r="CH206" s="9">
        <f t="shared" si="148"/>
        <v>0</v>
      </c>
      <c r="CI206" s="9">
        <f t="shared" si="149"/>
        <v>0</v>
      </c>
      <c r="CJ206" s="9">
        <f t="shared" si="150"/>
        <v>0</v>
      </c>
      <c r="CK206" s="9">
        <f t="shared" si="151"/>
        <v>0</v>
      </c>
      <c r="CL206" s="9">
        <f t="shared" si="152"/>
        <v>0</v>
      </c>
      <c r="CM206" s="32"/>
      <c r="CN206" s="3">
        <f t="shared" si="153"/>
        <v>0</v>
      </c>
      <c r="CO206" s="3">
        <f t="shared" si="154"/>
        <v>0</v>
      </c>
      <c r="CP206" s="3">
        <f t="shared" si="155"/>
        <v>0</v>
      </c>
      <c r="CQ206" s="3">
        <f t="shared" si="156"/>
        <v>0</v>
      </c>
      <c r="CR206" s="3">
        <f t="shared" si="157"/>
        <v>0</v>
      </c>
      <c r="CS206" s="31"/>
      <c r="CT206" s="3" cm="1">
        <f t="array" ref="CT206">SUMPRODUCT(--(MOD(CH206:CL206,2)=1))</f>
        <v>0</v>
      </c>
      <c r="CU206" s="3">
        <f t="shared" si="158"/>
        <v>5</v>
      </c>
      <c r="CV206" s="30"/>
      <c r="CW206" s="3" cm="1">
        <f t="array" ref="CW206">SUMPRODUCT(--(MOD(CH206:CL206,10)&gt;=1), --(MOD(CH206:CL206,10)&lt;=5))</f>
        <v>0</v>
      </c>
      <c r="CX206" s="3">
        <f t="shared" si="159"/>
        <v>5</v>
      </c>
      <c r="CY206" s="30"/>
      <c r="CZ206" s="3" cm="1">
        <f t="array" ref="CZ206">IFERROR(COUNT(_xlfn._xlws.FILTER(CH206:CL206, ISNUMBER(MATCH(CH206:CL206, {2,3,5,7,11,13,17,19,23,29,31,37,41,43}, 0)))), 0)</f>
        <v>0</v>
      </c>
      <c r="DA206" s="3" cm="1">
        <f t="array" ref="DA206">IFERROR(COUNT(_xlfn._xlws.FILTER(CH206:CL206, ISNUMBER(MATCH(CH206:CL206, {1,4,8,10,14,16,20,22,25,26,28,32,34,35,38,40,44}, 0)))), 0)</f>
        <v>0</v>
      </c>
      <c r="DB206" s="3" cm="1">
        <f t="array" ref="DB206">IFERROR(COUNT(_xlfn._xlws.FILTER(CH206:CL206, ISNUMBER(MATCH(CH206:CL206, {6,9,12,15,18,21,24,27,30,33,36,39,42,45}, 0)))), 0)</f>
        <v>0</v>
      </c>
      <c r="DC206" s="29"/>
      <c r="DD206" s="28" t="e">
        <f>#REF!</f>
        <v>#REF!</v>
      </c>
      <c r="DE206" s="28" t="e">
        <f>#REF!*2</f>
        <v>#REF!</v>
      </c>
      <c r="DF206" s="28" t="e">
        <f>#REF!</f>
        <v>#REF!</v>
      </c>
      <c r="DG206" s="28" t="e">
        <f>#REF!*2</f>
        <v>#REF!</v>
      </c>
      <c r="DH206" s="28" t="e">
        <f>#REF!</f>
        <v>#REF!</v>
      </c>
      <c r="DI206" s="28" t="e">
        <f>#REF!*2</f>
        <v>#REF!</v>
      </c>
      <c r="DJ206" s="28" t="e">
        <f>#REF!</f>
        <v>#REF!</v>
      </c>
      <c r="DK206" s="28" t="e">
        <f>#REF!*2</f>
        <v>#REF!</v>
      </c>
      <c r="DL206" s="28" t="e">
        <f>#REF!</f>
        <v>#REF!</v>
      </c>
      <c r="DM206" s="28" t="e">
        <f>#REF!*2</f>
        <v>#REF!</v>
      </c>
      <c r="DN206" s="27"/>
      <c r="DO206" s="26"/>
      <c r="DP206" s="26"/>
      <c r="DQ206" s="26"/>
      <c r="DR206" s="26"/>
      <c r="DS206" s="26"/>
      <c r="DT206" s="25"/>
    </row>
    <row r="207" spans="2:124" x14ac:dyDescent="0.3"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2"/>
      <c r="I207" s="3">
        <f t="shared" si="120"/>
        <v>0</v>
      </c>
      <c r="J207" s="3">
        <f t="shared" si="121"/>
        <v>0</v>
      </c>
      <c r="K207" s="3">
        <f t="shared" si="122"/>
        <v>0</v>
      </c>
      <c r="L207" s="3">
        <f t="shared" si="123"/>
        <v>0</v>
      </c>
      <c r="M207" s="3">
        <f t="shared" si="124"/>
        <v>0</v>
      </c>
      <c r="N207" s="3">
        <f t="shared" si="125"/>
        <v>0</v>
      </c>
      <c r="O207" s="32"/>
      <c r="P207" s="3" cm="1">
        <f t="array" ref="P207">SUMPRODUCT(--(MOD(B207:G207,2)=1))</f>
        <v>0</v>
      </c>
      <c r="Q207" s="3">
        <f t="shared" si="126"/>
        <v>6</v>
      </c>
      <c r="R207" s="34"/>
      <c r="S207" s="3">
        <f t="shared" si="127"/>
        <v>0</v>
      </c>
      <c r="T207" s="3">
        <f t="shared" si="128"/>
        <v>6</v>
      </c>
      <c r="U207" s="34"/>
      <c r="V207" s="3" cm="1">
        <f t="array" ref="V207">SUMPRODUCT(--(MOD(B207:G207,10)&gt;=1), --(MOD(B207:G207,10)&lt;=5))</f>
        <v>0</v>
      </c>
      <c r="W207" s="3">
        <f t="shared" si="129"/>
        <v>6</v>
      </c>
      <c r="X207" s="34"/>
      <c r="Y207" s="3" cm="1">
        <f t="array" ref="Y207">IFERROR(COUNT(_xlfn._xlws.FILTER(B207:G207, ISNUMBER(MATCH(B207:G207, {2,3,5,7,11,13,17,19,23,29,31,37,41,43}, 0)))), 0)</f>
        <v>0</v>
      </c>
      <c r="Z207" s="3" cm="1">
        <f t="array" ref="Z207">IFERROR(COUNT(_xlfn._xlws.FILTER(B207:G207, ISNUMBER(MATCH(B207:G207, {1,4,8,10,14,16,20,22,25,26,28,32,34,35,38,40,44}, 0)))), 0)</f>
        <v>0</v>
      </c>
      <c r="AA207" s="3" cm="1">
        <f t="array" ref="AA207">IFERROR(COUNT(_xlfn._xlws.FILTER(B207:G207, ISNUMBER(MATCH(B207:G207, {6,9,12,15,18,21,24,27,30,33,36,39,42,45}, 0)))), 0)</f>
        <v>0</v>
      </c>
      <c r="AB207" s="30"/>
      <c r="AC207" s="26" cm="1">
        <f t="array" ref="AC207">_xlfn.IFS(
   OR(B207="",ISBLANK(B207),B207=0),0,
   ISNUMBER(MATCH(B207,{2,3,5,7,11,13,17,19,23,29,31,37,41,43},0)),"소",
   AND(ISNUMBER(B207),MOD(B207,3)=0),"배",
   AND(ISNUMBER(B207),B207&gt;0),"자"
)</f>
        <v>0</v>
      </c>
      <c r="AD207" s="26" cm="1">
        <f t="array" ref="AD207">_xlfn.IFS(
   OR(C207="",ISBLANK(C207),C207=0),0,
   ISNUMBER(MATCH(C207,{2,3,5,7,11,13,17,19,23,29,31,37,41,43},0)),"소",
   AND(ISNUMBER(C207),MOD(C207,3)=0),"배",
   AND(ISNUMBER(C207),C207&gt;0),"자"
)</f>
        <v>0</v>
      </c>
      <c r="AE207" s="26" cm="1">
        <f t="array" ref="AE207">_xlfn.IFS(
   OR(D207="",ISBLANK(D207),D207=0),0,
   ISNUMBER(MATCH(D207,{2,3,5,7,11,13,17,19,23,29,31,37,41,43},0)),"소",
   AND(ISNUMBER(D207),MOD(D207,3)=0),"배",
   AND(ISNUMBER(D207),D207&gt;0),"자"
)</f>
        <v>0</v>
      </c>
      <c r="AF207" s="26" cm="1">
        <f t="array" ref="AF207">_xlfn.IFS(
   OR(E207="",ISBLANK(E207),E207=0),0,
   ISNUMBER(MATCH(E207,{2,3,5,7,11,13,17,19,23,29,31,37,41,43},0)),"소",
   AND(ISNUMBER(E207),MOD(E207,3)=0),"배",
   AND(ISNUMBER(E207),E207&gt;0),"자"
)</f>
        <v>0</v>
      </c>
      <c r="AG207" s="26" cm="1">
        <f t="array" ref="AG207">_xlfn.IFS(
   OR(F207="",ISBLANK(F207),F207=0),0,
   ISNUMBER(MATCH(F207,{2,3,5,7,11,13,17,19,23,29,31,37,41,43},0)),"소",
   AND(ISNUMBER(F207),MOD(F207,3)=0),"배",
   AND(ISNUMBER(F207),F207&gt;0),"자"
)</f>
        <v>0</v>
      </c>
      <c r="AH207" s="26" cm="1">
        <f t="array" ref="AH207">_xlfn.IFS(
   OR(G207="",ISBLANK(G207),G207=0),0,
   ISNUMBER(MATCH(G207,{2,3,5,7,11,13,17,19,23,29,31,37,41,43},0)),"소",
   AND(ISNUMBER(G207),MOD(G207,3)=0),"배",
   AND(ISNUMBER(G207),G207&gt;0),"자"
)</f>
        <v>0</v>
      </c>
      <c r="AI207" s="30"/>
      <c r="AJ207" s="3">
        <f t="shared" si="130"/>
        <v>0</v>
      </c>
      <c r="AK207" s="3">
        <f t="shared" si="131"/>
        <v>0</v>
      </c>
      <c r="AL207" s="3">
        <f t="shared" si="132"/>
        <v>6</v>
      </c>
      <c r="AM207" s="33"/>
      <c r="AN207" s="3">
        <f t="shared" si="133"/>
        <v>0</v>
      </c>
      <c r="AO207" s="3">
        <f t="shared" si="134"/>
        <v>0</v>
      </c>
      <c r="AP207" s="3">
        <f t="shared" si="135"/>
        <v>0</v>
      </c>
      <c r="AQ207" s="3">
        <f t="shared" si="136"/>
        <v>0</v>
      </c>
      <c r="AR207" s="3">
        <f t="shared" si="137"/>
        <v>0</v>
      </c>
      <c r="AS207" s="28" t="e">
        <f>#REF!</f>
        <v>#REF!</v>
      </c>
      <c r="AT207" s="28" t="e">
        <f>#REF!*2</f>
        <v>#REF!</v>
      </c>
      <c r="AU207" s="28" t="e">
        <f>#REF!</f>
        <v>#REF!</v>
      </c>
      <c r="AV207" s="28" t="e">
        <f>#REF!*2</f>
        <v>#REF!</v>
      </c>
      <c r="AW207" s="28" t="e">
        <f>#REF!</f>
        <v>#REF!</v>
      </c>
      <c r="AX207" s="28" t="e">
        <f>#REF!*2</f>
        <v>#REF!</v>
      </c>
      <c r="AY207" s="28" t="e">
        <f>#REF!</f>
        <v>#REF!</v>
      </c>
      <c r="AZ207" s="28" t="e">
        <f>#REF!*2</f>
        <v>#REF!</v>
      </c>
      <c r="BA207" s="28" t="e">
        <f>#REF!</f>
        <v>#REF!</v>
      </c>
      <c r="BB207" s="28" t="e">
        <f>#REF!*2</f>
        <v>#REF!</v>
      </c>
      <c r="BC207" s="28" t="e">
        <f>#REF!</f>
        <v>#REF!</v>
      </c>
      <c r="BD207" s="28" t="e">
        <f>#REF!*2</f>
        <v>#REF!</v>
      </c>
      <c r="BE207" s="9" t="e">
        <f>#REF!-#REF!</f>
        <v>#REF!</v>
      </c>
      <c r="BF207" s="9" t="e">
        <f>#REF!-#REF!</f>
        <v>#REF!</v>
      </c>
      <c r="BG207" s="9" t="e">
        <f>#REF!-#REF!</f>
        <v>#REF!</v>
      </c>
      <c r="BH207" s="9" t="e">
        <f>#REF!-#REF!</f>
        <v>#REF!</v>
      </c>
      <c r="BI207" s="9" t="e">
        <f>#REF!-#REF!</f>
        <v>#REF!</v>
      </c>
      <c r="BJ207" s="33"/>
      <c r="BK207" s="3">
        <f t="shared" si="138"/>
        <v>0</v>
      </c>
      <c r="BL207" s="3">
        <f t="shared" si="139"/>
        <v>0</v>
      </c>
      <c r="BM207" s="3">
        <f t="shared" si="140"/>
        <v>0</v>
      </c>
      <c r="BN207" s="3">
        <f t="shared" si="141"/>
        <v>0</v>
      </c>
      <c r="BO207" s="3">
        <f t="shared" si="142"/>
        <v>0</v>
      </c>
      <c r="BP207" s="28" t="e">
        <f>#REF!</f>
        <v>#REF!</v>
      </c>
      <c r="BQ207" s="28" t="e">
        <f>#REF!*2</f>
        <v>#REF!</v>
      </c>
      <c r="BR207" s="28" t="e">
        <f>#REF!</f>
        <v>#REF!</v>
      </c>
      <c r="BS207" s="28" t="e">
        <f>#REF!*2</f>
        <v>#REF!</v>
      </c>
      <c r="BT207" s="28" t="e">
        <f>#REF!</f>
        <v>#REF!</v>
      </c>
      <c r="BU207" s="28" t="e">
        <f>#REF!*2</f>
        <v>#REF!</v>
      </c>
      <c r="BV207" s="28" t="e">
        <f>#REF!</f>
        <v>#REF!</v>
      </c>
      <c r="BW207" s="28" t="e">
        <f>#REF!*2</f>
        <v>#REF!</v>
      </c>
      <c r="BX207" s="28" t="e">
        <f>#REF!</f>
        <v>#REF!</v>
      </c>
      <c r="BY207" s="28" t="e">
        <f>#REF!*2</f>
        <v>#REF!</v>
      </c>
      <c r="BZ207" s="28" t="e">
        <f>#REF!</f>
        <v>#REF!</v>
      </c>
      <c r="CA207" s="28" t="e">
        <f>#REF!*2</f>
        <v>#REF!</v>
      </c>
      <c r="CB207" s="9">
        <f t="shared" si="143"/>
        <v>0</v>
      </c>
      <c r="CC207" s="9">
        <f t="shared" si="144"/>
        <v>0</v>
      </c>
      <c r="CD207" s="9">
        <f t="shared" si="145"/>
        <v>0</v>
      </c>
      <c r="CE207" s="9">
        <f t="shared" si="146"/>
        <v>0</v>
      </c>
      <c r="CF207" s="9">
        <f t="shared" si="147"/>
        <v>0</v>
      </c>
      <c r="CG207" s="33"/>
      <c r="CH207" s="9">
        <f t="shared" si="148"/>
        <v>0</v>
      </c>
      <c r="CI207" s="9">
        <f t="shared" si="149"/>
        <v>0</v>
      </c>
      <c r="CJ207" s="9">
        <f t="shared" si="150"/>
        <v>0</v>
      </c>
      <c r="CK207" s="9">
        <f t="shared" si="151"/>
        <v>0</v>
      </c>
      <c r="CL207" s="9">
        <f t="shared" si="152"/>
        <v>0</v>
      </c>
      <c r="CM207" s="32"/>
      <c r="CN207" s="3">
        <f t="shared" si="153"/>
        <v>0</v>
      </c>
      <c r="CO207" s="3">
        <f t="shared" si="154"/>
        <v>0</v>
      </c>
      <c r="CP207" s="3">
        <f t="shared" si="155"/>
        <v>0</v>
      </c>
      <c r="CQ207" s="3">
        <f t="shared" si="156"/>
        <v>0</v>
      </c>
      <c r="CR207" s="3">
        <f t="shared" si="157"/>
        <v>0</v>
      </c>
      <c r="CS207" s="31"/>
      <c r="CT207" s="3" cm="1">
        <f t="array" ref="CT207">SUMPRODUCT(--(MOD(CH207:CL207,2)=1))</f>
        <v>0</v>
      </c>
      <c r="CU207" s="3">
        <f t="shared" si="158"/>
        <v>5</v>
      </c>
      <c r="CV207" s="30"/>
      <c r="CW207" s="3" cm="1">
        <f t="array" ref="CW207">SUMPRODUCT(--(MOD(CH207:CL207,10)&gt;=1), --(MOD(CH207:CL207,10)&lt;=5))</f>
        <v>0</v>
      </c>
      <c r="CX207" s="3">
        <f t="shared" si="159"/>
        <v>5</v>
      </c>
      <c r="CY207" s="30"/>
      <c r="CZ207" s="3" cm="1">
        <f t="array" ref="CZ207">IFERROR(COUNT(_xlfn._xlws.FILTER(CH207:CL207, ISNUMBER(MATCH(CH207:CL207, {2,3,5,7,11,13,17,19,23,29,31,37,41,43}, 0)))), 0)</f>
        <v>0</v>
      </c>
      <c r="DA207" s="3" cm="1">
        <f t="array" ref="DA207">IFERROR(COUNT(_xlfn._xlws.FILTER(CH207:CL207, ISNUMBER(MATCH(CH207:CL207, {1,4,8,10,14,16,20,22,25,26,28,32,34,35,38,40,44}, 0)))), 0)</f>
        <v>0</v>
      </c>
      <c r="DB207" s="3" cm="1">
        <f t="array" ref="DB207">IFERROR(COUNT(_xlfn._xlws.FILTER(CH207:CL207, ISNUMBER(MATCH(CH207:CL207, {6,9,12,15,18,21,24,27,30,33,36,39,42,45}, 0)))), 0)</f>
        <v>0</v>
      </c>
      <c r="DC207" s="29"/>
      <c r="DD207" s="28" t="e">
        <f>#REF!</f>
        <v>#REF!</v>
      </c>
      <c r="DE207" s="28" t="e">
        <f>#REF!*2</f>
        <v>#REF!</v>
      </c>
      <c r="DF207" s="28" t="e">
        <f>#REF!</f>
        <v>#REF!</v>
      </c>
      <c r="DG207" s="28" t="e">
        <f>#REF!*2</f>
        <v>#REF!</v>
      </c>
      <c r="DH207" s="28" t="e">
        <f>#REF!</f>
        <v>#REF!</v>
      </c>
      <c r="DI207" s="28" t="e">
        <f>#REF!*2</f>
        <v>#REF!</v>
      </c>
      <c r="DJ207" s="28" t="e">
        <f>#REF!</f>
        <v>#REF!</v>
      </c>
      <c r="DK207" s="28" t="e">
        <f>#REF!*2</f>
        <v>#REF!</v>
      </c>
      <c r="DL207" s="28" t="e">
        <f>#REF!</f>
        <v>#REF!</v>
      </c>
      <c r="DM207" s="28" t="e">
        <f>#REF!*2</f>
        <v>#REF!</v>
      </c>
      <c r="DN207" s="27"/>
      <c r="DO207" s="26"/>
      <c r="DP207" s="26"/>
      <c r="DQ207" s="26"/>
      <c r="DR207" s="26"/>
      <c r="DS207" s="26"/>
      <c r="DT207" s="25"/>
    </row>
    <row r="208" spans="2:124" x14ac:dyDescent="0.3"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2"/>
      <c r="I208" s="3">
        <f t="shared" si="120"/>
        <v>0</v>
      </c>
      <c r="J208" s="3">
        <f t="shared" si="121"/>
        <v>0</v>
      </c>
      <c r="K208" s="3">
        <f t="shared" si="122"/>
        <v>0</v>
      </c>
      <c r="L208" s="3">
        <f t="shared" si="123"/>
        <v>0</v>
      </c>
      <c r="M208" s="3">
        <f t="shared" si="124"/>
        <v>0</v>
      </c>
      <c r="N208" s="3">
        <f t="shared" si="125"/>
        <v>0</v>
      </c>
      <c r="O208" s="32"/>
      <c r="P208" s="3" cm="1">
        <f t="array" ref="P208">SUMPRODUCT(--(MOD(B208:G208,2)=1))</f>
        <v>0</v>
      </c>
      <c r="Q208" s="3">
        <f t="shared" si="126"/>
        <v>6</v>
      </c>
      <c r="R208" s="34"/>
      <c r="S208" s="3">
        <f t="shared" si="127"/>
        <v>0</v>
      </c>
      <c r="T208" s="3">
        <f t="shared" si="128"/>
        <v>6</v>
      </c>
      <c r="U208" s="34"/>
      <c r="V208" s="3" cm="1">
        <f t="array" ref="V208">SUMPRODUCT(--(MOD(B208:G208,10)&gt;=1), --(MOD(B208:G208,10)&lt;=5))</f>
        <v>0</v>
      </c>
      <c r="W208" s="3">
        <f t="shared" si="129"/>
        <v>6</v>
      </c>
      <c r="X208" s="34"/>
      <c r="Y208" s="3" cm="1">
        <f t="array" ref="Y208">IFERROR(COUNT(_xlfn._xlws.FILTER(B208:G208, ISNUMBER(MATCH(B208:G208, {2,3,5,7,11,13,17,19,23,29,31,37,41,43}, 0)))), 0)</f>
        <v>0</v>
      </c>
      <c r="Z208" s="3" cm="1">
        <f t="array" ref="Z208">IFERROR(COUNT(_xlfn._xlws.FILTER(B208:G208, ISNUMBER(MATCH(B208:G208, {1,4,8,10,14,16,20,22,25,26,28,32,34,35,38,40,44}, 0)))), 0)</f>
        <v>0</v>
      </c>
      <c r="AA208" s="3" cm="1">
        <f t="array" ref="AA208">IFERROR(COUNT(_xlfn._xlws.FILTER(B208:G208, ISNUMBER(MATCH(B208:G208, {6,9,12,15,18,21,24,27,30,33,36,39,42,45}, 0)))), 0)</f>
        <v>0</v>
      </c>
      <c r="AB208" s="30"/>
      <c r="AC208" s="26" cm="1">
        <f t="array" ref="AC208">_xlfn.IFS(
   OR(B208="",ISBLANK(B208),B208=0),0,
   ISNUMBER(MATCH(B208,{2,3,5,7,11,13,17,19,23,29,31,37,41,43},0)),"소",
   AND(ISNUMBER(B208),MOD(B208,3)=0),"배",
   AND(ISNUMBER(B208),B208&gt;0),"자"
)</f>
        <v>0</v>
      </c>
      <c r="AD208" s="26" cm="1">
        <f t="array" ref="AD208">_xlfn.IFS(
   OR(C208="",ISBLANK(C208),C208=0),0,
   ISNUMBER(MATCH(C208,{2,3,5,7,11,13,17,19,23,29,31,37,41,43},0)),"소",
   AND(ISNUMBER(C208),MOD(C208,3)=0),"배",
   AND(ISNUMBER(C208),C208&gt;0),"자"
)</f>
        <v>0</v>
      </c>
      <c r="AE208" s="26" cm="1">
        <f t="array" ref="AE208">_xlfn.IFS(
   OR(D208="",ISBLANK(D208),D208=0),0,
   ISNUMBER(MATCH(D208,{2,3,5,7,11,13,17,19,23,29,31,37,41,43},0)),"소",
   AND(ISNUMBER(D208),MOD(D208,3)=0),"배",
   AND(ISNUMBER(D208),D208&gt;0),"자"
)</f>
        <v>0</v>
      </c>
      <c r="AF208" s="26" cm="1">
        <f t="array" ref="AF208">_xlfn.IFS(
   OR(E208="",ISBLANK(E208),E208=0),0,
   ISNUMBER(MATCH(E208,{2,3,5,7,11,13,17,19,23,29,31,37,41,43},0)),"소",
   AND(ISNUMBER(E208),MOD(E208,3)=0),"배",
   AND(ISNUMBER(E208),E208&gt;0),"자"
)</f>
        <v>0</v>
      </c>
      <c r="AG208" s="26" cm="1">
        <f t="array" ref="AG208">_xlfn.IFS(
   OR(F208="",ISBLANK(F208),F208=0),0,
   ISNUMBER(MATCH(F208,{2,3,5,7,11,13,17,19,23,29,31,37,41,43},0)),"소",
   AND(ISNUMBER(F208),MOD(F208,3)=0),"배",
   AND(ISNUMBER(F208),F208&gt;0),"자"
)</f>
        <v>0</v>
      </c>
      <c r="AH208" s="26" cm="1">
        <f t="array" ref="AH208">_xlfn.IFS(
   OR(G208="",ISBLANK(G208),G208=0),0,
   ISNUMBER(MATCH(G208,{2,3,5,7,11,13,17,19,23,29,31,37,41,43},0)),"소",
   AND(ISNUMBER(G208),MOD(G208,3)=0),"배",
   AND(ISNUMBER(G208),G208&gt;0),"자"
)</f>
        <v>0</v>
      </c>
      <c r="AI208" s="30"/>
      <c r="AJ208" s="3">
        <f t="shared" si="130"/>
        <v>0</v>
      </c>
      <c r="AK208" s="3">
        <f t="shared" si="131"/>
        <v>0</v>
      </c>
      <c r="AL208" s="3">
        <f t="shared" si="132"/>
        <v>6</v>
      </c>
      <c r="AM208" s="33"/>
      <c r="AN208" s="3">
        <f t="shared" si="133"/>
        <v>0</v>
      </c>
      <c r="AO208" s="3">
        <f t="shared" si="134"/>
        <v>0</v>
      </c>
      <c r="AP208" s="3">
        <f t="shared" si="135"/>
        <v>0</v>
      </c>
      <c r="AQ208" s="3">
        <f t="shared" si="136"/>
        <v>0</v>
      </c>
      <c r="AR208" s="3">
        <f t="shared" si="137"/>
        <v>0</v>
      </c>
      <c r="AS208" s="28" t="e">
        <f>#REF!</f>
        <v>#REF!</v>
      </c>
      <c r="AT208" s="28" t="e">
        <f>#REF!*2</f>
        <v>#REF!</v>
      </c>
      <c r="AU208" s="28" t="e">
        <f>#REF!</f>
        <v>#REF!</v>
      </c>
      <c r="AV208" s="28" t="e">
        <f>#REF!*2</f>
        <v>#REF!</v>
      </c>
      <c r="AW208" s="28" t="e">
        <f>#REF!</f>
        <v>#REF!</v>
      </c>
      <c r="AX208" s="28" t="e">
        <f>#REF!*2</f>
        <v>#REF!</v>
      </c>
      <c r="AY208" s="28" t="e">
        <f>#REF!</f>
        <v>#REF!</v>
      </c>
      <c r="AZ208" s="28" t="e">
        <f>#REF!*2</f>
        <v>#REF!</v>
      </c>
      <c r="BA208" s="28" t="e">
        <f>#REF!</f>
        <v>#REF!</v>
      </c>
      <c r="BB208" s="28" t="e">
        <f>#REF!*2</f>
        <v>#REF!</v>
      </c>
      <c r="BC208" s="28" t="e">
        <f>#REF!</f>
        <v>#REF!</v>
      </c>
      <c r="BD208" s="28" t="e">
        <f>#REF!*2</f>
        <v>#REF!</v>
      </c>
      <c r="BE208" s="9" t="e">
        <f>#REF!-#REF!</f>
        <v>#REF!</v>
      </c>
      <c r="BF208" s="9" t="e">
        <f>#REF!-#REF!</f>
        <v>#REF!</v>
      </c>
      <c r="BG208" s="9" t="e">
        <f>#REF!-#REF!</f>
        <v>#REF!</v>
      </c>
      <c r="BH208" s="9" t="e">
        <f>#REF!-#REF!</f>
        <v>#REF!</v>
      </c>
      <c r="BI208" s="9" t="e">
        <f>#REF!-#REF!</f>
        <v>#REF!</v>
      </c>
      <c r="BJ208" s="33"/>
      <c r="BK208" s="3">
        <f t="shared" si="138"/>
        <v>0</v>
      </c>
      <c r="BL208" s="3">
        <f t="shared" si="139"/>
        <v>0</v>
      </c>
      <c r="BM208" s="3">
        <f t="shared" si="140"/>
        <v>0</v>
      </c>
      <c r="BN208" s="3">
        <f t="shared" si="141"/>
        <v>0</v>
      </c>
      <c r="BO208" s="3">
        <f t="shared" si="142"/>
        <v>0</v>
      </c>
      <c r="BP208" s="28" t="e">
        <f>#REF!</f>
        <v>#REF!</v>
      </c>
      <c r="BQ208" s="28" t="e">
        <f>#REF!*2</f>
        <v>#REF!</v>
      </c>
      <c r="BR208" s="28" t="e">
        <f>#REF!</f>
        <v>#REF!</v>
      </c>
      <c r="BS208" s="28" t="e">
        <f>#REF!*2</f>
        <v>#REF!</v>
      </c>
      <c r="BT208" s="28" t="e">
        <f>#REF!</f>
        <v>#REF!</v>
      </c>
      <c r="BU208" s="28" t="e">
        <f>#REF!*2</f>
        <v>#REF!</v>
      </c>
      <c r="BV208" s="28" t="e">
        <f>#REF!</f>
        <v>#REF!</v>
      </c>
      <c r="BW208" s="28" t="e">
        <f>#REF!*2</f>
        <v>#REF!</v>
      </c>
      <c r="BX208" s="28" t="e">
        <f>#REF!</f>
        <v>#REF!</v>
      </c>
      <c r="BY208" s="28" t="e">
        <f>#REF!*2</f>
        <v>#REF!</v>
      </c>
      <c r="BZ208" s="28" t="e">
        <f>#REF!</f>
        <v>#REF!</v>
      </c>
      <c r="CA208" s="28" t="e">
        <f>#REF!*2</f>
        <v>#REF!</v>
      </c>
      <c r="CB208" s="9">
        <f t="shared" si="143"/>
        <v>0</v>
      </c>
      <c r="CC208" s="9">
        <f t="shared" si="144"/>
        <v>0</v>
      </c>
      <c r="CD208" s="9">
        <f t="shared" si="145"/>
        <v>0</v>
      </c>
      <c r="CE208" s="9">
        <f t="shared" si="146"/>
        <v>0</v>
      </c>
      <c r="CF208" s="9">
        <f t="shared" si="147"/>
        <v>0</v>
      </c>
      <c r="CG208" s="33"/>
      <c r="CH208" s="9">
        <f t="shared" si="148"/>
        <v>0</v>
      </c>
      <c r="CI208" s="9">
        <f t="shared" si="149"/>
        <v>0</v>
      </c>
      <c r="CJ208" s="9">
        <f t="shared" si="150"/>
        <v>0</v>
      </c>
      <c r="CK208" s="9">
        <f t="shared" si="151"/>
        <v>0</v>
      </c>
      <c r="CL208" s="9">
        <f t="shared" si="152"/>
        <v>0</v>
      </c>
      <c r="CM208" s="32"/>
      <c r="CN208" s="3">
        <f t="shared" si="153"/>
        <v>0</v>
      </c>
      <c r="CO208" s="3">
        <f t="shared" si="154"/>
        <v>0</v>
      </c>
      <c r="CP208" s="3">
        <f t="shared" si="155"/>
        <v>0</v>
      </c>
      <c r="CQ208" s="3">
        <f t="shared" si="156"/>
        <v>0</v>
      </c>
      <c r="CR208" s="3">
        <f t="shared" si="157"/>
        <v>0</v>
      </c>
      <c r="CS208" s="31"/>
      <c r="CT208" s="3" cm="1">
        <f t="array" ref="CT208">SUMPRODUCT(--(MOD(CH208:CL208,2)=1))</f>
        <v>0</v>
      </c>
      <c r="CU208" s="3">
        <f t="shared" si="158"/>
        <v>5</v>
      </c>
      <c r="CV208" s="30"/>
      <c r="CW208" s="3" cm="1">
        <f t="array" ref="CW208">SUMPRODUCT(--(MOD(CH208:CL208,10)&gt;=1), --(MOD(CH208:CL208,10)&lt;=5))</f>
        <v>0</v>
      </c>
      <c r="CX208" s="3">
        <f t="shared" si="159"/>
        <v>5</v>
      </c>
      <c r="CY208" s="30"/>
      <c r="CZ208" s="3" cm="1">
        <f t="array" ref="CZ208">IFERROR(COUNT(_xlfn._xlws.FILTER(CH208:CL208, ISNUMBER(MATCH(CH208:CL208, {2,3,5,7,11,13,17,19,23,29,31,37,41,43}, 0)))), 0)</f>
        <v>0</v>
      </c>
      <c r="DA208" s="3" cm="1">
        <f t="array" ref="DA208">IFERROR(COUNT(_xlfn._xlws.FILTER(CH208:CL208, ISNUMBER(MATCH(CH208:CL208, {1,4,8,10,14,16,20,22,25,26,28,32,34,35,38,40,44}, 0)))), 0)</f>
        <v>0</v>
      </c>
      <c r="DB208" s="3" cm="1">
        <f t="array" ref="DB208">IFERROR(COUNT(_xlfn._xlws.FILTER(CH208:CL208, ISNUMBER(MATCH(CH208:CL208, {6,9,12,15,18,21,24,27,30,33,36,39,42,45}, 0)))), 0)</f>
        <v>0</v>
      </c>
      <c r="DC208" s="29"/>
      <c r="DD208" s="28" t="e">
        <f>#REF!</f>
        <v>#REF!</v>
      </c>
      <c r="DE208" s="28" t="e">
        <f>#REF!*2</f>
        <v>#REF!</v>
      </c>
      <c r="DF208" s="28" t="e">
        <f>#REF!</f>
        <v>#REF!</v>
      </c>
      <c r="DG208" s="28" t="e">
        <f>#REF!*2</f>
        <v>#REF!</v>
      </c>
      <c r="DH208" s="28" t="e">
        <f>#REF!</f>
        <v>#REF!</v>
      </c>
      <c r="DI208" s="28" t="e">
        <f>#REF!*2</f>
        <v>#REF!</v>
      </c>
      <c r="DJ208" s="28" t="e">
        <f>#REF!</f>
        <v>#REF!</v>
      </c>
      <c r="DK208" s="28" t="e">
        <f>#REF!*2</f>
        <v>#REF!</v>
      </c>
      <c r="DL208" s="28" t="e">
        <f>#REF!</f>
        <v>#REF!</v>
      </c>
      <c r="DM208" s="28" t="e">
        <f>#REF!*2</f>
        <v>#REF!</v>
      </c>
      <c r="DN208" s="27"/>
      <c r="DO208" s="26"/>
      <c r="DP208" s="26"/>
      <c r="DQ208" s="26"/>
      <c r="DR208" s="26"/>
      <c r="DS208" s="26"/>
      <c r="DT208" s="25"/>
    </row>
    <row r="209" spans="2:124" x14ac:dyDescent="0.3"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2"/>
      <c r="I209" s="3">
        <f t="shared" si="120"/>
        <v>0</v>
      </c>
      <c r="J209" s="3">
        <f t="shared" si="121"/>
        <v>0</v>
      </c>
      <c r="K209" s="3">
        <f t="shared" si="122"/>
        <v>0</v>
      </c>
      <c r="L209" s="3">
        <f t="shared" si="123"/>
        <v>0</v>
      </c>
      <c r="M209" s="3">
        <f t="shared" si="124"/>
        <v>0</v>
      </c>
      <c r="N209" s="3">
        <f t="shared" si="125"/>
        <v>0</v>
      </c>
      <c r="O209" s="32"/>
      <c r="P209" s="3" cm="1">
        <f t="array" ref="P209">SUMPRODUCT(--(MOD(B209:G209,2)=1))</f>
        <v>0</v>
      </c>
      <c r="Q209" s="3">
        <f t="shared" si="126"/>
        <v>6</v>
      </c>
      <c r="R209" s="34"/>
      <c r="S209" s="3">
        <f t="shared" si="127"/>
        <v>0</v>
      </c>
      <c r="T209" s="3">
        <f t="shared" si="128"/>
        <v>6</v>
      </c>
      <c r="U209" s="34"/>
      <c r="V209" s="3" cm="1">
        <f t="array" ref="V209">SUMPRODUCT(--(MOD(B209:G209,10)&gt;=1), --(MOD(B209:G209,10)&lt;=5))</f>
        <v>0</v>
      </c>
      <c r="W209" s="3">
        <f t="shared" si="129"/>
        <v>6</v>
      </c>
      <c r="X209" s="34"/>
      <c r="Y209" s="3" cm="1">
        <f t="array" ref="Y209">IFERROR(COUNT(_xlfn._xlws.FILTER(B209:G209, ISNUMBER(MATCH(B209:G209, {2,3,5,7,11,13,17,19,23,29,31,37,41,43}, 0)))), 0)</f>
        <v>0</v>
      </c>
      <c r="Z209" s="3" cm="1">
        <f t="array" ref="Z209">IFERROR(COUNT(_xlfn._xlws.FILTER(B209:G209, ISNUMBER(MATCH(B209:G209, {1,4,8,10,14,16,20,22,25,26,28,32,34,35,38,40,44}, 0)))), 0)</f>
        <v>0</v>
      </c>
      <c r="AA209" s="3" cm="1">
        <f t="array" ref="AA209">IFERROR(COUNT(_xlfn._xlws.FILTER(B209:G209, ISNUMBER(MATCH(B209:G209, {6,9,12,15,18,21,24,27,30,33,36,39,42,45}, 0)))), 0)</f>
        <v>0</v>
      </c>
      <c r="AB209" s="30"/>
      <c r="AC209" s="26" cm="1">
        <f t="array" ref="AC209">_xlfn.IFS(
   OR(B209="",ISBLANK(B209),B209=0),0,
   ISNUMBER(MATCH(B209,{2,3,5,7,11,13,17,19,23,29,31,37,41,43},0)),"소",
   AND(ISNUMBER(B209),MOD(B209,3)=0),"배",
   AND(ISNUMBER(B209),B209&gt;0),"자"
)</f>
        <v>0</v>
      </c>
      <c r="AD209" s="26" cm="1">
        <f t="array" ref="AD209">_xlfn.IFS(
   OR(C209="",ISBLANK(C209),C209=0),0,
   ISNUMBER(MATCH(C209,{2,3,5,7,11,13,17,19,23,29,31,37,41,43},0)),"소",
   AND(ISNUMBER(C209),MOD(C209,3)=0),"배",
   AND(ISNUMBER(C209),C209&gt;0),"자"
)</f>
        <v>0</v>
      </c>
      <c r="AE209" s="26" cm="1">
        <f t="array" ref="AE209">_xlfn.IFS(
   OR(D209="",ISBLANK(D209),D209=0),0,
   ISNUMBER(MATCH(D209,{2,3,5,7,11,13,17,19,23,29,31,37,41,43},0)),"소",
   AND(ISNUMBER(D209),MOD(D209,3)=0),"배",
   AND(ISNUMBER(D209),D209&gt;0),"자"
)</f>
        <v>0</v>
      </c>
      <c r="AF209" s="26" cm="1">
        <f t="array" ref="AF209">_xlfn.IFS(
   OR(E209="",ISBLANK(E209),E209=0),0,
   ISNUMBER(MATCH(E209,{2,3,5,7,11,13,17,19,23,29,31,37,41,43},0)),"소",
   AND(ISNUMBER(E209),MOD(E209,3)=0),"배",
   AND(ISNUMBER(E209),E209&gt;0),"자"
)</f>
        <v>0</v>
      </c>
      <c r="AG209" s="26" cm="1">
        <f t="array" ref="AG209">_xlfn.IFS(
   OR(F209="",ISBLANK(F209),F209=0),0,
   ISNUMBER(MATCH(F209,{2,3,5,7,11,13,17,19,23,29,31,37,41,43},0)),"소",
   AND(ISNUMBER(F209),MOD(F209,3)=0),"배",
   AND(ISNUMBER(F209),F209&gt;0),"자"
)</f>
        <v>0</v>
      </c>
      <c r="AH209" s="26" cm="1">
        <f t="array" ref="AH209">_xlfn.IFS(
   OR(G209="",ISBLANK(G209),G209=0),0,
   ISNUMBER(MATCH(G209,{2,3,5,7,11,13,17,19,23,29,31,37,41,43},0)),"소",
   AND(ISNUMBER(G209),MOD(G209,3)=0),"배",
   AND(ISNUMBER(G209),G209&gt;0),"자"
)</f>
        <v>0</v>
      </c>
      <c r="AI209" s="30"/>
      <c r="AJ209" s="3">
        <f t="shared" si="130"/>
        <v>0</v>
      </c>
      <c r="AK209" s="3">
        <f t="shared" si="131"/>
        <v>0</v>
      </c>
      <c r="AL209" s="3">
        <f t="shared" si="132"/>
        <v>6</v>
      </c>
      <c r="AM209" s="33"/>
      <c r="AN209" s="3">
        <f t="shared" si="133"/>
        <v>0</v>
      </c>
      <c r="AO209" s="3">
        <f t="shared" si="134"/>
        <v>0</v>
      </c>
      <c r="AP209" s="3">
        <f t="shared" si="135"/>
        <v>0</v>
      </c>
      <c r="AQ209" s="3">
        <f t="shared" si="136"/>
        <v>0</v>
      </c>
      <c r="AR209" s="3">
        <f t="shared" si="137"/>
        <v>0</v>
      </c>
      <c r="AS209" s="28" t="e">
        <f>#REF!</f>
        <v>#REF!</v>
      </c>
      <c r="AT209" s="28" t="e">
        <f>#REF!*2</f>
        <v>#REF!</v>
      </c>
      <c r="AU209" s="28" t="e">
        <f>#REF!</f>
        <v>#REF!</v>
      </c>
      <c r="AV209" s="28" t="e">
        <f>#REF!*2</f>
        <v>#REF!</v>
      </c>
      <c r="AW209" s="28" t="e">
        <f>#REF!</f>
        <v>#REF!</v>
      </c>
      <c r="AX209" s="28" t="e">
        <f>#REF!*2</f>
        <v>#REF!</v>
      </c>
      <c r="AY209" s="28" t="e">
        <f>#REF!</f>
        <v>#REF!</v>
      </c>
      <c r="AZ209" s="28" t="e">
        <f>#REF!*2</f>
        <v>#REF!</v>
      </c>
      <c r="BA209" s="28" t="e">
        <f>#REF!</f>
        <v>#REF!</v>
      </c>
      <c r="BB209" s="28" t="e">
        <f>#REF!*2</f>
        <v>#REF!</v>
      </c>
      <c r="BC209" s="28" t="e">
        <f>#REF!</f>
        <v>#REF!</v>
      </c>
      <c r="BD209" s="28" t="e">
        <f>#REF!*2</f>
        <v>#REF!</v>
      </c>
      <c r="BE209" s="9" t="e">
        <f>#REF!-#REF!</f>
        <v>#REF!</v>
      </c>
      <c r="BF209" s="9" t="e">
        <f>#REF!-#REF!</f>
        <v>#REF!</v>
      </c>
      <c r="BG209" s="9" t="e">
        <f>#REF!-#REF!</f>
        <v>#REF!</v>
      </c>
      <c r="BH209" s="9" t="e">
        <f>#REF!-#REF!</f>
        <v>#REF!</v>
      </c>
      <c r="BI209" s="9" t="e">
        <f>#REF!-#REF!</f>
        <v>#REF!</v>
      </c>
      <c r="BJ209" s="33"/>
      <c r="BK209" s="3">
        <f t="shared" si="138"/>
        <v>0</v>
      </c>
      <c r="BL209" s="3">
        <f t="shared" si="139"/>
        <v>0</v>
      </c>
      <c r="BM209" s="3">
        <f t="shared" si="140"/>
        <v>0</v>
      </c>
      <c r="BN209" s="3">
        <f t="shared" si="141"/>
        <v>0</v>
      </c>
      <c r="BO209" s="3">
        <f t="shared" si="142"/>
        <v>0</v>
      </c>
      <c r="BP209" s="28" t="e">
        <f>#REF!</f>
        <v>#REF!</v>
      </c>
      <c r="BQ209" s="28" t="e">
        <f>#REF!*2</f>
        <v>#REF!</v>
      </c>
      <c r="BR209" s="28" t="e">
        <f>#REF!</f>
        <v>#REF!</v>
      </c>
      <c r="BS209" s="28" t="e">
        <f>#REF!*2</f>
        <v>#REF!</v>
      </c>
      <c r="BT209" s="28" t="e">
        <f>#REF!</f>
        <v>#REF!</v>
      </c>
      <c r="BU209" s="28" t="e">
        <f>#REF!*2</f>
        <v>#REF!</v>
      </c>
      <c r="BV209" s="28" t="e">
        <f>#REF!</f>
        <v>#REF!</v>
      </c>
      <c r="BW209" s="28" t="e">
        <f>#REF!*2</f>
        <v>#REF!</v>
      </c>
      <c r="BX209" s="28" t="e">
        <f>#REF!</f>
        <v>#REF!</v>
      </c>
      <c r="BY209" s="28" t="e">
        <f>#REF!*2</f>
        <v>#REF!</v>
      </c>
      <c r="BZ209" s="28" t="e">
        <f>#REF!</f>
        <v>#REF!</v>
      </c>
      <c r="CA209" s="28" t="e">
        <f>#REF!*2</f>
        <v>#REF!</v>
      </c>
      <c r="CB209" s="9">
        <f t="shared" si="143"/>
        <v>0</v>
      </c>
      <c r="CC209" s="9">
        <f t="shared" si="144"/>
        <v>0</v>
      </c>
      <c r="CD209" s="9">
        <f t="shared" si="145"/>
        <v>0</v>
      </c>
      <c r="CE209" s="9">
        <f t="shared" si="146"/>
        <v>0</v>
      </c>
      <c r="CF209" s="9">
        <f t="shared" si="147"/>
        <v>0</v>
      </c>
      <c r="CG209" s="33"/>
      <c r="CH209" s="9">
        <f t="shared" si="148"/>
        <v>0</v>
      </c>
      <c r="CI209" s="9">
        <f t="shared" si="149"/>
        <v>0</v>
      </c>
      <c r="CJ209" s="9">
        <f t="shared" si="150"/>
        <v>0</v>
      </c>
      <c r="CK209" s="9">
        <f t="shared" si="151"/>
        <v>0</v>
      </c>
      <c r="CL209" s="9">
        <f t="shared" si="152"/>
        <v>0</v>
      </c>
      <c r="CM209" s="32"/>
      <c r="CN209" s="3">
        <f t="shared" si="153"/>
        <v>0</v>
      </c>
      <c r="CO209" s="3">
        <f t="shared" si="154"/>
        <v>0</v>
      </c>
      <c r="CP209" s="3">
        <f t="shared" si="155"/>
        <v>0</v>
      </c>
      <c r="CQ209" s="3">
        <f t="shared" si="156"/>
        <v>0</v>
      </c>
      <c r="CR209" s="3">
        <f t="shared" si="157"/>
        <v>0</v>
      </c>
      <c r="CS209" s="31"/>
      <c r="CT209" s="3" cm="1">
        <f t="array" ref="CT209">SUMPRODUCT(--(MOD(CH209:CL209,2)=1))</f>
        <v>0</v>
      </c>
      <c r="CU209" s="3">
        <f t="shared" si="158"/>
        <v>5</v>
      </c>
      <c r="CV209" s="30"/>
      <c r="CW209" s="3" cm="1">
        <f t="array" ref="CW209">SUMPRODUCT(--(MOD(CH209:CL209,10)&gt;=1), --(MOD(CH209:CL209,10)&lt;=5))</f>
        <v>0</v>
      </c>
      <c r="CX209" s="3">
        <f t="shared" si="159"/>
        <v>5</v>
      </c>
      <c r="CY209" s="30"/>
      <c r="CZ209" s="3" cm="1">
        <f t="array" ref="CZ209">IFERROR(COUNT(_xlfn._xlws.FILTER(CH209:CL209, ISNUMBER(MATCH(CH209:CL209, {2,3,5,7,11,13,17,19,23,29,31,37,41,43}, 0)))), 0)</f>
        <v>0</v>
      </c>
      <c r="DA209" s="3" cm="1">
        <f t="array" ref="DA209">IFERROR(COUNT(_xlfn._xlws.FILTER(CH209:CL209, ISNUMBER(MATCH(CH209:CL209, {1,4,8,10,14,16,20,22,25,26,28,32,34,35,38,40,44}, 0)))), 0)</f>
        <v>0</v>
      </c>
      <c r="DB209" s="3" cm="1">
        <f t="array" ref="DB209">IFERROR(COUNT(_xlfn._xlws.FILTER(CH209:CL209, ISNUMBER(MATCH(CH209:CL209, {6,9,12,15,18,21,24,27,30,33,36,39,42,45}, 0)))), 0)</f>
        <v>0</v>
      </c>
      <c r="DC209" s="29"/>
      <c r="DD209" s="28" t="e">
        <f>#REF!</f>
        <v>#REF!</v>
      </c>
      <c r="DE209" s="28" t="e">
        <f>#REF!*2</f>
        <v>#REF!</v>
      </c>
      <c r="DF209" s="28" t="e">
        <f>#REF!</f>
        <v>#REF!</v>
      </c>
      <c r="DG209" s="28" t="e">
        <f>#REF!*2</f>
        <v>#REF!</v>
      </c>
      <c r="DH209" s="28" t="e">
        <f>#REF!</f>
        <v>#REF!</v>
      </c>
      <c r="DI209" s="28" t="e">
        <f>#REF!*2</f>
        <v>#REF!</v>
      </c>
      <c r="DJ209" s="28" t="e">
        <f>#REF!</f>
        <v>#REF!</v>
      </c>
      <c r="DK209" s="28" t="e">
        <f>#REF!*2</f>
        <v>#REF!</v>
      </c>
      <c r="DL209" s="28" t="e">
        <f>#REF!</f>
        <v>#REF!</v>
      </c>
      <c r="DM209" s="28" t="e">
        <f>#REF!*2</f>
        <v>#REF!</v>
      </c>
      <c r="DN209" s="27"/>
      <c r="DO209" s="26"/>
      <c r="DP209" s="26"/>
      <c r="DQ209" s="26"/>
      <c r="DR209" s="26"/>
      <c r="DS209" s="26"/>
      <c r="DT209" s="25"/>
    </row>
    <row r="210" spans="2:124" x14ac:dyDescent="0.3"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2"/>
      <c r="I210" s="3">
        <f t="shared" si="120"/>
        <v>0</v>
      </c>
      <c r="J210" s="3">
        <f t="shared" si="121"/>
        <v>0</v>
      </c>
      <c r="K210" s="3">
        <f t="shared" si="122"/>
        <v>0</v>
      </c>
      <c r="L210" s="3">
        <f t="shared" si="123"/>
        <v>0</v>
      </c>
      <c r="M210" s="3">
        <f t="shared" si="124"/>
        <v>0</v>
      </c>
      <c r="N210" s="3">
        <f t="shared" si="125"/>
        <v>0</v>
      </c>
      <c r="O210" s="32"/>
      <c r="P210" s="3" cm="1">
        <f t="array" ref="P210">SUMPRODUCT(--(MOD(B210:G210,2)=1))</f>
        <v>0</v>
      </c>
      <c r="Q210" s="3">
        <f t="shared" si="126"/>
        <v>6</v>
      </c>
      <c r="R210" s="34"/>
      <c r="S210" s="3">
        <f t="shared" si="127"/>
        <v>0</v>
      </c>
      <c r="T210" s="3">
        <f t="shared" si="128"/>
        <v>6</v>
      </c>
      <c r="U210" s="34"/>
      <c r="V210" s="3" cm="1">
        <f t="array" ref="V210">SUMPRODUCT(--(MOD(B210:G210,10)&gt;=1), --(MOD(B210:G210,10)&lt;=5))</f>
        <v>0</v>
      </c>
      <c r="W210" s="3">
        <f t="shared" si="129"/>
        <v>6</v>
      </c>
      <c r="X210" s="34"/>
      <c r="Y210" s="3" cm="1">
        <f t="array" ref="Y210">IFERROR(COUNT(_xlfn._xlws.FILTER(B210:G210, ISNUMBER(MATCH(B210:G210, {2,3,5,7,11,13,17,19,23,29,31,37,41,43}, 0)))), 0)</f>
        <v>0</v>
      </c>
      <c r="Z210" s="3" cm="1">
        <f t="array" ref="Z210">IFERROR(COUNT(_xlfn._xlws.FILTER(B210:G210, ISNUMBER(MATCH(B210:G210, {1,4,8,10,14,16,20,22,25,26,28,32,34,35,38,40,44}, 0)))), 0)</f>
        <v>0</v>
      </c>
      <c r="AA210" s="3" cm="1">
        <f t="array" ref="AA210">IFERROR(COUNT(_xlfn._xlws.FILTER(B210:G210, ISNUMBER(MATCH(B210:G210, {6,9,12,15,18,21,24,27,30,33,36,39,42,45}, 0)))), 0)</f>
        <v>0</v>
      </c>
      <c r="AB210" s="30"/>
      <c r="AC210" s="26" cm="1">
        <f t="array" ref="AC210">_xlfn.IFS(
   OR(B210="",ISBLANK(B210),B210=0),0,
   ISNUMBER(MATCH(B210,{2,3,5,7,11,13,17,19,23,29,31,37,41,43},0)),"소",
   AND(ISNUMBER(B210),MOD(B210,3)=0),"배",
   AND(ISNUMBER(B210),B210&gt;0),"자"
)</f>
        <v>0</v>
      </c>
      <c r="AD210" s="26" cm="1">
        <f t="array" ref="AD210">_xlfn.IFS(
   OR(C210="",ISBLANK(C210),C210=0),0,
   ISNUMBER(MATCH(C210,{2,3,5,7,11,13,17,19,23,29,31,37,41,43},0)),"소",
   AND(ISNUMBER(C210),MOD(C210,3)=0),"배",
   AND(ISNUMBER(C210),C210&gt;0),"자"
)</f>
        <v>0</v>
      </c>
      <c r="AE210" s="26" cm="1">
        <f t="array" ref="AE210">_xlfn.IFS(
   OR(D210="",ISBLANK(D210),D210=0),0,
   ISNUMBER(MATCH(D210,{2,3,5,7,11,13,17,19,23,29,31,37,41,43},0)),"소",
   AND(ISNUMBER(D210),MOD(D210,3)=0),"배",
   AND(ISNUMBER(D210),D210&gt;0),"자"
)</f>
        <v>0</v>
      </c>
      <c r="AF210" s="26" cm="1">
        <f t="array" ref="AF210">_xlfn.IFS(
   OR(E210="",ISBLANK(E210),E210=0),0,
   ISNUMBER(MATCH(E210,{2,3,5,7,11,13,17,19,23,29,31,37,41,43},0)),"소",
   AND(ISNUMBER(E210),MOD(E210,3)=0),"배",
   AND(ISNUMBER(E210),E210&gt;0),"자"
)</f>
        <v>0</v>
      </c>
      <c r="AG210" s="26" cm="1">
        <f t="array" ref="AG210">_xlfn.IFS(
   OR(F210="",ISBLANK(F210),F210=0),0,
   ISNUMBER(MATCH(F210,{2,3,5,7,11,13,17,19,23,29,31,37,41,43},0)),"소",
   AND(ISNUMBER(F210),MOD(F210,3)=0),"배",
   AND(ISNUMBER(F210),F210&gt;0),"자"
)</f>
        <v>0</v>
      </c>
      <c r="AH210" s="26" cm="1">
        <f t="array" ref="AH210">_xlfn.IFS(
   OR(G210="",ISBLANK(G210),G210=0),0,
   ISNUMBER(MATCH(G210,{2,3,5,7,11,13,17,19,23,29,31,37,41,43},0)),"소",
   AND(ISNUMBER(G210),MOD(G210,3)=0),"배",
   AND(ISNUMBER(G210),G210&gt;0),"자"
)</f>
        <v>0</v>
      </c>
      <c r="AI210" s="30"/>
      <c r="AJ210" s="3">
        <f t="shared" si="130"/>
        <v>0</v>
      </c>
      <c r="AK210" s="3">
        <f t="shared" si="131"/>
        <v>0</v>
      </c>
      <c r="AL210" s="3">
        <f t="shared" si="132"/>
        <v>6</v>
      </c>
      <c r="AM210" s="33"/>
      <c r="AN210" s="3">
        <f t="shared" si="133"/>
        <v>0</v>
      </c>
      <c r="AO210" s="3">
        <f t="shared" si="134"/>
        <v>0</v>
      </c>
      <c r="AP210" s="3">
        <f t="shared" si="135"/>
        <v>0</v>
      </c>
      <c r="AQ210" s="3">
        <f t="shared" si="136"/>
        <v>0</v>
      </c>
      <c r="AR210" s="3">
        <f t="shared" si="137"/>
        <v>0</v>
      </c>
      <c r="AS210" s="28" t="e">
        <f>#REF!</f>
        <v>#REF!</v>
      </c>
      <c r="AT210" s="28" t="e">
        <f>#REF!*2</f>
        <v>#REF!</v>
      </c>
      <c r="AU210" s="28" t="e">
        <f>#REF!</f>
        <v>#REF!</v>
      </c>
      <c r="AV210" s="28" t="e">
        <f>#REF!*2</f>
        <v>#REF!</v>
      </c>
      <c r="AW210" s="28" t="e">
        <f>#REF!</f>
        <v>#REF!</v>
      </c>
      <c r="AX210" s="28" t="e">
        <f>#REF!*2</f>
        <v>#REF!</v>
      </c>
      <c r="AY210" s="28" t="e">
        <f>#REF!</f>
        <v>#REF!</v>
      </c>
      <c r="AZ210" s="28" t="e">
        <f>#REF!*2</f>
        <v>#REF!</v>
      </c>
      <c r="BA210" s="28" t="e">
        <f>#REF!</f>
        <v>#REF!</v>
      </c>
      <c r="BB210" s="28" t="e">
        <f>#REF!*2</f>
        <v>#REF!</v>
      </c>
      <c r="BC210" s="28" t="e">
        <f>#REF!</f>
        <v>#REF!</v>
      </c>
      <c r="BD210" s="28" t="e">
        <f>#REF!*2</f>
        <v>#REF!</v>
      </c>
      <c r="BE210" s="9" t="e">
        <f>#REF!-#REF!</f>
        <v>#REF!</v>
      </c>
      <c r="BF210" s="9" t="e">
        <f>#REF!-#REF!</f>
        <v>#REF!</v>
      </c>
      <c r="BG210" s="9" t="e">
        <f>#REF!-#REF!</f>
        <v>#REF!</v>
      </c>
      <c r="BH210" s="9" t="e">
        <f>#REF!-#REF!</f>
        <v>#REF!</v>
      </c>
      <c r="BI210" s="9" t="e">
        <f>#REF!-#REF!</f>
        <v>#REF!</v>
      </c>
      <c r="BJ210" s="33"/>
      <c r="BK210" s="3">
        <f t="shared" si="138"/>
        <v>0</v>
      </c>
      <c r="BL210" s="3">
        <f t="shared" si="139"/>
        <v>0</v>
      </c>
      <c r="BM210" s="3">
        <f t="shared" si="140"/>
        <v>0</v>
      </c>
      <c r="BN210" s="3">
        <f t="shared" si="141"/>
        <v>0</v>
      </c>
      <c r="BO210" s="3">
        <f t="shared" si="142"/>
        <v>0</v>
      </c>
      <c r="BP210" s="28" t="e">
        <f>#REF!</f>
        <v>#REF!</v>
      </c>
      <c r="BQ210" s="28" t="e">
        <f>#REF!*2</f>
        <v>#REF!</v>
      </c>
      <c r="BR210" s="28" t="e">
        <f>#REF!</f>
        <v>#REF!</v>
      </c>
      <c r="BS210" s="28" t="e">
        <f>#REF!*2</f>
        <v>#REF!</v>
      </c>
      <c r="BT210" s="28" t="e">
        <f>#REF!</f>
        <v>#REF!</v>
      </c>
      <c r="BU210" s="28" t="e">
        <f>#REF!*2</f>
        <v>#REF!</v>
      </c>
      <c r="BV210" s="28" t="e">
        <f>#REF!</f>
        <v>#REF!</v>
      </c>
      <c r="BW210" s="28" t="e">
        <f>#REF!*2</f>
        <v>#REF!</v>
      </c>
      <c r="BX210" s="28" t="e">
        <f>#REF!</f>
        <v>#REF!</v>
      </c>
      <c r="BY210" s="28" t="e">
        <f>#REF!*2</f>
        <v>#REF!</v>
      </c>
      <c r="BZ210" s="28" t="e">
        <f>#REF!</f>
        <v>#REF!</v>
      </c>
      <c r="CA210" s="28" t="e">
        <f>#REF!*2</f>
        <v>#REF!</v>
      </c>
      <c r="CB210" s="9">
        <f t="shared" si="143"/>
        <v>0</v>
      </c>
      <c r="CC210" s="9">
        <f t="shared" si="144"/>
        <v>0</v>
      </c>
      <c r="CD210" s="9">
        <f t="shared" si="145"/>
        <v>0</v>
      </c>
      <c r="CE210" s="9">
        <f t="shared" si="146"/>
        <v>0</v>
      </c>
      <c r="CF210" s="9">
        <f t="shared" si="147"/>
        <v>0</v>
      </c>
      <c r="CG210" s="33"/>
      <c r="CH210" s="9">
        <f t="shared" si="148"/>
        <v>0</v>
      </c>
      <c r="CI210" s="9">
        <f t="shared" si="149"/>
        <v>0</v>
      </c>
      <c r="CJ210" s="9">
        <f t="shared" si="150"/>
        <v>0</v>
      </c>
      <c r="CK210" s="9">
        <f t="shared" si="151"/>
        <v>0</v>
      </c>
      <c r="CL210" s="9">
        <f t="shared" si="152"/>
        <v>0</v>
      </c>
      <c r="CM210" s="32"/>
      <c r="CN210" s="3">
        <f t="shared" si="153"/>
        <v>0</v>
      </c>
      <c r="CO210" s="3">
        <f t="shared" si="154"/>
        <v>0</v>
      </c>
      <c r="CP210" s="3">
        <f t="shared" si="155"/>
        <v>0</v>
      </c>
      <c r="CQ210" s="3">
        <f t="shared" si="156"/>
        <v>0</v>
      </c>
      <c r="CR210" s="3">
        <f t="shared" si="157"/>
        <v>0</v>
      </c>
      <c r="CS210" s="31"/>
      <c r="CT210" s="3" cm="1">
        <f t="array" ref="CT210">SUMPRODUCT(--(MOD(CH210:CL210,2)=1))</f>
        <v>0</v>
      </c>
      <c r="CU210" s="3">
        <f t="shared" si="158"/>
        <v>5</v>
      </c>
      <c r="CV210" s="30"/>
      <c r="CW210" s="3" cm="1">
        <f t="array" ref="CW210">SUMPRODUCT(--(MOD(CH210:CL210,10)&gt;=1), --(MOD(CH210:CL210,10)&lt;=5))</f>
        <v>0</v>
      </c>
      <c r="CX210" s="3">
        <f t="shared" si="159"/>
        <v>5</v>
      </c>
      <c r="CY210" s="30"/>
      <c r="CZ210" s="3" cm="1">
        <f t="array" ref="CZ210">IFERROR(COUNT(_xlfn._xlws.FILTER(CH210:CL210, ISNUMBER(MATCH(CH210:CL210, {2,3,5,7,11,13,17,19,23,29,31,37,41,43}, 0)))), 0)</f>
        <v>0</v>
      </c>
      <c r="DA210" s="3" cm="1">
        <f t="array" ref="DA210">IFERROR(COUNT(_xlfn._xlws.FILTER(CH210:CL210, ISNUMBER(MATCH(CH210:CL210, {1,4,8,10,14,16,20,22,25,26,28,32,34,35,38,40,44}, 0)))), 0)</f>
        <v>0</v>
      </c>
      <c r="DB210" s="3" cm="1">
        <f t="array" ref="DB210">IFERROR(COUNT(_xlfn._xlws.FILTER(CH210:CL210, ISNUMBER(MATCH(CH210:CL210, {6,9,12,15,18,21,24,27,30,33,36,39,42,45}, 0)))), 0)</f>
        <v>0</v>
      </c>
      <c r="DC210" s="29"/>
      <c r="DD210" s="28" t="e">
        <f>#REF!</f>
        <v>#REF!</v>
      </c>
      <c r="DE210" s="28" t="e">
        <f>#REF!*2</f>
        <v>#REF!</v>
      </c>
      <c r="DF210" s="28" t="e">
        <f>#REF!</f>
        <v>#REF!</v>
      </c>
      <c r="DG210" s="28" t="e">
        <f>#REF!*2</f>
        <v>#REF!</v>
      </c>
      <c r="DH210" s="28" t="e">
        <f>#REF!</f>
        <v>#REF!</v>
      </c>
      <c r="DI210" s="28" t="e">
        <f>#REF!*2</f>
        <v>#REF!</v>
      </c>
      <c r="DJ210" s="28" t="e">
        <f>#REF!</f>
        <v>#REF!</v>
      </c>
      <c r="DK210" s="28" t="e">
        <f>#REF!*2</f>
        <v>#REF!</v>
      </c>
      <c r="DL210" s="28" t="e">
        <f>#REF!</f>
        <v>#REF!</v>
      </c>
      <c r="DM210" s="28" t="e">
        <f>#REF!*2</f>
        <v>#REF!</v>
      </c>
      <c r="DN210" s="27"/>
      <c r="DO210" s="26"/>
      <c r="DP210" s="26"/>
      <c r="DQ210" s="26"/>
      <c r="DR210" s="26"/>
      <c r="DS210" s="26"/>
      <c r="DT210" s="25"/>
    </row>
    <row r="211" spans="2:124" x14ac:dyDescent="0.3"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2"/>
      <c r="I211" s="3">
        <f t="shared" si="120"/>
        <v>0</v>
      </c>
      <c r="J211" s="3">
        <f t="shared" si="121"/>
        <v>0</v>
      </c>
      <c r="K211" s="3">
        <f t="shared" si="122"/>
        <v>0</v>
      </c>
      <c r="L211" s="3">
        <f t="shared" si="123"/>
        <v>0</v>
      </c>
      <c r="M211" s="3">
        <f t="shared" si="124"/>
        <v>0</v>
      </c>
      <c r="N211" s="3">
        <f t="shared" si="125"/>
        <v>0</v>
      </c>
      <c r="O211" s="32"/>
      <c r="P211" s="3" cm="1">
        <f t="array" ref="P211">SUMPRODUCT(--(MOD(B211:G211,2)=1))</f>
        <v>0</v>
      </c>
      <c r="Q211" s="3">
        <f t="shared" si="126"/>
        <v>6</v>
      </c>
      <c r="R211" s="34"/>
      <c r="S211" s="3">
        <f t="shared" si="127"/>
        <v>0</v>
      </c>
      <c r="T211" s="3">
        <f t="shared" si="128"/>
        <v>6</v>
      </c>
      <c r="U211" s="34"/>
      <c r="V211" s="3" cm="1">
        <f t="array" ref="V211">SUMPRODUCT(--(MOD(B211:G211,10)&gt;=1), --(MOD(B211:G211,10)&lt;=5))</f>
        <v>0</v>
      </c>
      <c r="W211" s="3">
        <f t="shared" si="129"/>
        <v>6</v>
      </c>
      <c r="X211" s="34"/>
      <c r="Y211" s="3" cm="1">
        <f t="array" ref="Y211">IFERROR(COUNT(_xlfn._xlws.FILTER(B211:G211, ISNUMBER(MATCH(B211:G211, {2,3,5,7,11,13,17,19,23,29,31,37,41,43}, 0)))), 0)</f>
        <v>0</v>
      </c>
      <c r="Z211" s="3" cm="1">
        <f t="array" ref="Z211">IFERROR(COUNT(_xlfn._xlws.FILTER(B211:G211, ISNUMBER(MATCH(B211:G211, {1,4,8,10,14,16,20,22,25,26,28,32,34,35,38,40,44}, 0)))), 0)</f>
        <v>0</v>
      </c>
      <c r="AA211" s="3" cm="1">
        <f t="array" ref="AA211">IFERROR(COUNT(_xlfn._xlws.FILTER(B211:G211, ISNUMBER(MATCH(B211:G211, {6,9,12,15,18,21,24,27,30,33,36,39,42,45}, 0)))), 0)</f>
        <v>0</v>
      </c>
      <c r="AB211" s="30"/>
      <c r="AC211" s="26" cm="1">
        <f t="array" ref="AC211">_xlfn.IFS(
   OR(B211="",ISBLANK(B211),B211=0),0,
   ISNUMBER(MATCH(B211,{2,3,5,7,11,13,17,19,23,29,31,37,41,43},0)),"소",
   AND(ISNUMBER(B211),MOD(B211,3)=0),"배",
   AND(ISNUMBER(B211),B211&gt;0),"자"
)</f>
        <v>0</v>
      </c>
      <c r="AD211" s="26" cm="1">
        <f t="array" ref="AD211">_xlfn.IFS(
   OR(C211="",ISBLANK(C211),C211=0),0,
   ISNUMBER(MATCH(C211,{2,3,5,7,11,13,17,19,23,29,31,37,41,43},0)),"소",
   AND(ISNUMBER(C211),MOD(C211,3)=0),"배",
   AND(ISNUMBER(C211),C211&gt;0),"자"
)</f>
        <v>0</v>
      </c>
      <c r="AE211" s="26" cm="1">
        <f t="array" ref="AE211">_xlfn.IFS(
   OR(D211="",ISBLANK(D211),D211=0),0,
   ISNUMBER(MATCH(D211,{2,3,5,7,11,13,17,19,23,29,31,37,41,43},0)),"소",
   AND(ISNUMBER(D211),MOD(D211,3)=0),"배",
   AND(ISNUMBER(D211),D211&gt;0),"자"
)</f>
        <v>0</v>
      </c>
      <c r="AF211" s="26" cm="1">
        <f t="array" ref="AF211">_xlfn.IFS(
   OR(E211="",ISBLANK(E211),E211=0),0,
   ISNUMBER(MATCH(E211,{2,3,5,7,11,13,17,19,23,29,31,37,41,43},0)),"소",
   AND(ISNUMBER(E211),MOD(E211,3)=0),"배",
   AND(ISNUMBER(E211),E211&gt;0),"자"
)</f>
        <v>0</v>
      </c>
      <c r="AG211" s="26" cm="1">
        <f t="array" ref="AG211">_xlfn.IFS(
   OR(F211="",ISBLANK(F211),F211=0),0,
   ISNUMBER(MATCH(F211,{2,3,5,7,11,13,17,19,23,29,31,37,41,43},0)),"소",
   AND(ISNUMBER(F211),MOD(F211,3)=0),"배",
   AND(ISNUMBER(F211),F211&gt;0),"자"
)</f>
        <v>0</v>
      </c>
      <c r="AH211" s="26" cm="1">
        <f t="array" ref="AH211">_xlfn.IFS(
   OR(G211="",ISBLANK(G211),G211=0),0,
   ISNUMBER(MATCH(G211,{2,3,5,7,11,13,17,19,23,29,31,37,41,43},0)),"소",
   AND(ISNUMBER(G211),MOD(G211,3)=0),"배",
   AND(ISNUMBER(G211),G211&gt;0),"자"
)</f>
        <v>0</v>
      </c>
      <c r="AI211" s="30"/>
      <c r="AJ211" s="3">
        <f t="shared" si="130"/>
        <v>0</v>
      </c>
      <c r="AK211" s="3">
        <f t="shared" si="131"/>
        <v>0</v>
      </c>
      <c r="AL211" s="3">
        <f t="shared" si="132"/>
        <v>6</v>
      </c>
      <c r="AM211" s="33"/>
      <c r="AN211" s="3">
        <f t="shared" si="133"/>
        <v>0</v>
      </c>
      <c r="AO211" s="3">
        <f t="shared" si="134"/>
        <v>0</v>
      </c>
      <c r="AP211" s="3">
        <f t="shared" si="135"/>
        <v>0</v>
      </c>
      <c r="AQ211" s="3">
        <f t="shared" si="136"/>
        <v>0</v>
      </c>
      <c r="AR211" s="3">
        <f t="shared" si="137"/>
        <v>0</v>
      </c>
      <c r="AS211" s="28" t="e">
        <f>#REF!</f>
        <v>#REF!</v>
      </c>
      <c r="AT211" s="28" t="e">
        <f>#REF!*2</f>
        <v>#REF!</v>
      </c>
      <c r="AU211" s="28" t="e">
        <f>#REF!</f>
        <v>#REF!</v>
      </c>
      <c r="AV211" s="28" t="e">
        <f>#REF!*2</f>
        <v>#REF!</v>
      </c>
      <c r="AW211" s="28" t="e">
        <f>#REF!</f>
        <v>#REF!</v>
      </c>
      <c r="AX211" s="28" t="e">
        <f>#REF!*2</f>
        <v>#REF!</v>
      </c>
      <c r="AY211" s="28" t="e">
        <f>#REF!</f>
        <v>#REF!</v>
      </c>
      <c r="AZ211" s="28" t="e">
        <f>#REF!*2</f>
        <v>#REF!</v>
      </c>
      <c r="BA211" s="28" t="e">
        <f>#REF!</f>
        <v>#REF!</v>
      </c>
      <c r="BB211" s="28" t="e">
        <f>#REF!*2</f>
        <v>#REF!</v>
      </c>
      <c r="BC211" s="28" t="e">
        <f>#REF!</f>
        <v>#REF!</v>
      </c>
      <c r="BD211" s="28" t="e">
        <f>#REF!*2</f>
        <v>#REF!</v>
      </c>
      <c r="BE211" s="9" t="e">
        <f>#REF!-#REF!</f>
        <v>#REF!</v>
      </c>
      <c r="BF211" s="9" t="e">
        <f>#REF!-#REF!</f>
        <v>#REF!</v>
      </c>
      <c r="BG211" s="9" t="e">
        <f>#REF!-#REF!</f>
        <v>#REF!</v>
      </c>
      <c r="BH211" s="9" t="e">
        <f>#REF!-#REF!</f>
        <v>#REF!</v>
      </c>
      <c r="BI211" s="9" t="e">
        <f>#REF!-#REF!</f>
        <v>#REF!</v>
      </c>
      <c r="BJ211" s="33"/>
      <c r="BK211" s="3">
        <f t="shared" si="138"/>
        <v>0</v>
      </c>
      <c r="BL211" s="3">
        <f t="shared" si="139"/>
        <v>0</v>
      </c>
      <c r="BM211" s="3">
        <f t="shared" si="140"/>
        <v>0</v>
      </c>
      <c r="BN211" s="3">
        <f t="shared" si="141"/>
        <v>0</v>
      </c>
      <c r="BO211" s="3">
        <f t="shared" si="142"/>
        <v>0</v>
      </c>
      <c r="BP211" s="28" t="e">
        <f>#REF!</f>
        <v>#REF!</v>
      </c>
      <c r="BQ211" s="28" t="e">
        <f>#REF!*2</f>
        <v>#REF!</v>
      </c>
      <c r="BR211" s="28" t="e">
        <f>#REF!</f>
        <v>#REF!</v>
      </c>
      <c r="BS211" s="28" t="e">
        <f>#REF!*2</f>
        <v>#REF!</v>
      </c>
      <c r="BT211" s="28" t="e">
        <f>#REF!</f>
        <v>#REF!</v>
      </c>
      <c r="BU211" s="28" t="e">
        <f>#REF!*2</f>
        <v>#REF!</v>
      </c>
      <c r="BV211" s="28" t="e">
        <f>#REF!</f>
        <v>#REF!</v>
      </c>
      <c r="BW211" s="28" t="e">
        <f>#REF!*2</f>
        <v>#REF!</v>
      </c>
      <c r="BX211" s="28" t="e">
        <f>#REF!</f>
        <v>#REF!</v>
      </c>
      <c r="BY211" s="28" t="e">
        <f>#REF!*2</f>
        <v>#REF!</v>
      </c>
      <c r="BZ211" s="28" t="e">
        <f>#REF!</f>
        <v>#REF!</v>
      </c>
      <c r="CA211" s="28" t="e">
        <f>#REF!*2</f>
        <v>#REF!</v>
      </c>
      <c r="CB211" s="9">
        <f t="shared" si="143"/>
        <v>0</v>
      </c>
      <c r="CC211" s="9">
        <f t="shared" si="144"/>
        <v>0</v>
      </c>
      <c r="CD211" s="9">
        <f t="shared" si="145"/>
        <v>0</v>
      </c>
      <c r="CE211" s="9">
        <f t="shared" si="146"/>
        <v>0</v>
      </c>
      <c r="CF211" s="9">
        <f t="shared" si="147"/>
        <v>0</v>
      </c>
      <c r="CG211" s="33"/>
      <c r="CH211" s="9">
        <f t="shared" si="148"/>
        <v>0</v>
      </c>
      <c r="CI211" s="9">
        <f t="shared" si="149"/>
        <v>0</v>
      </c>
      <c r="CJ211" s="9">
        <f t="shared" si="150"/>
        <v>0</v>
      </c>
      <c r="CK211" s="9">
        <f t="shared" si="151"/>
        <v>0</v>
      </c>
      <c r="CL211" s="9">
        <f t="shared" si="152"/>
        <v>0</v>
      </c>
      <c r="CM211" s="32"/>
      <c r="CN211" s="3">
        <f t="shared" si="153"/>
        <v>0</v>
      </c>
      <c r="CO211" s="3">
        <f t="shared" si="154"/>
        <v>0</v>
      </c>
      <c r="CP211" s="3">
        <f t="shared" si="155"/>
        <v>0</v>
      </c>
      <c r="CQ211" s="3">
        <f t="shared" si="156"/>
        <v>0</v>
      </c>
      <c r="CR211" s="3">
        <f t="shared" si="157"/>
        <v>0</v>
      </c>
      <c r="CS211" s="31"/>
      <c r="CT211" s="3" cm="1">
        <f t="array" ref="CT211">SUMPRODUCT(--(MOD(CH211:CL211,2)=1))</f>
        <v>0</v>
      </c>
      <c r="CU211" s="3">
        <f t="shared" si="158"/>
        <v>5</v>
      </c>
      <c r="CV211" s="30"/>
      <c r="CW211" s="3" cm="1">
        <f t="array" ref="CW211">SUMPRODUCT(--(MOD(CH211:CL211,10)&gt;=1), --(MOD(CH211:CL211,10)&lt;=5))</f>
        <v>0</v>
      </c>
      <c r="CX211" s="3">
        <f t="shared" si="159"/>
        <v>5</v>
      </c>
      <c r="CY211" s="30"/>
      <c r="CZ211" s="3" cm="1">
        <f t="array" ref="CZ211">IFERROR(COUNT(_xlfn._xlws.FILTER(CH211:CL211, ISNUMBER(MATCH(CH211:CL211, {2,3,5,7,11,13,17,19,23,29,31,37,41,43}, 0)))), 0)</f>
        <v>0</v>
      </c>
      <c r="DA211" s="3" cm="1">
        <f t="array" ref="DA211">IFERROR(COUNT(_xlfn._xlws.FILTER(CH211:CL211, ISNUMBER(MATCH(CH211:CL211, {1,4,8,10,14,16,20,22,25,26,28,32,34,35,38,40,44}, 0)))), 0)</f>
        <v>0</v>
      </c>
      <c r="DB211" s="3" cm="1">
        <f t="array" ref="DB211">IFERROR(COUNT(_xlfn._xlws.FILTER(CH211:CL211, ISNUMBER(MATCH(CH211:CL211, {6,9,12,15,18,21,24,27,30,33,36,39,42,45}, 0)))), 0)</f>
        <v>0</v>
      </c>
      <c r="DC211" s="29"/>
      <c r="DD211" s="28" t="e">
        <f>#REF!</f>
        <v>#REF!</v>
      </c>
      <c r="DE211" s="28" t="e">
        <f>#REF!*2</f>
        <v>#REF!</v>
      </c>
      <c r="DF211" s="28" t="e">
        <f>#REF!</f>
        <v>#REF!</v>
      </c>
      <c r="DG211" s="28" t="e">
        <f>#REF!*2</f>
        <v>#REF!</v>
      </c>
      <c r="DH211" s="28" t="e">
        <f>#REF!</f>
        <v>#REF!</v>
      </c>
      <c r="DI211" s="28" t="e">
        <f>#REF!*2</f>
        <v>#REF!</v>
      </c>
      <c r="DJ211" s="28" t="e">
        <f>#REF!</f>
        <v>#REF!</v>
      </c>
      <c r="DK211" s="28" t="e">
        <f>#REF!*2</f>
        <v>#REF!</v>
      </c>
      <c r="DL211" s="28" t="e">
        <f>#REF!</f>
        <v>#REF!</v>
      </c>
      <c r="DM211" s="28" t="e">
        <f>#REF!*2</f>
        <v>#REF!</v>
      </c>
      <c r="DN211" s="27"/>
      <c r="DO211" s="26"/>
      <c r="DP211" s="26"/>
      <c r="DQ211" s="26"/>
      <c r="DR211" s="26"/>
      <c r="DS211" s="26"/>
      <c r="DT211" s="25"/>
    </row>
    <row r="212" spans="2:124" x14ac:dyDescent="0.3"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2"/>
      <c r="I212" s="3">
        <f t="shared" si="120"/>
        <v>0</v>
      </c>
      <c r="J212" s="3">
        <f t="shared" si="121"/>
        <v>0</v>
      </c>
      <c r="K212" s="3">
        <f t="shared" si="122"/>
        <v>0</v>
      </c>
      <c r="L212" s="3">
        <f t="shared" si="123"/>
        <v>0</v>
      </c>
      <c r="M212" s="3">
        <f t="shared" si="124"/>
        <v>0</v>
      </c>
      <c r="N212" s="3">
        <f t="shared" si="125"/>
        <v>0</v>
      </c>
      <c r="O212" s="32"/>
      <c r="P212" s="3" cm="1">
        <f t="array" ref="P212">SUMPRODUCT(--(MOD(B212:G212,2)=1))</f>
        <v>0</v>
      </c>
      <c r="Q212" s="3">
        <f t="shared" si="126"/>
        <v>6</v>
      </c>
      <c r="R212" s="34"/>
      <c r="S212" s="3">
        <f t="shared" si="127"/>
        <v>0</v>
      </c>
      <c r="T212" s="3">
        <f t="shared" si="128"/>
        <v>6</v>
      </c>
      <c r="U212" s="34"/>
      <c r="V212" s="3" cm="1">
        <f t="array" ref="V212">SUMPRODUCT(--(MOD(B212:G212,10)&gt;=1), --(MOD(B212:G212,10)&lt;=5))</f>
        <v>0</v>
      </c>
      <c r="W212" s="3">
        <f t="shared" si="129"/>
        <v>6</v>
      </c>
      <c r="X212" s="34"/>
      <c r="Y212" s="3" cm="1">
        <f t="array" ref="Y212">IFERROR(COUNT(_xlfn._xlws.FILTER(B212:G212, ISNUMBER(MATCH(B212:G212, {2,3,5,7,11,13,17,19,23,29,31,37,41,43}, 0)))), 0)</f>
        <v>0</v>
      </c>
      <c r="Z212" s="3" cm="1">
        <f t="array" ref="Z212">IFERROR(COUNT(_xlfn._xlws.FILTER(B212:G212, ISNUMBER(MATCH(B212:G212, {1,4,8,10,14,16,20,22,25,26,28,32,34,35,38,40,44}, 0)))), 0)</f>
        <v>0</v>
      </c>
      <c r="AA212" s="3" cm="1">
        <f t="array" ref="AA212">IFERROR(COUNT(_xlfn._xlws.FILTER(B212:G212, ISNUMBER(MATCH(B212:G212, {6,9,12,15,18,21,24,27,30,33,36,39,42,45}, 0)))), 0)</f>
        <v>0</v>
      </c>
      <c r="AB212" s="30"/>
      <c r="AC212" s="26" cm="1">
        <f t="array" ref="AC212">_xlfn.IFS(
   OR(B212="",ISBLANK(B212),B212=0),0,
   ISNUMBER(MATCH(B212,{2,3,5,7,11,13,17,19,23,29,31,37,41,43},0)),"소",
   AND(ISNUMBER(B212),MOD(B212,3)=0),"배",
   AND(ISNUMBER(B212),B212&gt;0),"자"
)</f>
        <v>0</v>
      </c>
      <c r="AD212" s="26" cm="1">
        <f t="array" ref="AD212">_xlfn.IFS(
   OR(C212="",ISBLANK(C212),C212=0),0,
   ISNUMBER(MATCH(C212,{2,3,5,7,11,13,17,19,23,29,31,37,41,43},0)),"소",
   AND(ISNUMBER(C212),MOD(C212,3)=0),"배",
   AND(ISNUMBER(C212),C212&gt;0),"자"
)</f>
        <v>0</v>
      </c>
      <c r="AE212" s="26" cm="1">
        <f t="array" ref="AE212">_xlfn.IFS(
   OR(D212="",ISBLANK(D212),D212=0),0,
   ISNUMBER(MATCH(D212,{2,3,5,7,11,13,17,19,23,29,31,37,41,43},0)),"소",
   AND(ISNUMBER(D212),MOD(D212,3)=0),"배",
   AND(ISNUMBER(D212),D212&gt;0),"자"
)</f>
        <v>0</v>
      </c>
      <c r="AF212" s="26" cm="1">
        <f t="array" ref="AF212">_xlfn.IFS(
   OR(E212="",ISBLANK(E212),E212=0),0,
   ISNUMBER(MATCH(E212,{2,3,5,7,11,13,17,19,23,29,31,37,41,43},0)),"소",
   AND(ISNUMBER(E212),MOD(E212,3)=0),"배",
   AND(ISNUMBER(E212),E212&gt;0),"자"
)</f>
        <v>0</v>
      </c>
      <c r="AG212" s="26" cm="1">
        <f t="array" ref="AG212">_xlfn.IFS(
   OR(F212="",ISBLANK(F212),F212=0),0,
   ISNUMBER(MATCH(F212,{2,3,5,7,11,13,17,19,23,29,31,37,41,43},0)),"소",
   AND(ISNUMBER(F212),MOD(F212,3)=0),"배",
   AND(ISNUMBER(F212),F212&gt;0),"자"
)</f>
        <v>0</v>
      </c>
      <c r="AH212" s="26" cm="1">
        <f t="array" ref="AH212">_xlfn.IFS(
   OR(G212="",ISBLANK(G212),G212=0),0,
   ISNUMBER(MATCH(G212,{2,3,5,7,11,13,17,19,23,29,31,37,41,43},0)),"소",
   AND(ISNUMBER(G212),MOD(G212,3)=0),"배",
   AND(ISNUMBER(G212),G212&gt;0),"자"
)</f>
        <v>0</v>
      </c>
      <c r="AI212" s="30"/>
      <c r="AJ212" s="3">
        <f t="shared" si="130"/>
        <v>0</v>
      </c>
      <c r="AK212" s="3">
        <f t="shared" si="131"/>
        <v>0</v>
      </c>
      <c r="AL212" s="3">
        <f t="shared" si="132"/>
        <v>6</v>
      </c>
      <c r="AM212" s="33"/>
      <c r="AN212" s="3">
        <f t="shared" si="133"/>
        <v>0</v>
      </c>
      <c r="AO212" s="3">
        <f t="shared" si="134"/>
        <v>0</v>
      </c>
      <c r="AP212" s="3">
        <f t="shared" si="135"/>
        <v>0</v>
      </c>
      <c r="AQ212" s="3">
        <f t="shared" si="136"/>
        <v>0</v>
      </c>
      <c r="AR212" s="3">
        <f t="shared" si="137"/>
        <v>0</v>
      </c>
      <c r="AS212" s="28" t="e">
        <f>#REF!</f>
        <v>#REF!</v>
      </c>
      <c r="AT212" s="28" t="e">
        <f>#REF!*2</f>
        <v>#REF!</v>
      </c>
      <c r="AU212" s="28" t="e">
        <f>#REF!</f>
        <v>#REF!</v>
      </c>
      <c r="AV212" s="28" t="e">
        <f>#REF!*2</f>
        <v>#REF!</v>
      </c>
      <c r="AW212" s="28" t="e">
        <f>#REF!</f>
        <v>#REF!</v>
      </c>
      <c r="AX212" s="28" t="e">
        <f>#REF!*2</f>
        <v>#REF!</v>
      </c>
      <c r="AY212" s="28" t="e">
        <f>#REF!</f>
        <v>#REF!</v>
      </c>
      <c r="AZ212" s="28" t="e">
        <f>#REF!*2</f>
        <v>#REF!</v>
      </c>
      <c r="BA212" s="28" t="e">
        <f>#REF!</f>
        <v>#REF!</v>
      </c>
      <c r="BB212" s="28" t="e">
        <f>#REF!*2</f>
        <v>#REF!</v>
      </c>
      <c r="BC212" s="28" t="e">
        <f>#REF!</f>
        <v>#REF!</v>
      </c>
      <c r="BD212" s="28" t="e">
        <f>#REF!*2</f>
        <v>#REF!</v>
      </c>
      <c r="BE212" s="9" t="e">
        <f>#REF!-#REF!</f>
        <v>#REF!</v>
      </c>
      <c r="BF212" s="9" t="e">
        <f>#REF!-#REF!</f>
        <v>#REF!</v>
      </c>
      <c r="BG212" s="9" t="e">
        <f>#REF!-#REF!</f>
        <v>#REF!</v>
      </c>
      <c r="BH212" s="9" t="e">
        <f>#REF!-#REF!</f>
        <v>#REF!</v>
      </c>
      <c r="BI212" s="9" t="e">
        <f>#REF!-#REF!</f>
        <v>#REF!</v>
      </c>
      <c r="BJ212" s="33"/>
      <c r="BK212" s="3">
        <f t="shared" si="138"/>
        <v>0</v>
      </c>
      <c r="BL212" s="3">
        <f t="shared" si="139"/>
        <v>0</v>
      </c>
      <c r="BM212" s="3">
        <f t="shared" si="140"/>
        <v>0</v>
      </c>
      <c r="BN212" s="3">
        <f t="shared" si="141"/>
        <v>0</v>
      </c>
      <c r="BO212" s="3">
        <f t="shared" si="142"/>
        <v>0</v>
      </c>
      <c r="BP212" s="28" t="e">
        <f>#REF!</f>
        <v>#REF!</v>
      </c>
      <c r="BQ212" s="28" t="e">
        <f>#REF!*2</f>
        <v>#REF!</v>
      </c>
      <c r="BR212" s="28" t="e">
        <f>#REF!</f>
        <v>#REF!</v>
      </c>
      <c r="BS212" s="28" t="e">
        <f>#REF!*2</f>
        <v>#REF!</v>
      </c>
      <c r="BT212" s="28" t="e">
        <f>#REF!</f>
        <v>#REF!</v>
      </c>
      <c r="BU212" s="28" t="e">
        <f>#REF!*2</f>
        <v>#REF!</v>
      </c>
      <c r="BV212" s="28" t="e">
        <f>#REF!</f>
        <v>#REF!</v>
      </c>
      <c r="BW212" s="28" t="e">
        <f>#REF!*2</f>
        <v>#REF!</v>
      </c>
      <c r="BX212" s="28" t="e">
        <f>#REF!</f>
        <v>#REF!</v>
      </c>
      <c r="BY212" s="28" t="e">
        <f>#REF!*2</f>
        <v>#REF!</v>
      </c>
      <c r="BZ212" s="28" t="e">
        <f>#REF!</f>
        <v>#REF!</v>
      </c>
      <c r="CA212" s="28" t="e">
        <f>#REF!*2</f>
        <v>#REF!</v>
      </c>
      <c r="CB212" s="9">
        <f t="shared" si="143"/>
        <v>0</v>
      </c>
      <c r="CC212" s="9">
        <f t="shared" si="144"/>
        <v>0</v>
      </c>
      <c r="CD212" s="9">
        <f t="shared" si="145"/>
        <v>0</v>
      </c>
      <c r="CE212" s="9">
        <f t="shared" si="146"/>
        <v>0</v>
      </c>
      <c r="CF212" s="9">
        <f t="shared" si="147"/>
        <v>0</v>
      </c>
      <c r="CG212" s="33"/>
      <c r="CH212" s="9">
        <f t="shared" si="148"/>
        <v>0</v>
      </c>
      <c r="CI212" s="9">
        <f t="shared" si="149"/>
        <v>0</v>
      </c>
      <c r="CJ212" s="9">
        <f t="shared" si="150"/>
        <v>0</v>
      </c>
      <c r="CK212" s="9">
        <f t="shared" si="151"/>
        <v>0</v>
      </c>
      <c r="CL212" s="9">
        <f t="shared" si="152"/>
        <v>0</v>
      </c>
      <c r="CM212" s="32"/>
      <c r="CN212" s="3">
        <f t="shared" si="153"/>
        <v>0</v>
      </c>
      <c r="CO212" s="3">
        <f t="shared" si="154"/>
        <v>0</v>
      </c>
      <c r="CP212" s="3">
        <f t="shared" si="155"/>
        <v>0</v>
      </c>
      <c r="CQ212" s="3">
        <f t="shared" si="156"/>
        <v>0</v>
      </c>
      <c r="CR212" s="3">
        <f t="shared" si="157"/>
        <v>0</v>
      </c>
      <c r="CS212" s="31"/>
      <c r="CT212" s="3" cm="1">
        <f t="array" ref="CT212">SUMPRODUCT(--(MOD(CH212:CL212,2)=1))</f>
        <v>0</v>
      </c>
      <c r="CU212" s="3">
        <f t="shared" si="158"/>
        <v>5</v>
      </c>
      <c r="CV212" s="30"/>
      <c r="CW212" s="3" cm="1">
        <f t="array" ref="CW212">SUMPRODUCT(--(MOD(CH212:CL212,10)&gt;=1), --(MOD(CH212:CL212,10)&lt;=5))</f>
        <v>0</v>
      </c>
      <c r="CX212" s="3">
        <f t="shared" si="159"/>
        <v>5</v>
      </c>
      <c r="CY212" s="30"/>
      <c r="CZ212" s="3" cm="1">
        <f t="array" ref="CZ212">IFERROR(COUNT(_xlfn._xlws.FILTER(CH212:CL212, ISNUMBER(MATCH(CH212:CL212, {2,3,5,7,11,13,17,19,23,29,31,37,41,43}, 0)))), 0)</f>
        <v>0</v>
      </c>
      <c r="DA212" s="3" cm="1">
        <f t="array" ref="DA212">IFERROR(COUNT(_xlfn._xlws.FILTER(CH212:CL212, ISNUMBER(MATCH(CH212:CL212, {1,4,8,10,14,16,20,22,25,26,28,32,34,35,38,40,44}, 0)))), 0)</f>
        <v>0</v>
      </c>
      <c r="DB212" s="3" cm="1">
        <f t="array" ref="DB212">IFERROR(COUNT(_xlfn._xlws.FILTER(CH212:CL212, ISNUMBER(MATCH(CH212:CL212, {6,9,12,15,18,21,24,27,30,33,36,39,42,45}, 0)))), 0)</f>
        <v>0</v>
      </c>
      <c r="DC212" s="29"/>
      <c r="DD212" s="28" t="e">
        <f>#REF!</f>
        <v>#REF!</v>
      </c>
      <c r="DE212" s="28" t="e">
        <f>#REF!*2</f>
        <v>#REF!</v>
      </c>
      <c r="DF212" s="28" t="e">
        <f>#REF!</f>
        <v>#REF!</v>
      </c>
      <c r="DG212" s="28" t="e">
        <f>#REF!*2</f>
        <v>#REF!</v>
      </c>
      <c r="DH212" s="28" t="e">
        <f>#REF!</f>
        <v>#REF!</v>
      </c>
      <c r="DI212" s="28" t="e">
        <f>#REF!*2</f>
        <v>#REF!</v>
      </c>
      <c r="DJ212" s="28" t="e">
        <f>#REF!</f>
        <v>#REF!</v>
      </c>
      <c r="DK212" s="28" t="e">
        <f>#REF!*2</f>
        <v>#REF!</v>
      </c>
      <c r="DL212" s="28" t="e">
        <f>#REF!</f>
        <v>#REF!</v>
      </c>
      <c r="DM212" s="28" t="e">
        <f>#REF!*2</f>
        <v>#REF!</v>
      </c>
      <c r="DN212" s="27"/>
      <c r="DO212" s="26"/>
      <c r="DP212" s="26"/>
      <c r="DQ212" s="26"/>
      <c r="DR212" s="26"/>
      <c r="DS212" s="26"/>
      <c r="DT212" s="25"/>
    </row>
    <row r="213" spans="2:124" x14ac:dyDescent="0.3"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2"/>
      <c r="I213" s="3">
        <f t="shared" si="120"/>
        <v>0</v>
      </c>
      <c r="J213" s="3">
        <f t="shared" si="121"/>
        <v>0</v>
      </c>
      <c r="K213" s="3">
        <f t="shared" si="122"/>
        <v>0</v>
      </c>
      <c r="L213" s="3">
        <f t="shared" si="123"/>
        <v>0</v>
      </c>
      <c r="M213" s="3">
        <f t="shared" si="124"/>
        <v>0</v>
      </c>
      <c r="N213" s="3">
        <f t="shared" si="125"/>
        <v>0</v>
      </c>
      <c r="O213" s="32"/>
      <c r="P213" s="3" cm="1">
        <f t="array" ref="P213">SUMPRODUCT(--(MOD(B213:G213,2)=1))</f>
        <v>0</v>
      </c>
      <c r="Q213" s="3">
        <f t="shared" si="126"/>
        <v>6</v>
      </c>
      <c r="R213" s="34"/>
      <c r="S213" s="3">
        <f t="shared" si="127"/>
        <v>0</v>
      </c>
      <c r="T213" s="3">
        <f t="shared" si="128"/>
        <v>6</v>
      </c>
      <c r="U213" s="34"/>
      <c r="V213" s="3" cm="1">
        <f t="array" ref="V213">SUMPRODUCT(--(MOD(B213:G213,10)&gt;=1), --(MOD(B213:G213,10)&lt;=5))</f>
        <v>0</v>
      </c>
      <c r="W213" s="3">
        <f t="shared" si="129"/>
        <v>6</v>
      </c>
      <c r="X213" s="34"/>
      <c r="Y213" s="3" cm="1">
        <f t="array" ref="Y213">IFERROR(COUNT(_xlfn._xlws.FILTER(B213:G213, ISNUMBER(MATCH(B213:G213, {2,3,5,7,11,13,17,19,23,29,31,37,41,43}, 0)))), 0)</f>
        <v>0</v>
      </c>
      <c r="Z213" s="3" cm="1">
        <f t="array" ref="Z213">IFERROR(COUNT(_xlfn._xlws.FILTER(B213:G213, ISNUMBER(MATCH(B213:G213, {1,4,8,10,14,16,20,22,25,26,28,32,34,35,38,40,44}, 0)))), 0)</f>
        <v>0</v>
      </c>
      <c r="AA213" s="3" cm="1">
        <f t="array" ref="AA213">IFERROR(COUNT(_xlfn._xlws.FILTER(B213:G213, ISNUMBER(MATCH(B213:G213, {6,9,12,15,18,21,24,27,30,33,36,39,42,45}, 0)))), 0)</f>
        <v>0</v>
      </c>
      <c r="AB213" s="30"/>
      <c r="AC213" s="26" cm="1">
        <f t="array" ref="AC213">_xlfn.IFS(
   OR(B213="",ISBLANK(B213),B213=0),0,
   ISNUMBER(MATCH(B213,{2,3,5,7,11,13,17,19,23,29,31,37,41,43},0)),"소",
   AND(ISNUMBER(B213),MOD(B213,3)=0),"배",
   AND(ISNUMBER(B213),B213&gt;0),"자"
)</f>
        <v>0</v>
      </c>
      <c r="AD213" s="26" cm="1">
        <f t="array" ref="AD213">_xlfn.IFS(
   OR(C213="",ISBLANK(C213),C213=0),0,
   ISNUMBER(MATCH(C213,{2,3,5,7,11,13,17,19,23,29,31,37,41,43},0)),"소",
   AND(ISNUMBER(C213),MOD(C213,3)=0),"배",
   AND(ISNUMBER(C213),C213&gt;0),"자"
)</f>
        <v>0</v>
      </c>
      <c r="AE213" s="26" cm="1">
        <f t="array" ref="AE213">_xlfn.IFS(
   OR(D213="",ISBLANK(D213),D213=0),0,
   ISNUMBER(MATCH(D213,{2,3,5,7,11,13,17,19,23,29,31,37,41,43},0)),"소",
   AND(ISNUMBER(D213),MOD(D213,3)=0),"배",
   AND(ISNUMBER(D213),D213&gt;0),"자"
)</f>
        <v>0</v>
      </c>
      <c r="AF213" s="26" cm="1">
        <f t="array" ref="AF213">_xlfn.IFS(
   OR(E213="",ISBLANK(E213),E213=0),0,
   ISNUMBER(MATCH(E213,{2,3,5,7,11,13,17,19,23,29,31,37,41,43},0)),"소",
   AND(ISNUMBER(E213),MOD(E213,3)=0),"배",
   AND(ISNUMBER(E213),E213&gt;0),"자"
)</f>
        <v>0</v>
      </c>
      <c r="AG213" s="26" cm="1">
        <f t="array" ref="AG213">_xlfn.IFS(
   OR(F213="",ISBLANK(F213),F213=0),0,
   ISNUMBER(MATCH(F213,{2,3,5,7,11,13,17,19,23,29,31,37,41,43},0)),"소",
   AND(ISNUMBER(F213),MOD(F213,3)=0),"배",
   AND(ISNUMBER(F213),F213&gt;0),"자"
)</f>
        <v>0</v>
      </c>
      <c r="AH213" s="26" cm="1">
        <f t="array" ref="AH213">_xlfn.IFS(
   OR(G213="",ISBLANK(G213),G213=0),0,
   ISNUMBER(MATCH(G213,{2,3,5,7,11,13,17,19,23,29,31,37,41,43},0)),"소",
   AND(ISNUMBER(G213),MOD(G213,3)=0),"배",
   AND(ISNUMBER(G213),G213&gt;0),"자"
)</f>
        <v>0</v>
      </c>
      <c r="AI213" s="30"/>
      <c r="AJ213" s="3">
        <f t="shared" si="130"/>
        <v>0</v>
      </c>
      <c r="AK213" s="3">
        <f t="shared" si="131"/>
        <v>0</v>
      </c>
      <c r="AL213" s="3">
        <f t="shared" si="132"/>
        <v>6</v>
      </c>
      <c r="AM213" s="33"/>
      <c r="AN213" s="3">
        <f t="shared" si="133"/>
        <v>0</v>
      </c>
      <c r="AO213" s="3">
        <f t="shared" si="134"/>
        <v>0</v>
      </c>
      <c r="AP213" s="3">
        <f t="shared" si="135"/>
        <v>0</v>
      </c>
      <c r="AQ213" s="3">
        <f t="shared" si="136"/>
        <v>0</v>
      </c>
      <c r="AR213" s="3">
        <f t="shared" si="137"/>
        <v>0</v>
      </c>
      <c r="AS213" s="28" t="e">
        <f>#REF!</f>
        <v>#REF!</v>
      </c>
      <c r="AT213" s="28" t="e">
        <f>#REF!*2</f>
        <v>#REF!</v>
      </c>
      <c r="AU213" s="28" t="e">
        <f>#REF!</f>
        <v>#REF!</v>
      </c>
      <c r="AV213" s="28" t="e">
        <f>#REF!*2</f>
        <v>#REF!</v>
      </c>
      <c r="AW213" s="28" t="e">
        <f>#REF!</f>
        <v>#REF!</v>
      </c>
      <c r="AX213" s="28" t="e">
        <f>#REF!*2</f>
        <v>#REF!</v>
      </c>
      <c r="AY213" s="28" t="e">
        <f>#REF!</f>
        <v>#REF!</v>
      </c>
      <c r="AZ213" s="28" t="e">
        <f>#REF!*2</f>
        <v>#REF!</v>
      </c>
      <c r="BA213" s="28" t="e">
        <f>#REF!</f>
        <v>#REF!</v>
      </c>
      <c r="BB213" s="28" t="e">
        <f>#REF!*2</f>
        <v>#REF!</v>
      </c>
      <c r="BC213" s="28" t="e">
        <f>#REF!</f>
        <v>#REF!</v>
      </c>
      <c r="BD213" s="28" t="e">
        <f>#REF!*2</f>
        <v>#REF!</v>
      </c>
      <c r="BE213" s="9" t="e">
        <f>#REF!-#REF!</f>
        <v>#REF!</v>
      </c>
      <c r="BF213" s="9" t="e">
        <f>#REF!-#REF!</f>
        <v>#REF!</v>
      </c>
      <c r="BG213" s="9" t="e">
        <f>#REF!-#REF!</f>
        <v>#REF!</v>
      </c>
      <c r="BH213" s="9" t="e">
        <f>#REF!-#REF!</f>
        <v>#REF!</v>
      </c>
      <c r="BI213" s="9" t="e">
        <f>#REF!-#REF!</f>
        <v>#REF!</v>
      </c>
      <c r="BJ213" s="33"/>
      <c r="BK213" s="3">
        <f t="shared" si="138"/>
        <v>0</v>
      </c>
      <c r="BL213" s="3">
        <f t="shared" si="139"/>
        <v>0</v>
      </c>
      <c r="BM213" s="3">
        <f t="shared" si="140"/>
        <v>0</v>
      </c>
      <c r="BN213" s="3">
        <f t="shared" si="141"/>
        <v>0</v>
      </c>
      <c r="BO213" s="3">
        <f t="shared" si="142"/>
        <v>0</v>
      </c>
      <c r="BP213" s="28" t="e">
        <f>#REF!</f>
        <v>#REF!</v>
      </c>
      <c r="BQ213" s="28" t="e">
        <f>#REF!*2</f>
        <v>#REF!</v>
      </c>
      <c r="BR213" s="28" t="e">
        <f>#REF!</f>
        <v>#REF!</v>
      </c>
      <c r="BS213" s="28" t="e">
        <f>#REF!*2</f>
        <v>#REF!</v>
      </c>
      <c r="BT213" s="28" t="e">
        <f>#REF!</f>
        <v>#REF!</v>
      </c>
      <c r="BU213" s="28" t="e">
        <f>#REF!*2</f>
        <v>#REF!</v>
      </c>
      <c r="BV213" s="28" t="e">
        <f>#REF!</f>
        <v>#REF!</v>
      </c>
      <c r="BW213" s="28" t="e">
        <f>#REF!*2</f>
        <v>#REF!</v>
      </c>
      <c r="BX213" s="28" t="e">
        <f>#REF!</f>
        <v>#REF!</v>
      </c>
      <c r="BY213" s="28" t="e">
        <f>#REF!*2</f>
        <v>#REF!</v>
      </c>
      <c r="BZ213" s="28" t="e">
        <f>#REF!</f>
        <v>#REF!</v>
      </c>
      <c r="CA213" s="28" t="e">
        <f>#REF!*2</f>
        <v>#REF!</v>
      </c>
      <c r="CB213" s="9">
        <f t="shared" si="143"/>
        <v>0</v>
      </c>
      <c r="CC213" s="9">
        <f t="shared" si="144"/>
        <v>0</v>
      </c>
      <c r="CD213" s="9">
        <f t="shared" si="145"/>
        <v>0</v>
      </c>
      <c r="CE213" s="9">
        <f t="shared" si="146"/>
        <v>0</v>
      </c>
      <c r="CF213" s="9">
        <f t="shared" si="147"/>
        <v>0</v>
      </c>
      <c r="CG213" s="33"/>
      <c r="CH213" s="9">
        <f t="shared" si="148"/>
        <v>0</v>
      </c>
      <c r="CI213" s="9">
        <f t="shared" si="149"/>
        <v>0</v>
      </c>
      <c r="CJ213" s="9">
        <f t="shared" si="150"/>
        <v>0</v>
      </c>
      <c r="CK213" s="9">
        <f t="shared" si="151"/>
        <v>0</v>
      </c>
      <c r="CL213" s="9">
        <f t="shared" si="152"/>
        <v>0</v>
      </c>
      <c r="CM213" s="32"/>
      <c r="CN213" s="3">
        <f t="shared" si="153"/>
        <v>0</v>
      </c>
      <c r="CO213" s="3">
        <f t="shared" si="154"/>
        <v>0</v>
      </c>
      <c r="CP213" s="3">
        <f t="shared" si="155"/>
        <v>0</v>
      </c>
      <c r="CQ213" s="3">
        <f t="shared" si="156"/>
        <v>0</v>
      </c>
      <c r="CR213" s="3">
        <f t="shared" si="157"/>
        <v>0</v>
      </c>
      <c r="CS213" s="31"/>
      <c r="CT213" s="3" cm="1">
        <f t="array" ref="CT213">SUMPRODUCT(--(MOD(CH213:CL213,2)=1))</f>
        <v>0</v>
      </c>
      <c r="CU213" s="3">
        <f t="shared" si="158"/>
        <v>5</v>
      </c>
      <c r="CV213" s="30"/>
      <c r="CW213" s="3" cm="1">
        <f t="array" ref="CW213">SUMPRODUCT(--(MOD(CH213:CL213,10)&gt;=1), --(MOD(CH213:CL213,10)&lt;=5))</f>
        <v>0</v>
      </c>
      <c r="CX213" s="3">
        <f t="shared" si="159"/>
        <v>5</v>
      </c>
      <c r="CY213" s="30"/>
      <c r="CZ213" s="3" cm="1">
        <f t="array" ref="CZ213">IFERROR(COUNT(_xlfn._xlws.FILTER(CH213:CL213, ISNUMBER(MATCH(CH213:CL213, {2,3,5,7,11,13,17,19,23,29,31,37,41,43}, 0)))), 0)</f>
        <v>0</v>
      </c>
      <c r="DA213" s="3" cm="1">
        <f t="array" ref="DA213">IFERROR(COUNT(_xlfn._xlws.FILTER(CH213:CL213, ISNUMBER(MATCH(CH213:CL213, {1,4,8,10,14,16,20,22,25,26,28,32,34,35,38,40,44}, 0)))), 0)</f>
        <v>0</v>
      </c>
      <c r="DB213" s="3" cm="1">
        <f t="array" ref="DB213">IFERROR(COUNT(_xlfn._xlws.FILTER(CH213:CL213, ISNUMBER(MATCH(CH213:CL213, {6,9,12,15,18,21,24,27,30,33,36,39,42,45}, 0)))), 0)</f>
        <v>0</v>
      </c>
      <c r="DC213" s="29"/>
      <c r="DD213" s="28" t="e">
        <f>#REF!</f>
        <v>#REF!</v>
      </c>
      <c r="DE213" s="28" t="e">
        <f>#REF!*2</f>
        <v>#REF!</v>
      </c>
      <c r="DF213" s="28" t="e">
        <f>#REF!</f>
        <v>#REF!</v>
      </c>
      <c r="DG213" s="28" t="e">
        <f>#REF!*2</f>
        <v>#REF!</v>
      </c>
      <c r="DH213" s="28" t="e">
        <f>#REF!</f>
        <v>#REF!</v>
      </c>
      <c r="DI213" s="28" t="e">
        <f>#REF!*2</f>
        <v>#REF!</v>
      </c>
      <c r="DJ213" s="28" t="e">
        <f>#REF!</f>
        <v>#REF!</v>
      </c>
      <c r="DK213" s="28" t="e">
        <f>#REF!*2</f>
        <v>#REF!</v>
      </c>
      <c r="DL213" s="28" t="e">
        <f>#REF!</f>
        <v>#REF!</v>
      </c>
      <c r="DM213" s="28" t="e">
        <f>#REF!*2</f>
        <v>#REF!</v>
      </c>
      <c r="DN213" s="27"/>
      <c r="DO213" s="26"/>
      <c r="DP213" s="26"/>
      <c r="DQ213" s="26"/>
      <c r="DR213" s="26"/>
      <c r="DS213" s="26"/>
      <c r="DT213" s="25"/>
    </row>
    <row r="214" spans="2:124" x14ac:dyDescent="0.3"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2"/>
      <c r="I214" s="3">
        <f t="shared" si="120"/>
        <v>0</v>
      </c>
      <c r="J214" s="3">
        <f t="shared" si="121"/>
        <v>0</v>
      </c>
      <c r="K214" s="3">
        <f t="shared" si="122"/>
        <v>0</v>
      </c>
      <c r="L214" s="3">
        <f t="shared" si="123"/>
        <v>0</v>
      </c>
      <c r="M214" s="3">
        <f t="shared" si="124"/>
        <v>0</v>
      </c>
      <c r="N214" s="3">
        <f t="shared" si="125"/>
        <v>0</v>
      </c>
      <c r="O214" s="32"/>
      <c r="P214" s="3" cm="1">
        <f t="array" ref="P214">SUMPRODUCT(--(MOD(B214:G214,2)=1))</f>
        <v>0</v>
      </c>
      <c r="Q214" s="3">
        <f t="shared" si="126"/>
        <v>6</v>
      </c>
      <c r="R214" s="34"/>
      <c r="S214" s="3">
        <f t="shared" si="127"/>
        <v>0</v>
      </c>
      <c r="T214" s="3">
        <f t="shared" si="128"/>
        <v>6</v>
      </c>
      <c r="U214" s="34"/>
      <c r="V214" s="3" cm="1">
        <f t="array" ref="V214">SUMPRODUCT(--(MOD(B214:G214,10)&gt;=1), --(MOD(B214:G214,10)&lt;=5))</f>
        <v>0</v>
      </c>
      <c r="W214" s="3">
        <f t="shared" si="129"/>
        <v>6</v>
      </c>
      <c r="X214" s="34"/>
      <c r="Y214" s="3" cm="1">
        <f t="array" ref="Y214">IFERROR(COUNT(_xlfn._xlws.FILTER(B214:G214, ISNUMBER(MATCH(B214:G214, {2,3,5,7,11,13,17,19,23,29,31,37,41,43}, 0)))), 0)</f>
        <v>0</v>
      </c>
      <c r="Z214" s="3" cm="1">
        <f t="array" ref="Z214">IFERROR(COUNT(_xlfn._xlws.FILTER(B214:G214, ISNUMBER(MATCH(B214:G214, {1,4,8,10,14,16,20,22,25,26,28,32,34,35,38,40,44}, 0)))), 0)</f>
        <v>0</v>
      </c>
      <c r="AA214" s="3" cm="1">
        <f t="array" ref="AA214">IFERROR(COUNT(_xlfn._xlws.FILTER(B214:G214, ISNUMBER(MATCH(B214:G214, {6,9,12,15,18,21,24,27,30,33,36,39,42,45}, 0)))), 0)</f>
        <v>0</v>
      </c>
      <c r="AB214" s="30"/>
      <c r="AC214" s="26" cm="1">
        <f t="array" ref="AC214">_xlfn.IFS(
   OR(B214="",ISBLANK(B214),B214=0),0,
   ISNUMBER(MATCH(B214,{2,3,5,7,11,13,17,19,23,29,31,37,41,43},0)),"소",
   AND(ISNUMBER(B214),MOD(B214,3)=0),"배",
   AND(ISNUMBER(B214),B214&gt;0),"자"
)</f>
        <v>0</v>
      </c>
      <c r="AD214" s="26" cm="1">
        <f t="array" ref="AD214">_xlfn.IFS(
   OR(C214="",ISBLANK(C214),C214=0),0,
   ISNUMBER(MATCH(C214,{2,3,5,7,11,13,17,19,23,29,31,37,41,43},0)),"소",
   AND(ISNUMBER(C214),MOD(C214,3)=0),"배",
   AND(ISNUMBER(C214),C214&gt;0),"자"
)</f>
        <v>0</v>
      </c>
      <c r="AE214" s="26" cm="1">
        <f t="array" ref="AE214">_xlfn.IFS(
   OR(D214="",ISBLANK(D214),D214=0),0,
   ISNUMBER(MATCH(D214,{2,3,5,7,11,13,17,19,23,29,31,37,41,43},0)),"소",
   AND(ISNUMBER(D214),MOD(D214,3)=0),"배",
   AND(ISNUMBER(D214),D214&gt;0),"자"
)</f>
        <v>0</v>
      </c>
      <c r="AF214" s="26" cm="1">
        <f t="array" ref="AF214">_xlfn.IFS(
   OR(E214="",ISBLANK(E214),E214=0),0,
   ISNUMBER(MATCH(E214,{2,3,5,7,11,13,17,19,23,29,31,37,41,43},0)),"소",
   AND(ISNUMBER(E214),MOD(E214,3)=0),"배",
   AND(ISNUMBER(E214),E214&gt;0),"자"
)</f>
        <v>0</v>
      </c>
      <c r="AG214" s="26" cm="1">
        <f t="array" ref="AG214">_xlfn.IFS(
   OR(F214="",ISBLANK(F214),F214=0),0,
   ISNUMBER(MATCH(F214,{2,3,5,7,11,13,17,19,23,29,31,37,41,43},0)),"소",
   AND(ISNUMBER(F214),MOD(F214,3)=0),"배",
   AND(ISNUMBER(F214),F214&gt;0),"자"
)</f>
        <v>0</v>
      </c>
      <c r="AH214" s="26" cm="1">
        <f t="array" ref="AH214">_xlfn.IFS(
   OR(G214="",ISBLANK(G214),G214=0),0,
   ISNUMBER(MATCH(G214,{2,3,5,7,11,13,17,19,23,29,31,37,41,43},0)),"소",
   AND(ISNUMBER(G214),MOD(G214,3)=0),"배",
   AND(ISNUMBER(G214),G214&gt;0),"자"
)</f>
        <v>0</v>
      </c>
      <c r="AI214" s="30"/>
      <c r="AJ214" s="3">
        <f t="shared" si="130"/>
        <v>0</v>
      </c>
      <c r="AK214" s="3">
        <f t="shared" si="131"/>
        <v>0</v>
      </c>
      <c r="AL214" s="3">
        <f t="shared" si="132"/>
        <v>6</v>
      </c>
      <c r="AM214" s="33"/>
      <c r="AN214" s="3">
        <f t="shared" si="133"/>
        <v>0</v>
      </c>
      <c r="AO214" s="3">
        <f t="shared" si="134"/>
        <v>0</v>
      </c>
      <c r="AP214" s="3">
        <f t="shared" si="135"/>
        <v>0</v>
      </c>
      <c r="AQ214" s="3">
        <f t="shared" si="136"/>
        <v>0</v>
      </c>
      <c r="AR214" s="3">
        <f t="shared" si="137"/>
        <v>0</v>
      </c>
      <c r="AS214" s="28" t="e">
        <f>#REF!</f>
        <v>#REF!</v>
      </c>
      <c r="AT214" s="28" t="e">
        <f>#REF!*2</f>
        <v>#REF!</v>
      </c>
      <c r="AU214" s="28" t="e">
        <f>#REF!</f>
        <v>#REF!</v>
      </c>
      <c r="AV214" s="28" t="e">
        <f>#REF!*2</f>
        <v>#REF!</v>
      </c>
      <c r="AW214" s="28" t="e">
        <f>#REF!</f>
        <v>#REF!</v>
      </c>
      <c r="AX214" s="28" t="e">
        <f>#REF!*2</f>
        <v>#REF!</v>
      </c>
      <c r="AY214" s="28" t="e">
        <f>#REF!</f>
        <v>#REF!</v>
      </c>
      <c r="AZ214" s="28" t="e">
        <f>#REF!*2</f>
        <v>#REF!</v>
      </c>
      <c r="BA214" s="28" t="e">
        <f>#REF!</f>
        <v>#REF!</v>
      </c>
      <c r="BB214" s="28" t="e">
        <f>#REF!*2</f>
        <v>#REF!</v>
      </c>
      <c r="BC214" s="28" t="e">
        <f>#REF!</f>
        <v>#REF!</v>
      </c>
      <c r="BD214" s="28" t="e">
        <f>#REF!*2</f>
        <v>#REF!</v>
      </c>
      <c r="BE214" s="9" t="e">
        <f>#REF!-#REF!</f>
        <v>#REF!</v>
      </c>
      <c r="BF214" s="9" t="e">
        <f>#REF!-#REF!</f>
        <v>#REF!</v>
      </c>
      <c r="BG214" s="9" t="e">
        <f>#REF!-#REF!</f>
        <v>#REF!</v>
      </c>
      <c r="BH214" s="9" t="e">
        <f>#REF!-#REF!</f>
        <v>#REF!</v>
      </c>
      <c r="BI214" s="9" t="e">
        <f>#REF!-#REF!</f>
        <v>#REF!</v>
      </c>
      <c r="BJ214" s="33"/>
      <c r="BK214" s="3">
        <f t="shared" si="138"/>
        <v>0</v>
      </c>
      <c r="BL214" s="3">
        <f t="shared" si="139"/>
        <v>0</v>
      </c>
      <c r="BM214" s="3">
        <f t="shared" si="140"/>
        <v>0</v>
      </c>
      <c r="BN214" s="3">
        <f t="shared" si="141"/>
        <v>0</v>
      </c>
      <c r="BO214" s="3">
        <f t="shared" si="142"/>
        <v>0</v>
      </c>
      <c r="BP214" s="28" t="e">
        <f>#REF!</f>
        <v>#REF!</v>
      </c>
      <c r="BQ214" s="28" t="e">
        <f>#REF!*2</f>
        <v>#REF!</v>
      </c>
      <c r="BR214" s="28" t="e">
        <f>#REF!</f>
        <v>#REF!</v>
      </c>
      <c r="BS214" s="28" t="e">
        <f>#REF!*2</f>
        <v>#REF!</v>
      </c>
      <c r="BT214" s="28" t="e">
        <f>#REF!</f>
        <v>#REF!</v>
      </c>
      <c r="BU214" s="28" t="e">
        <f>#REF!*2</f>
        <v>#REF!</v>
      </c>
      <c r="BV214" s="28" t="e">
        <f>#REF!</f>
        <v>#REF!</v>
      </c>
      <c r="BW214" s="28" t="e">
        <f>#REF!*2</f>
        <v>#REF!</v>
      </c>
      <c r="BX214" s="28" t="e">
        <f>#REF!</f>
        <v>#REF!</v>
      </c>
      <c r="BY214" s="28" t="e">
        <f>#REF!*2</f>
        <v>#REF!</v>
      </c>
      <c r="BZ214" s="28" t="e">
        <f>#REF!</f>
        <v>#REF!</v>
      </c>
      <c r="CA214" s="28" t="e">
        <f>#REF!*2</f>
        <v>#REF!</v>
      </c>
      <c r="CB214" s="9">
        <f t="shared" si="143"/>
        <v>0</v>
      </c>
      <c r="CC214" s="9">
        <f t="shared" si="144"/>
        <v>0</v>
      </c>
      <c r="CD214" s="9">
        <f t="shared" si="145"/>
        <v>0</v>
      </c>
      <c r="CE214" s="9">
        <f t="shared" si="146"/>
        <v>0</v>
      </c>
      <c r="CF214" s="9">
        <f t="shared" si="147"/>
        <v>0</v>
      </c>
      <c r="CG214" s="33"/>
      <c r="CH214" s="9">
        <f t="shared" si="148"/>
        <v>0</v>
      </c>
      <c r="CI214" s="9">
        <f t="shared" si="149"/>
        <v>0</v>
      </c>
      <c r="CJ214" s="9">
        <f t="shared" si="150"/>
        <v>0</v>
      </c>
      <c r="CK214" s="9">
        <f t="shared" si="151"/>
        <v>0</v>
      </c>
      <c r="CL214" s="9">
        <f t="shared" si="152"/>
        <v>0</v>
      </c>
      <c r="CM214" s="32"/>
      <c r="CN214" s="3">
        <f t="shared" si="153"/>
        <v>0</v>
      </c>
      <c r="CO214" s="3">
        <f t="shared" si="154"/>
        <v>0</v>
      </c>
      <c r="CP214" s="3">
        <f t="shared" si="155"/>
        <v>0</v>
      </c>
      <c r="CQ214" s="3">
        <f t="shared" si="156"/>
        <v>0</v>
      </c>
      <c r="CR214" s="3">
        <f t="shared" si="157"/>
        <v>0</v>
      </c>
      <c r="CS214" s="31"/>
      <c r="CT214" s="3" cm="1">
        <f t="array" ref="CT214">SUMPRODUCT(--(MOD(CH214:CL214,2)=1))</f>
        <v>0</v>
      </c>
      <c r="CU214" s="3">
        <f t="shared" si="158"/>
        <v>5</v>
      </c>
      <c r="CV214" s="30"/>
      <c r="CW214" s="3" cm="1">
        <f t="array" ref="CW214">SUMPRODUCT(--(MOD(CH214:CL214,10)&gt;=1), --(MOD(CH214:CL214,10)&lt;=5))</f>
        <v>0</v>
      </c>
      <c r="CX214" s="3">
        <f t="shared" si="159"/>
        <v>5</v>
      </c>
      <c r="CY214" s="30"/>
      <c r="CZ214" s="3" cm="1">
        <f t="array" ref="CZ214">IFERROR(COUNT(_xlfn._xlws.FILTER(CH214:CL214, ISNUMBER(MATCH(CH214:CL214, {2,3,5,7,11,13,17,19,23,29,31,37,41,43}, 0)))), 0)</f>
        <v>0</v>
      </c>
      <c r="DA214" s="3" cm="1">
        <f t="array" ref="DA214">IFERROR(COUNT(_xlfn._xlws.FILTER(CH214:CL214, ISNUMBER(MATCH(CH214:CL214, {1,4,8,10,14,16,20,22,25,26,28,32,34,35,38,40,44}, 0)))), 0)</f>
        <v>0</v>
      </c>
      <c r="DB214" s="3" cm="1">
        <f t="array" ref="DB214">IFERROR(COUNT(_xlfn._xlws.FILTER(CH214:CL214, ISNUMBER(MATCH(CH214:CL214, {6,9,12,15,18,21,24,27,30,33,36,39,42,45}, 0)))), 0)</f>
        <v>0</v>
      </c>
      <c r="DC214" s="29"/>
      <c r="DD214" s="28" t="e">
        <f>#REF!</f>
        <v>#REF!</v>
      </c>
      <c r="DE214" s="28" t="e">
        <f>#REF!*2</f>
        <v>#REF!</v>
      </c>
      <c r="DF214" s="28" t="e">
        <f>#REF!</f>
        <v>#REF!</v>
      </c>
      <c r="DG214" s="28" t="e">
        <f>#REF!*2</f>
        <v>#REF!</v>
      </c>
      <c r="DH214" s="28" t="e">
        <f>#REF!</f>
        <v>#REF!</v>
      </c>
      <c r="DI214" s="28" t="e">
        <f>#REF!*2</f>
        <v>#REF!</v>
      </c>
      <c r="DJ214" s="28" t="e">
        <f>#REF!</f>
        <v>#REF!</v>
      </c>
      <c r="DK214" s="28" t="e">
        <f>#REF!*2</f>
        <v>#REF!</v>
      </c>
      <c r="DL214" s="28" t="e">
        <f>#REF!</f>
        <v>#REF!</v>
      </c>
      <c r="DM214" s="28" t="e">
        <f>#REF!*2</f>
        <v>#REF!</v>
      </c>
      <c r="DN214" s="27"/>
      <c r="DO214" s="26"/>
      <c r="DP214" s="26"/>
      <c r="DQ214" s="26"/>
      <c r="DR214" s="26"/>
      <c r="DS214" s="26"/>
      <c r="DT214" s="25"/>
    </row>
    <row r="215" spans="2:124" x14ac:dyDescent="0.3"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2"/>
      <c r="I215" s="3">
        <f t="shared" si="120"/>
        <v>0</v>
      </c>
      <c r="J215" s="3">
        <f t="shared" si="121"/>
        <v>0</v>
      </c>
      <c r="K215" s="3">
        <f t="shared" si="122"/>
        <v>0</v>
      </c>
      <c r="L215" s="3">
        <f t="shared" si="123"/>
        <v>0</v>
      </c>
      <c r="M215" s="3">
        <f t="shared" si="124"/>
        <v>0</v>
      </c>
      <c r="N215" s="3">
        <f t="shared" si="125"/>
        <v>0</v>
      </c>
      <c r="O215" s="32"/>
      <c r="P215" s="3" cm="1">
        <f t="array" ref="P215">SUMPRODUCT(--(MOD(B215:G215,2)=1))</f>
        <v>0</v>
      </c>
      <c r="Q215" s="3">
        <f t="shared" si="126"/>
        <v>6</v>
      </c>
      <c r="R215" s="34"/>
      <c r="S215" s="3">
        <f t="shared" si="127"/>
        <v>0</v>
      </c>
      <c r="T215" s="3">
        <f t="shared" si="128"/>
        <v>6</v>
      </c>
      <c r="U215" s="34"/>
      <c r="V215" s="3" cm="1">
        <f t="array" ref="V215">SUMPRODUCT(--(MOD(B215:G215,10)&gt;=1), --(MOD(B215:G215,10)&lt;=5))</f>
        <v>0</v>
      </c>
      <c r="W215" s="3">
        <f t="shared" si="129"/>
        <v>6</v>
      </c>
      <c r="X215" s="34"/>
      <c r="Y215" s="3" cm="1">
        <f t="array" ref="Y215">IFERROR(COUNT(_xlfn._xlws.FILTER(B215:G215, ISNUMBER(MATCH(B215:G215, {2,3,5,7,11,13,17,19,23,29,31,37,41,43}, 0)))), 0)</f>
        <v>0</v>
      </c>
      <c r="Z215" s="3" cm="1">
        <f t="array" ref="Z215">IFERROR(COUNT(_xlfn._xlws.FILTER(B215:G215, ISNUMBER(MATCH(B215:G215, {1,4,8,10,14,16,20,22,25,26,28,32,34,35,38,40,44}, 0)))), 0)</f>
        <v>0</v>
      </c>
      <c r="AA215" s="3" cm="1">
        <f t="array" ref="AA215">IFERROR(COUNT(_xlfn._xlws.FILTER(B215:G215, ISNUMBER(MATCH(B215:G215, {6,9,12,15,18,21,24,27,30,33,36,39,42,45}, 0)))), 0)</f>
        <v>0</v>
      </c>
      <c r="AB215" s="30"/>
      <c r="AC215" s="26" cm="1">
        <f t="array" ref="AC215">_xlfn.IFS(
   OR(B215="",ISBLANK(B215),B215=0),0,
   ISNUMBER(MATCH(B215,{2,3,5,7,11,13,17,19,23,29,31,37,41,43},0)),"소",
   AND(ISNUMBER(B215),MOD(B215,3)=0),"배",
   AND(ISNUMBER(B215),B215&gt;0),"자"
)</f>
        <v>0</v>
      </c>
      <c r="AD215" s="26" cm="1">
        <f t="array" ref="AD215">_xlfn.IFS(
   OR(C215="",ISBLANK(C215),C215=0),0,
   ISNUMBER(MATCH(C215,{2,3,5,7,11,13,17,19,23,29,31,37,41,43},0)),"소",
   AND(ISNUMBER(C215),MOD(C215,3)=0),"배",
   AND(ISNUMBER(C215),C215&gt;0),"자"
)</f>
        <v>0</v>
      </c>
      <c r="AE215" s="26" cm="1">
        <f t="array" ref="AE215">_xlfn.IFS(
   OR(D215="",ISBLANK(D215),D215=0),0,
   ISNUMBER(MATCH(D215,{2,3,5,7,11,13,17,19,23,29,31,37,41,43},0)),"소",
   AND(ISNUMBER(D215),MOD(D215,3)=0),"배",
   AND(ISNUMBER(D215),D215&gt;0),"자"
)</f>
        <v>0</v>
      </c>
      <c r="AF215" s="26" cm="1">
        <f t="array" ref="AF215">_xlfn.IFS(
   OR(E215="",ISBLANK(E215),E215=0),0,
   ISNUMBER(MATCH(E215,{2,3,5,7,11,13,17,19,23,29,31,37,41,43},0)),"소",
   AND(ISNUMBER(E215),MOD(E215,3)=0),"배",
   AND(ISNUMBER(E215),E215&gt;0),"자"
)</f>
        <v>0</v>
      </c>
      <c r="AG215" s="26" cm="1">
        <f t="array" ref="AG215">_xlfn.IFS(
   OR(F215="",ISBLANK(F215),F215=0),0,
   ISNUMBER(MATCH(F215,{2,3,5,7,11,13,17,19,23,29,31,37,41,43},0)),"소",
   AND(ISNUMBER(F215),MOD(F215,3)=0),"배",
   AND(ISNUMBER(F215),F215&gt;0),"자"
)</f>
        <v>0</v>
      </c>
      <c r="AH215" s="26" cm="1">
        <f t="array" ref="AH215">_xlfn.IFS(
   OR(G215="",ISBLANK(G215),G215=0),0,
   ISNUMBER(MATCH(G215,{2,3,5,7,11,13,17,19,23,29,31,37,41,43},0)),"소",
   AND(ISNUMBER(G215),MOD(G215,3)=0),"배",
   AND(ISNUMBER(G215),G215&gt;0),"자"
)</f>
        <v>0</v>
      </c>
      <c r="AI215" s="30"/>
      <c r="AJ215" s="3">
        <f t="shared" si="130"/>
        <v>0</v>
      </c>
      <c r="AK215" s="3">
        <f t="shared" si="131"/>
        <v>0</v>
      </c>
      <c r="AL215" s="3">
        <f t="shared" si="132"/>
        <v>6</v>
      </c>
      <c r="AM215" s="33"/>
      <c r="AN215" s="3">
        <f t="shared" si="133"/>
        <v>0</v>
      </c>
      <c r="AO215" s="3">
        <f t="shared" si="134"/>
        <v>0</v>
      </c>
      <c r="AP215" s="3">
        <f t="shared" si="135"/>
        <v>0</v>
      </c>
      <c r="AQ215" s="3">
        <f t="shared" si="136"/>
        <v>0</v>
      </c>
      <c r="AR215" s="3">
        <f t="shared" si="137"/>
        <v>0</v>
      </c>
      <c r="AS215" s="28" t="e">
        <f>#REF!</f>
        <v>#REF!</v>
      </c>
      <c r="AT215" s="28" t="e">
        <f>#REF!*2</f>
        <v>#REF!</v>
      </c>
      <c r="AU215" s="28" t="e">
        <f>#REF!</f>
        <v>#REF!</v>
      </c>
      <c r="AV215" s="28" t="e">
        <f>#REF!*2</f>
        <v>#REF!</v>
      </c>
      <c r="AW215" s="28" t="e">
        <f>#REF!</f>
        <v>#REF!</v>
      </c>
      <c r="AX215" s="28" t="e">
        <f>#REF!*2</f>
        <v>#REF!</v>
      </c>
      <c r="AY215" s="28" t="e">
        <f>#REF!</f>
        <v>#REF!</v>
      </c>
      <c r="AZ215" s="28" t="e">
        <f>#REF!*2</f>
        <v>#REF!</v>
      </c>
      <c r="BA215" s="28" t="e">
        <f>#REF!</f>
        <v>#REF!</v>
      </c>
      <c r="BB215" s="28" t="e">
        <f>#REF!*2</f>
        <v>#REF!</v>
      </c>
      <c r="BC215" s="28" t="e">
        <f>#REF!</f>
        <v>#REF!</v>
      </c>
      <c r="BD215" s="28" t="e">
        <f>#REF!*2</f>
        <v>#REF!</v>
      </c>
      <c r="BE215" s="9" t="e">
        <f>#REF!-#REF!</f>
        <v>#REF!</v>
      </c>
      <c r="BF215" s="9" t="e">
        <f>#REF!-#REF!</f>
        <v>#REF!</v>
      </c>
      <c r="BG215" s="9" t="e">
        <f>#REF!-#REF!</f>
        <v>#REF!</v>
      </c>
      <c r="BH215" s="9" t="e">
        <f>#REF!-#REF!</f>
        <v>#REF!</v>
      </c>
      <c r="BI215" s="9" t="e">
        <f>#REF!-#REF!</f>
        <v>#REF!</v>
      </c>
      <c r="BJ215" s="33"/>
      <c r="BK215" s="3">
        <f t="shared" si="138"/>
        <v>0</v>
      </c>
      <c r="BL215" s="3">
        <f t="shared" si="139"/>
        <v>0</v>
      </c>
      <c r="BM215" s="3">
        <f t="shared" si="140"/>
        <v>0</v>
      </c>
      <c r="BN215" s="3">
        <f t="shared" si="141"/>
        <v>0</v>
      </c>
      <c r="BO215" s="3">
        <f t="shared" si="142"/>
        <v>0</v>
      </c>
      <c r="BP215" s="28" t="e">
        <f>#REF!</f>
        <v>#REF!</v>
      </c>
      <c r="BQ215" s="28" t="e">
        <f>#REF!*2</f>
        <v>#REF!</v>
      </c>
      <c r="BR215" s="28" t="e">
        <f>#REF!</f>
        <v>#REF!</v>
      </c>
      <c r="BS215" s="28" t="e">
        <f>#REF!*2</f>
        <v>#REF!</v>
      </c>
      <c r="BT215" s="28" t="e">
        <f>#REF!</f>
        <v>#REF!</v>
      </c>
      <c r="BU215" s="28" t="e">
        <f>#REF!*2</f>
        <v>#REF!</v>
      </c>
      <c r="BV215" s="28" t="e">
        <f>#REF!</f>
        <v>#REF!</v>
      </c>
      <c r="BW215" s="28" t="e">
        <f>#REF!*2</f>
        <v>#REF!</v>
      </c>
      <c r="BX215" s="28" t="e">
        <f>#REF!</f>
        <v>#REF!</v>
      </c>
      <c r="BY215" s="28" t="e">
        <f>#REF!*2</f>
        <v>#REF!</v>
      </c>
      <c r="BZ215" s="28" t="e">
        <f>#REF!</f>
        <v>#REF!</v>
      </c>
      <c r="CA215" s="28" t="e">
        <f>#REF!*2</f>
        <v>#REF!</v>
      </c>
      <c r="CB215" s="9">
        <f t="shared" si="143"/>
        <v>0</v>
      </c>
      <c r="CC215" s="9">
        <f t="shared" si="144"/>
        <v>0</v>
      </c>
      <c r="CD215" s="9">
        <f t="shared" si="145"/>
        <v>0</v>
      </c>
      <c r="CE215" s="9">
        <f t="shared" si="146"/>
        <v>0</v>
      </c>
      <c r="CF215" s="9">
        <f t="shared" si="147"/>
        <v>0</v>
      </c>
      <c r="CG215" s="33"/>
      <c r="CH215" s="3">
        <f t="shared" si="148"/>
        <v>0</v>
      </c>
      <c r="CI215" s="3">
        <f t="shared" si="149"/>
        <v>0</v>
      </c>
      <c r="CJ215" s="3">
        <f t="shared" si="150"/>
        <v>0</v>
      </c>
      <c r="CK215" s="3">
        <f t="shared" si="151"/>
        <v>0</v>
      </c>
      <c r="CL215" s="3">
        <f t="shared" si="152"/>
        <v>0</v>
      </c>
      <c r="CM215" s="32"/>
      <c r="CN215" s="3">
        <f t="shared" si="153"/>
        <v>0</v>
      </c>
      <c r="CO215" s="3">
        <f t="shared" si="154"/>
        <v>0</v>
      </c>
      <c r="CP215" s="3">
        <f t="shared" si="155"/>
        <v>0</v>
      </c>
      <c r="CQ215" s="3">
        <f t="shared" si="156"/>
        <v>0</v>
      </c>
      <c r="CR215" s="3">
        <f t="shared" si="157"/>
        <v>0</v>
      </c>
      <c r="CS215" s="31"/>
      <c r="CT215" s="3" cm="1">
        <f t="array" ref="CT215">SUMPRODUCT(--(MOD(CH215:CL215,2)=1))</f>
        <v>0</v>
      </c>
      <c r="CU215" s="3">
        <f t="shared" si="158"/>
        <v>5</v>
      </c>
      <c r="CV215" s="30"/>
      <c r="CW215" s="3" cm="1">
        <f t="array" ref="CW215">SUMPRODUCT(--(MOD(CH215:CL215,10)&gt;=1), --(MOD(CH215:CL215,10)&lt;=5))</f>
        <v>0</v>
      </c>
      <c r="CX215" s="3">
        <f t="shared" si="159"/>
        <v>5</v>
      </c>
      <c r="CY215" s="30"/>
      <c r="CZ215" s="3" cm="1">
        <f t="array" ref="CZ215">IFERROR(COUNT(_xlfn._xlws.FILTER(CH215:CL215, ISNUMBER(MATCH(CH215:CL215, {2,3,5,7,11,13,17,19,23,29,31,37,41,43}, 0)))), 0)</f>
        <v>0</v>
      </c>
      <c r="DA215" s="3" cm="1">
        <f t="array" ref="DA215">IFERROR(COUNT(_xlfn._xlws.FILTER(CH215:CL215, ISNUMBER(MATCH(CH215:CL215, {1,4,8,10,14,16,20,22,25,26,28,32,34,35,38,40,44}, 0)))), 0)</f>
        <v>0</v>
      </c>
      <c r="DB215" s="3" cm="1">
        <f t="array" ref="DB215">IFERROR(COUNT(_xlfn._xlws.FILTER(CH215:CL215, ISNUMBER(MATCH(CH215:CL215, {6,9,12,15,18,21,24,27,30,33,36,39,42,45}, 0)))), 0)</f>
        <v>0</v>
      </c>
      <c r="DC215" s="29"/>
      <c r="DD215" s="28" t="e">
        <f>#REF!</f>
        <v>#REF!</v>
      </c>
      <c r="DE215" s="28" t="e">
        <f>#REF!*2</f>
        <v>#REF!</v>
      </c>
      <c r="DF215" s="28" t="e">
        <f>#REF!</f>
        <v>#REF!</v>
      </c>
      <c r="DG215" s="28" t="e">
        <f>#REF!*2</f>
        <v>#REF!</v>
      </c>
      <c r="DH215" s="28" t="e">
        <f>#REF!</f>
        <v>#REF!</v>
      </c>
      <c r="DI215" s="28" t="e">
        <f>#REF!*2</f>
        <v>#REF!</v>
      </c>
      <c r="DJ215" s="28" t="e">
        <f>#REF!</f>
        <v>#REF!</v>
      </c>
      <c r="DK215" s="28" t="e">
        <f>#REF!*2</f>
        <v>#REF!</v>
      </c>
      <c r="DL215" s="28" t="e">
        <f>#REF!</f>
        <v>#REF!</v>
      </c>
      <c r="DM215" s="28" t="e">
        <f>#REF!*2</f>
        <v>#REF!</v>
      </c>
      <c r="DN215" s="27"/>
      <c r="DO215" s="26"/>
      <c r="DP215" s="26"/>
      <c r="DQ215" s="26"/>
      <c r="DR215" s="26"/>
      <c r="DS215" s="26"/>
      <c r="DT215" s="25"/>
    </row>
    <row r="216" spans="2:124" x14ac:dyDescent="0.3"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2"/>
      <c r="I216" s="3">
        <f t="shared" si="120"/>
        <v>0</v>
      </c>
      <c r="J216" s="3">
        <f t="shared" si="121"/>
        <v>0</v>
      </c>
      <c r="K216" s="3">
        <f t="shared" si="122"/>
        <v>0</v>
      </c>
      <c r="L216" s="3">
        <f t="shared" si="123"/>
        <v>0</v>
      </c>
      <c r="M216" s="3">
        <f t="shared" si="124"/>
        <v>0</v>
      </c>
      <c r="N216" s="3">
        <f t="shared" si="125"/>
        <v>0</v>
      </c>
      <c r="O216" s="32"/>
      <c r="P216" s="3" cm="1">
        <f t="array" ref="P216">SUMPRODUCT(--(MOD(B216:G216,2)=1))</f>
        <v>0</v>
      </c>
      <c r="Q216" s="3">
        <f t="shared" si="126"/>
        <v>6</v>
      </c>
      <c r="R216" s="34"/>
      <c r="S216" s="3">
        <f t="shared" si="127"/>
        <v>0</v>
      </c>
      <c r="T216" s="3">
        <f t="shared" si="128"/>
        <v>6</v>
      </c>
      <c r="U216" s="34"/>
      <c r="V216" s="3" cm="1">
        <f t="array" ref="V216">SUMPRODUCT(--(MOD(B216:G216,10)&gt;=1), --(MOD(B216:G216,10)&lt;=5))</f>
        <v>0</v>
      </c>
      <c r="W216" s="3">
        <f t="shared" si="129"/>
        <v>6</v>
      </c>
      <c r="X216" s="34"/>
      <c r="Y216" s="3" cm="1">
        <f t="array" ref="Y216">IFERROR(COUNT(_xlfn._xlws.FILTER(B216:G216, ISNUMBER(MATCH(B216:G216, {2,3,5,7,11,13,17,19,23,29,31,37,41,43}, 0)))), 0)</f>
        <v>0</v>
      </c>
      <c r="Z216" s="3" cm="1">
        <f t="array" ref="Z216">IFERROR(COUNT(_xlfn._xlws.FILTER(B216:G216, ISNUMBER(MATCH(B216:G216, {1,4,8,10,14,16,20,22,25,26,28,32,34,35,38,40,44}, 0)))), 0)</f>
        <v>0</v>
      </c>
      <c r="AA216" s="3" cm="1">
        <f t="array" ref="AA216">IFERROR(COUNT(_xlfn._xlws.FILTER(B216:G216, ISNUMBER(MATCH(B216:G216, {6,9,12,15,18,21,24,27,30,33,36,39,42,45}, 0)))), 0)</f>
        <v>0</v>
      </c>
      <c r="AB216" s="30"/>
      <c r="AC216" s="26" cm="1">
        <f t="array" ref="AC216">_xlfn.IFS(
   OR(B216="",ISBLANK(B216),B216=0),0,
   ISNUMBER(MATCH(B216,{2,3,5,7,11,13,17,19,23,29,31,37,41,43},0)),"소",
   AND(ISNUMBER(B216),MOD(B216,3)=0),"배",
   AND(ISNUMBER(B216),B216&gt;0),"자"
)</f>
        <v>0</v>
      </c>
      <c r="AD216" s="26" cm="1">
        <f t="array" ref="AD216">_xlfn.IFS(
   OR(C216="",ISBLANK(C216),C216=0),0,
   ISNUMBER(MATCH(C216,{2,3,5,7,11,13,17,19,23,29,31,37,41,43},0)),"소",
   AND(ISNUMBER(C216),MOD(C216,3)=0),"배",
   AND(ISNUMBER(C216),C216&gt;0),"자"
)</f>
        <v>0</v>
      </c>
      <c r="AE216" s="26" cm="1">
        <f t="array" ref="AE216">_xlfn.IFS(
   OR(D216="",ISBLANK(D216),D216=0),0,
   ISNUMBER(MATCH(D216,{2,3,5,7,11,13,17,19,23,29,31,37,41,43},0)),"소",
   AND(ISNUMBER(D216),MOD(D216,3)=0),"배",
   AND(ISNUMBER(D216),D216&gt;0),"자"
)</f>
        <v>0</v>
      </c>
      <c r="AF216" s="26" cm="1">
        <f t="array" ref="AF216">_xlfn.IFS(
   OR(E216="",ISBLANK(E216),E216=0),0,
   ISNUMBER(MATCH(E216,{2,3,5,7,11,13,17,19,23,29,31,37,41,43},0)),"소",
   AND(ISNUMBER(E216),MOD(E216,3)=0),"배",
   AND(ISNUMBER(E216),E216&gt;0),"자"
)</f>
        <v>0</v>
      </c>
      <c r="AG216" s="26" cm="1">
        <f t="array" ref="AG216">_xlfn.IFS(
   OR(F216="",ISBLANK(F216),F216=0),0,
   ISNUMBER(MATCH(F216,{2,3,5,7,11,13,17,19,23,29,31,37,41,43},0)),"소",
   AND(ISNUMBER(F216),MOD(F216,3)=0),"배",
   AND(ISNUMBER(F216),F216&gt;0),"자"
)</f>
        <v>0</v>
      </c>
      <c r="AH216" s="26" cm="1">
        <f t="array" ref="AH216">_xlfn.IFS(
   OR(G216="",ISBLANK(G216),G216=0),0,
   ISNUMBER(MATCH(G216,{2,3,5,7,11,13,17,19,23,29,31,37,41,43},0)),"소",
   AND(ISNUMBER(G216),MOD(G216,3)=0),"배",
   AND(ISNUMBER(G216),G216&gt;0),"자"
)</f>
        <v>0</v>
      </c>
      <c r="AI216" s="30"/>
      <c r="AJ216" s="3">
        <f t="shared" si="130"/>
        <v>0</v>
      </c>
      <c r="AK216" s="3">
        <f t="shared" si="131"/>
        <v>0</v>
      </c>
      <c r="AL216" s="3">
        <f t="shared" si="132"/>
        <v>6</v>
      </c>
      <c r="AM216" s="33"/>
      <c r="AN216" s="3">
        <f t="shared" si="133"/>
        <v>0</v>
      </c>
      <c r="AO216" s="3">
        <f t="shared" si="134"/>
        <v>0</v>
      </c>
      <c r="AP216" s="3">
        <f t="shared" si="135"/>
        <v>0</v>
      </c>
      <c r="AQ216" s="3">
        <f t="shared" si="136"/>
        <v>0</v>
      </c>
      <c r="AR216" s="3">
        <f t="shared" si="137"/>
        <v>0</v>
      </c>
      <c r="AS216" s="28" t="e">
        <f>#REF!</f>
        <v>#REF!</v>
      </c>
      <c r="AT216" s="28" t="e">
        <f>#REF!*2</f>
        <v>#REF!</v>
      </c>
      <c r="AU216" s="28" t="e">
        <f>#REF!</f>
        <v>#REF!</v>
      </c>
      <c r="AV216" s="28" t="e">
        <f>#REF!*2</f>
        <v>#REF!</v>
      </c>
      <c r="AW216" s="28" t="e">
        <f>#REF!</f>
        <v>#REF!</v>
      </c>
      <c r="AX216" s="28" t="e">
        <f>#REF!*2</f>
        <v>#REF!</v>
      </c>
      <c r="AY216" s="28" t="e">
        <f>#REF!</f>
        <v>#REF!</v>
      </c>
      <c r="AZ216" s="28" t="e">
        <f>#REF!*2</f>
        <v>#REF!</v>
      </c>
      <c r="BA216" s="28" t="e">
        <f>#REF!</f>
        <v>#REF!</v>
      </c>
      <c r="BB216" s="28" t="e">
        <f>#REF!*2</f>
        <v>#REF!</v>
      </c>
      <c r="BC216" s="28" t="e">
        <f>#REF!</f>
        <v>#REF!</v>
      </c>
      <c r="BD216" s="28" t="e">
        <f>#REF!*2</f>
        <v>#REF!</v>
      </c>
      <c r="BE216" s="9" t="e">
        <f>#REF!-#REF!</f>
        <v>#REF!</v>
      </c>
      <c r="BF216" s="9" t="e">
        <f>#REF!-#REF!</f>
        <v>#REF!</v>
      </c>
      <c r="BG216" s="9" t="e">
        <f>#REF!-#REF!</f>
        <v>#REF!</v>
      </c>
      <c r="BH216" s="9" t="e">
        <f>#REF!-#REF!</f>
        <v>#REF!</v>
      </c>
      <c r="BI216" s="9" t="e">
        <f>#REF!-#REF!</f>
        <v>#REF!</v>
      </c>
      <c r="BJ216" s="33"/>
      <c r="BK216" s="3">
        <f t="shared" si="138"/>
        <v>0</v>
      </c>
      <c r="BL216" s="3">
        <f t="shared" si="139"/>
        <v>0</v>
      </c>
      <c r="BM216" s="3">
        <f t="shared" si="140"/>
        <v>0</v>
      </c>
      <c r="BN216" s="3">
        <f t="shared" si="141"/>
        <v>0</v>
      </c>
      <c r="BO216" s="3">
        <f t="shared" si="142"/>
        <v>0</v>
      </c>
      <c r="BP216" s="28" t="e">
        <f>#REF!</f>
        <v>#REF!</v>
      </c>
      <c r="BQ216" s="28" t="e">
        <f>#REF!*2</f>
        <v>#REF!</v>
      </c>
      <c r="BR216" s="28" t="e">
        <f>#REF!</f>
        <v>#REF!</v>
      </c>
      <c r="BS216" s="28" t="e">
        <f>#REF!*2</f>
        <v>#REF!</v>
      </c>
      <c r="BT216" s="28" t="e">
        <f>#REF!</f>
        <v>#REF!</v>
      </c>
      <c r="BU216" s="28" t="e">
        <f>#REF!*2</f>
        <v>#REF!</v>
      </c>
      <c r="BV216" s="28" t="e">
        <f>#REF!</f>
        <v>#REF!</v>
      </c>
      <c r="BW216" s="28" t="e">
        <f>#REF!*2</f>
        <v>#REF!</v>
      </c>
      <c r="BX216" s="28" t="e">
        <f>#REF!</f>
        <v>#REF!</v>
      </c>
      <c r="BY216" s="28" t="e">
        <f>#REF!*2</f>
        <v>#REF!</v>
      </c>
      <c r="BZ216" s="28" t="e">
        <f>#REF!</f>
        <v>#REF!</v>
      </c>
      <c r="CA216" s="28" t="e">
        <f>#REF!*2</f>
        <v>#REF!</v>
      </c>
      <c r="CB216" s="9">
        <f t="shared" si="143"/>
        <v>0</v>
      </c>
      <c r="CC216" s="9">
        <f t="shared" si="144"/>
        <v>0</v>
      </c>
      <c r="CD216" s="9">
        <f t="shared" si="145"/>
        <v>0</v>
      </c>
      <c r="CE216" s="9">
        <f t="shared" si="146"/>
        <v>0</v>
      </c>
      <c r="CF216" s="9">
        <f t="shared" si="147"/>
        <v>0</v>
      </c>
      <c r="CG216" s="33"/>
      <c r="CH216" s="3">
        <f t="shared" si="148"/>
        <v>0</v>
      </c>
      <c r="CI216" s="3">
        <f t="shared" si="149"/>
        <v>0</v>
      </c>
      <c r="CJ216" s="3">
        <f t="shared" si="150"/>
        <v>0</v>
      </c>
      <c r="CK216" s="3">
        <f t="shared" si="151"/>
        <v>0</v>
      </c>
      <c r="CL216" s="3">
        <f t="shared" si="152"/>
        <v>0</v>
      </c>
      <c r="CM216" s="32"/>
      <c r="CN216" s="3">
        <f t="shared" si="153"/>
        <v>0</v>
      </c>
      <c r="CO216" s="3">
        <f t="shared" si="154"/>
        <v>0</v>
      </c>
      <c r="CP216" s="3">
        <f t="shared" si="155"/>
        <v>0</v>
      </c>
      <c r="CQ216" s="3">
        <f t="shared" si="156"/>
        <v>0</v>
      </c>
      <c r="CR216" s="3">
        <f t="shared" si="157"/>
        <v>0</v>
      </c>
      <c r="CS216" s="31"/>
      <c r="CT216" s="3" cm="1">
        <f t="array" ref="CT216">SUMPRODUCT(--(MOD(CH216:CL216,2)=1))</f>
        <v>0</v>
      </c>
      <c r="CU216" s="3">
        <f t="shared" si="158"/>
        <v>5</v>
      </c>
      <c r="CV216" s="30"/>
      <c r="CW216" s="3" cm="1">
        <f t="array" ref="CW216">SUMPRODUCT(--(MOD(CH216:CL216,10)&gt;=1), --(MOD(CH216:CL216,10)&lt;=5))</f>
        <v>0</v>
      </c>
      <c r="CX216" s="3">
        <f t="shared" si="159"/>
        <v>5</v>
      </c>
      <c r="CY216" s="30"/>
      <c r="CZ216" s="3" cm="1">
        <f t="array" ref="CZ216">IFERROR(COUNT(_xlfn._xlws.FILTER(CH216:CL216, ISNUMBER(MATCH(CH216:CL216, {2,3,5,7,11,13,17,19,23,29,31,37,41,43}, 0)))), 0)</f>
        <v>0</v>
      </c>
      <c r="DA216" s="3" cm="1">
        <f t="array" ref="DA216">IFERROR(COUNT(_xlfn._xlws.FILTER(CH216:CL216, ISNUMBER(MATCH(CH216:CL216, {1,4,8,10,14,16,20,22,25,26,28,32,34,35,38,40,44}, 0)))), 0)</f>
        <v>0</v>
      </c>
      <c r="DB216" s="3" cm="1">
        <f t="array" ref="DB216">IFERROR(COUNT(_xlfn._xlws.FILTER(CH216:CL216, ISNUMBER(MATCH(CH216:CL216, {6,9,12,15,18,21,24,27,30,33,36,39,42,45}, 0)))), 0)</f>
        <v>0</v>
      </c>
      <c r="DC216" s="29"/>
      <c r="DD216" s="28" t="e">
        <f>#REF!</f>
        <v>#REF!</v>
      </c>
      <c r="DE216" s="28" t="e">
        <f>#REF!*2</f>
        <v>#REF!</v>
      </c>
      <c r="DF216" s="28" t="e">
        <f>#REF!</f>
        <v>#REF!</v>
      </c>
      <c r="DG216" s="28" t="e">
        <f>#REF!*2</f>
        <v>#REF!</v>
      </c>
      <c r="DH216" s="28" t="e">
        <f>#REF!</f>
        <v>#REF!</v>
      </c>
      <c r="DI216" s="28" t="e">
        <f>#REF!*2</f>
        <v>#REF!</v>
      </c>
      <c r="DJ216" s="28" t="e">
        <f>#REF!</f>
        <v>#REF!</v>
      </c>
      <c r="DK216" s="28" t="e">
        <f>#REF!*2</f>
        <v>#REF!</v>
      </c>
      <c r="DL216" s="28" t="e">
        <f>#REF!</f>
        <v>#REF!</v>
      </c>
      <c r="DM216" s="28" t="e">
        <f>#REF!*2</f>
        <v>#REF!</v>
      </c>
      <c r="DN216" s="27"/>
      <c r="DO216" s="26"/>
      <c r="DP216" s="26"/>
      <c r="DQ216" s="26"/>
      <c r="DR216" s="26"/>
      <c r="DS216" s="26"/>
      <c r="DT216" s="25"/>
    </row>
    <row r="217" spans="2:124" x14ac:dyDescent="0.3"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2"/>
      <c r="I217" s="3">
        <f t="shared" si="120"/>
        <v>0</v>
      </c>
      <c r="J217" s="3">
        <f t="shared" si="121"/>
        <v>0</v>
      </c>
      <c r="K217" s="3">
        <f t="shared" si="122"/>
        <v>0</v>
      </c>
      <c r="L217" s="3">
        <f t="shared" si="123"/>
        <v>0</v>
      </c>
      <c r="M217" s="3">
        <f t="shared" si="124"/>
        <v>0</v>
      </c>
      <c r="N217" s="3">
        <f t="shared" si="125"/>
        <v>0</v>
      </c>
      <c r="O217" s="32"/>
      <c r="P217" s="3" cm="1">
        <f t="array" ref="P217">SUMPRODUCT(--(MOD(B217:G217,2)=1))</f>
        <v>0</v>
      </c>
      <c r="Q217" s="3">
        <f t="shared" si="126"/>
        <v>6</v>
      </c>
      <c r="R217" s="34"/>
      <c r="S217" s="3">
        <f t="shared" si="127"/>
        <v>0</v>
      </c>
      <c r="T217" s="3">
        <f t="shared" si="128"/>
        <v>6</v>
      </c>
      <c r="U217" s="34"/>
      <c r="V217" s="3" cm="1">
        <f t="array" ref="V217">SUMPRODUCT(--(MOD(B217:G217,10)&gt;=1), --(MOD(B217:G217,10)&lt;=5))</f>
        <v>0</v>
      </c>
      <c r="W217" s="3">
        <f t="shared" si="129"/>
        <v>6</v>
      </c>
      <c r="X217" s="34"/>
      <c r="Y217" s="3" cm="1">
        <f t="array" ref="Y217">IFERROR(COUNT(_xlfn._xlws.FILTER(B217:G217, ISNUMBER(MATCH(B217:G217, {2,3,5,7,11,13,17,19,23,29,31,37,41,43}, 0)))), 0)</f>
        <v>0</v>
      </c>
      <c r="Z217" s="3" cm="1">
        <f t="array" ref="Z217">IFERROR(COUNT(_xlfn._xlws.FILTER(B217:G217, ISNUMBER(MATCH(B217:G217, {1,4,8,10,14,16,20,22,25,26,28,32,34,35,38,40,44}, 0)))), 0)</f>
        <v>0</v>
      </c>
      <c r="AA217" s="3" cm="1">
        <f t="array" ref="AA217">IFERROR(COUNT(_xlfn._xlws.FILTER(B217:G217, ISNUMBER(MATCH(B217:G217, {6,9,12,15,18,21,24,27,30,33,36,39,42,45}, 0)))), 0)</f>
        <v>0</v>
      </c>
      <c r="AB217" s="30"/>
      <c r="AC217" s="26" cm="1">
        <f t="array" ref="AC217">_xlfn.IFS(
   OR(B217="",ISBLANK(B217),B217=0),0,
   ISNUMBER(MATCH(B217,{2,3,5,7,11,13,17,19,23,29,31,37,41,43},0)),"소",
   AND(ISNUMBER(B217),MOD(B217,3)=0),"배",
   AND(ISNUMBER(B217),B217&gt;0),"자"
)</f>
        <v>0</v>
      </c>
      <c r="AD217" s="26" cm="1">
        <f t="array" ref="AD217">_xlfn.IFS(
   OR(C217="",ISBLANK(C217),C217=0),0,
   ISNUMBER(MATCH(C217,{2,3,5,7,11,13,17,19,23,29,31,37,41,43},0)),"소",
   AND(ISNUMBER(C217),MOD(C217,3)=0),"배",
   AND(ISNUMBER(C217),C217&gt;0),"자"
)</f>
        <v>0</v>
      </c>
      <c r="AE217" s="26" cm="1">
        <f t="array" ref="AE217">_xlfn.IFS(
   OR(D217="",ISBLANK(D217),D217=0),0,
   ISNUMBER(MATCH(D217,{2,3,5,7,11,13,17,19,23,29,31,37,41,43},0)),"소",
   AND(ISNUMBER(D217),MOD(D217,3)=0),"배",
   AND(ISNUMBER(D217),D217&gt;0),"자"
)</f>
        <v>0</v>
      </c>
      <c r="AF217" s="26" cm="1">
        <f t="array" ref="AF217">_xlfn.IFS(
   OR(E217="",ISBLANK(E217),E217=0),0,
   ISNUMBER(MATCH(E217,{2,3,5,7,11,13,17,19,23,29,31,37,41,43},0)),"소",
   AND(ISNUMBER(E217),MOD(E217,3)=0),"배",
   AND(ISNUMBER(E217),E217&gt;0),"자"
)</f>
        <v>0</v>
      </c>
      <c r="AG217" s="26" cm="1">
        <f t="array" ref="AG217">_xlfn.IFS(
   OR(F217="",ISBLANK(F217),F217=0),0,
   ISNUMBER(MATCH(F217,{2,3,5,7,11,13,17,19,23,29,31,37,41,43},0)),"소",
   AND(ISNUMBER(F217),MOD(F217,3)=0),"배",
   AND(ISNUMBER(F217),F217&gt;0),"자"
)</f>
        <v>0</v>
      </c>
      <c r="AH217" s="26" cm="1">
        <f t="array" ref="AH217">_xlfn.IFS(
   OR(G217="",ISBLANK(G217),G217=0),0,
   ISNUMBER(MATCH(G217,{2,3,5,7,11,13,17,19,23,29,31,37,41,43},0)),"소",
   AND(ISNUMBER(G217),MOD(G217,3)=0),"배",
   AND(ISNUMBER(G217),G217&gt;0),"자"
)</f>
        <v>0</v>
      </c>
      <c r="AI217" s="30"/>
      <c r="AJ217" s="3">
        <f t="shared" si="130"/>
        <v>0</v>
      </c>
      <c r="AK217" s="3">
        <f t="shared" si="131"/>
        <v>0</v>
      </c>
      <c r="AL217" s="3">
        <f t="shared" si="132"/>
        <v>6</v>
      </c>
      <c r="AM217" s="33"/>
      <c r="AN217" s="3">
        <f t="shared" si="133"/>
        <v>0</v>
      </c>
      <c r="AO217" s="3">
        <f t="shared" si="134"/>
        <v>0</v>
      </c>
      <c r="AP217" s="3">
        <f t="shared" si="135"/>
        <v>0</v>
      </c>
      <c r="AQ217" s="3">
        <f t="shared" si="136"/>
        <v>0</v>
      </c>
      <c r="AR217" s="3">
        <f t="shared" si="137"/>
        <v>0</v>
      </c>
      <c r="AS217" s="28" t="e">
        <f>#REF!</f>
        <v>#REF!</v>
      </c>
      <c r="AT217" s="28" t="e">
        <f>#REF!*2</f>
        <v>#REF!</v>
      </c>
      <c r="AU217" s="28" t="e">
        <f>#REF!</f>
        <v>#REF!</v>
      </c>
      <c r="AV217" s="28" t="e">
        <f>#REF!*2</f>
        <v>#REF!</v>
      </c>
      <c r="AW217" s="28" t="e">
        <f>#REF!</f>
        <v>#REF!</v>
      </c>
      <c r="AX217" s="28" t="e">
        <f>#REF!*2</f>
        <v>#REF!</v>
      </c>
      <c r="AY217" s="28" t="e">
        <f>#REF!</f>
        <v>#REF!</v>
      </c>
      <c r="AZ217" s="28" t="e">
        <f>#REF!*2</f>
        <v>#REF!</v>
      </c>
      <c r="BA217" s="28" t="e">
        <f>#REF!</f>
        <v>#REF!</v>
      </c>
      <c r="BB217" s="28" t="e">
        <f>#REF!*2</f>
        <v>#REF!</v>
      </c>
      <c r="BC217" s="28" t="e">
        <f>#REF!</f>
        <v>#REF!</v>
      </c>
      <c r="BD217" s="28" t="e">
        <f>#REF!*2</f>
        <v>#REF!</v>
      </c>
      <c r="BE217" s="9" t="e">
        <f>#REF!-#REF!</f>
        <v>#REF!</v>
      </c>
      <c r="BF217" s="9" t="e">
        <f>#REF!-#REF!</f>
        <v>#REF!</v>
      </c>
      <c r="BG217" s="9" t="e">
        <f>#REF!-#REF!</f>
        <v>#REF!</v>
      </c>
      <c r="BH217" s="9" t="e">
        <f>#REF!-#REF!</f>
        <v>#REF!</v>
      </c>
      <c r="BI217" s="9" t="e">
        <f>#REF!-#REF!</f>
        <v>#REF!</v>
      </c>
      <c r="BJ217" s="33"/>
      <c r="BK217" s="3">
        <f t="shared" si="138"/>
        <v>0</v>
      </c>
      <c r="BL217" s="3">
        <f t="shared" si="139"/>
        <v>0</v>
      </c>
      <c r="BM217" s="3">
        <f t="shared" si="140"/>
        <v>0</v>
      </c>
      <c r="BN217" s="3">
        <f t="shared" si="141"/>
        <v>0</v>
      </c>
      <c r="BO217" s="3">
        <f t="shared" si="142"/>
        <v>0</v>
      </c>
      <c r="BP217" s="28" t="e">
        <f>#REF!</f>
        <v>#REF!</v>
      </c>
      <c r="BQ217" s="28" t="e">
        <f>#REF!*2</f>
        <v>#REF!</v>
      </c>
      <c r="BR217" s="28" t="e">
        <f>#REF!</f>
        <v>#REF!</v>
      </c>
      <c r="BS217" s="28" t="e">
        <f>#REF!*2</f>
        <v>#REF!</v>
      </c>
      <c r="BT217" s="28" t="e">
        <f>#REF!</f>
        <v>#REF!</v>
      </c>
      <c r="BU217" s="28" t="e">
        <f>#REF!*2</f>
        <v>#REF!</v>
      </c>
      <c r="BV217" s="28" t="e">
        <f>#REF!</f>
        <v>#REF!</v>
      </c>
      <c r="BW217" s="28" t="e">
        <f>#REF!*2</f>
        <v>#REF!</v>
      </c>
      <c r="BX217" s="28" t="e">
        <f>#REF!</f>
        <v>#REF!</v>
      </c>
      <c r="BY217" s="28" t="e">
        <f>#REF!*2</f>
        <v>#REF!</v>
      </c>
      <c r="BZ217" s="28" t="e">
        <f>#REF!</f>
        <v>#REF!</v>
      </c>
      <c r="CA217" s="28" t="e">
        <f>#REF!*2</f>
        <v>#REF!</v>
      </c>
      <c r="CB217" s="9">
        <f t="shared" si="143"/>
        <v>0</v>
      </c>
      <c r="CC217" s="9">
        <f t="shared" si="144"/>
        <v>0</v>
      </c>
      <c r="CD217" s="9">
        <f t="shared" si="145"/>
        <v>0</v>
      </c>
      <c r="CE217" s="9">
        <f t="shared" si="146"/>
        <v>0</v>
      </c>
      <c r="CF217" s="9">
        <f t="shared" si="147"/>
        <v>0</v>
      </c>
      <c r="CG217" s="33"/>
      <c r="CH217" s="3">
        <f t="shared" si="148"/>
        <v>0</v>
      </c>
      <c r="CI217" s="3">
        <f t="shared" si="149"/>
        <v>0</v>
      </c>
      <c r="CJ217" s="3">
        <f t="shared" si="150"/>
        <v>0</v>
      </c>
      <c r="CK217" s="3">
        <f t="shared" si="151"/>
        <v>0</v>
      </c>
      <c r="CL217" s="3">
        <f t="shared" si="152"/>
        <v>0</v>
      </c>
      <c r="CM217" s="32"/>
      <c r="CN217" s="3">
        <f t="shared" si="153"/>
        <v>0</v>
      </c>
      <c r="CO217" s="3">
        <f t="shared" si="154"/>
        <v>0</v>
      </c>
      <c r="CP217" s="3">
        <f t="shared" si="155"/>
        <v>0</v>
      </c>
      <c r="CQ217" s="3">
        <f t="shared" si="156"/>
        <v>0</v>
      </c>
      <c r="CR217" s="3">
        <f t="shared" si="157"/>
        <v>0</v>
      </c>
      <c r="CS217" s="31"/>
      <c r="CT217" s="3" cm="1">
        <f t="array" ref="CT217">SUMPRODUCT(--(MOD(CH217:CL217,2)=1))</f>
        <v>0</v>
      </c>
      <c r="CU217" s="3">
        <f t="shared" si="158"/>
        <v>5</v>
      </c>
      <c r="CV217" s="30"/>
      <c r="CW217" s="3" cm="1">
        <f t="array" ref="CW217">SUMPRODUCT(--(MOD(CH217:CL217,10)&gt;=1), --(MOD(CH217:CL217,10)&lt;=5))</f>
        <v>0</v>
      </c>
      <c r="CX217" s="3">
        <f t="shared" si="159"/>
        <v>5</v>
      </c>
      <c r="CY217" s="30"/>
      <c r="CZ217" s="3" cm="1">
        <f t="array" ref="CZ217">IFERROR(COUNT(_xlfn._xlws.FILTER(CH217:CL217, ISNUMBER(MATCH(CH217:CL217, {2,3,5,7,11,13,17,19,23,29,31,37,41,43}, 0)))), 0)</f>
        <v>0</v>
      </c>
      <c r="DA217" s="3" cm="1">
        <f t="array" ref="DA217">IFERROR(COUNT(_xlfn._xlws.FILTER(CH217:CL217, ISNUMBER(MATCH(CH217:CL217, {1,4,8,10,14,16,20,22,25,26,28,32,34,35,38,40,44}, 0)))), 0)</f>
        <v>0</v>
      </c>
      <c r="DB217" s="3" cm="1">
        <f t="array" ref="DB217">IFERROR(COUNT(_xlfn._xlws.FILTER(CH217:CL217, ISNUMBER(MATCH(CH217:CL217, {6,9,12,15,18,21,24,27,30,33,36,39,42,45}, 0)))), 0)</f>
        <v>0</v>
      </c>
      <c r="DC217" s="29"/>
      <c r="DD217" s="28" t="e">
        <f>#REF!</f>
        <v>#REF!</v>
      </c>
      <c r="DE217" s="28" t="e">
        <f>#REF!*2</f>
        <v>#REF!</v>
      </c>
      <c r="DF217" s="28" t="e">
        <f>#REF!</f>
        <v>#REF!</v>
      </c>
      <c r="DG217" s="28" t="e">
        <f>#REF!*2</f>
        <v>#REF!</v>
      </c>
      <c r="DH217" s="28" t="e">
        <f>#REF!</f>
        <v>#REF!</v>
      </c>
      <c r="DI217" s="28" t="e">
        <f>#REF!*2</f>
        <v>#REF!</v>
      </c>
      <c r="DJ217" s="28" t="e">
        <f>#REF!</f>
        <v>#REF!</v>
      </c>
      <c r="DK217" s="28" t="e">
        <f>#REF!*2</f>
        <v>#REF!</v>
      </c>
      <c r="DL217" s="28" t="e">
        <f>#REF!</f>
        <v>#REF!</v>
      </c>
      <c r="DM217" s="28" t="e">
        <f>#REF!*2</f>
        <v>#REF!</v>
      </c>
      <c r="DN217" s="27"/>
      <c r="DO217" s="26"/>
      <c r="DP217" s="26"/>
      <c r="DQ217" s="26"/>
      <c r="DR217" s="26"/>
      <c r="DS217" s="26"/>
      <c r="DT217" s="25"/>
    </row>
    <row r="218" spans="2:124" x14ac:dyDescent="0.3"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2"/>
      <c r="I218" s="3">
        <f t="shared" si="120"/>
        <v>0</v>
      </c>
      <c r="J218" s="3">
        <f t="shared" si="121"/>
        <v>0</v>
      </c>
      <c r="K218" s="3">
        <f t="shared" si="122"/>
        <v>0</v>
      </c>
      <c r="L218" s="3">
        <f t="shared" si="123"/>
        <v>0</v>
      </c>
      <c r="M218" s="3">
        <f t="shared" si="124"/>
        <v>0</v>
      </c>
      <c r="N218" s="3">
        <f t="shared" si="125"/>
        <v>0</v>
      </c>
      <c r="O218" s="32"/>
      <c r="P218" s="3" cm="1">
        <f t="array" ref="P218">SUMPRODUCT(--(MOD(B218:G218,2)=1))</f>
        <v>0</v>
      </c>
      <c r="Q218" s="3">
        <f t="shared" si="126"/>
        <v>6</v>
      </c>
      <c r="R218" s="34"/>
      <c r="S218" s="3">
        <f t="shared" si="127"/>
        <v>0</v>
      </c>
      <c r="T218" s="3">
        <f t="shared" si="128"/>
        <v>6</v>
      </c>
      <c r="U218" s="34"/>
      <c r="V218" s="3" cm="1">
        <f t="array" ref="V218">SUMPRODUCT(--(MOD(B218:G218,10)&gt;=1), --(MOD(B218:G218,10)&lt;=5))</f>
        <v>0</v>
      </c>
      <c r="W218" s="3">
        <f t="shared" si="129"/>
        <v>6</v>
      </c>
      <c r="X218" s="34"/>
      <c r="Y218" s="3" cm="1">
        <f t="array" ref="Y218">IFERROR(COUNT(_xlfn._xlws.FILTER(B218:G218, ISNUMBER(MATCH(B218:G218, {2,3,5,7,11,13,17,19,23,29,31,37,41,43}, 0)))), 0)</f>
        <v>0</v>
      </c>
      <c r="Z218" s="3" cm="1">
        <f t="array" ref="Z218">IFERROR(COUNT(_xlfn._xlws.FILTER(B218:G218, ISNUMBER(MATCH(B218:G218, {1,4,8,10,14,16,20,22,25,26,28,32,34,35,38,40,44}, 0)))), 0)</f>
        <v>0</v>
      </c>
      <c r="AA218" s="3" cm="1">
        <f t="array" ref="AA218">IFERROR(COUNT(_xlfn._xlws.FILTER(B218:G218, ISNUMBER(MATCH(B218:G218, {6,9,12,15,18,21,24,27,30,33,36,39,42,45}, 0)))), 0)</f>
        <v>0</v>
      </c>
      <c r="AB218" s="30"/>
      <c r="AC218" s="26" cm="1">
        <f t="array" ref="AC218">_xlfn.IFS(
   OR(B218="",ISBLANK(B218),B218=0),0,
   ISNUMBER(MATCH(B218,{2,3,5,7,11,13,17,19,23,29,31,37,41,43},0)),"소",
   AND(ISNUMBER(B218),MOD(B218,3)=0),"배",
   AND(ISNUMBER(B218),B218&gt;0),"자"
)</f>
        <v>0</v>
      </c>
      <c r="AD218" s="26" cm="1">
        <f t="array" ref="AD218">_xlfn.IFS(
   OR(C218="",ISBLANK(C218),C218=0),0,
   ISNUMBER(MATCH(C218,{2,3,5,7,11,13,17,19,23,29,31,37,41,43},0)),"소",
   AND(ISNUMBER(C218),MOD(C218,3)=0),"배",
   AND(ISNUMBER(C218),C218&gt;0),"자"
)</f>
        <v>0</v>
      </c>
      <c r="AE218" s="26" cm="1">
        <f t="array" ref="AE218">_xlfn.IFS(
   OR(D218="",ISBLANK(D218),D218=0),0,
   ISNUMBER(MATCH(D218,{2,3,5,7,11,13,17,19,23,29,31,37,41,43},0)),"소",
   AND(ISNUMBER(D218),MOD(D218,3)=0),"배",
   AND(ISNUMBER(D218),D218&gt;0),"자"
)</f>
        <v>0</v>
      </c>
      <c r="AF218" s="26" cm="1">
        <f t="array" ref="AF218">_xlfn.IFS(
   OR(E218="",ISBLANK(E218),E218=0),0,
   ISNUMBER(MATCH(E218,{2,3,5,7,11,13,17,19,23,29,31,37,41,43},0)),"소",
   AND(ISNUMBER(E218),MOD(E218,3)=0),"배",
   AND(ISNUMBER(E218),E218&gt;0),"자"
)</f>
        <v>0</v>
      </c>
      <c r="AG218" s="26" cm="1">
        <f t="array" ref="AG218">_xlfn.IFS(
   OR(F218="",ISBLANK(F218),F218=0),0,
   ISNUMBER(MATCH(F218,{2,3,5,7,11,13,17,19,23,29,31,37,41,43},0)),"소",
   AND(ISNUMBER(F218),MOD(F218,3)=0),"배",
   AND(ISNUMBER(F218),F218&gt;0),"자"
)</f>
        <v>0</v>
      </c>
      <c r="AH218" s="26" cm="1">
        <f t="array" ref="AH218">_xlfn.IFS(
   OR(G218="",ISBLANK(G218),G218=0),0,
   ISNUMBER(MATCH(G218,{2,3,5,7,11,13,17,19,23,29,31,37,41,43},0)),"소",
   AND(ISNUMBER(G218),MOD(G218,3)=0),"배",
   AND(ISNUMBER(G218),G218&gt;0),"자"
)</f>
        <v>0</v>
      </c>
      <c r="AI218" s="30"/>
      <c r="AJ218" s="3">
        <f t="shared" si="130"/>
        <v>0</v>
      </c>
      <c r="AK218" s="3">
        <f t="shared" si="131"/>
        <v>0</v>
      </c>
      <c r="AL218" s="3">
        <f t="shared" si="132"/>
        <v>6</v>
      </c>
      <c r="AM218" s="33"/>
      <c r="AN218" s="3">
        <f t="shared" si="133"/>
        <v>0</v>
      </c>
      <c r="AO218" s="3">
        <f t="shared" si="134"/>
        <v>0</v>
      </c>
      <c r="AP218" s="3">
        <f t="shared" si="135"/>
        <v>0</v>
      </c>
      <c r="AQ218" s="3">
        <f t="shared" si="136"/>
        <v>0</v>
      </c>
      <c r="AR218" s="3">
        <f t="shared" si="137"/>
        <v>0</v>
      </c>
      <c r="AS218" s="28" t="e">
        <f>#REF!</f>
        <v>#REF!</v>
      </c>
      <c r="AT218" s="28" t="e">
        <f>#REF!*2</f>
        <v>#REF!</v>
      </c>
      <c r="AU218" s="28" t="e">
        <f>#REF!</f>
        <v>#REF!</v>
      </c>
      <c r="AV218" s="28" t="e">
        <f>#REF!*2</f>
        <v>#REF!</v>
      </c>
      <c r="AW218" s="28" t="e">
        <f>#REF!</f>
        <v>#REF!</v>
      </c>
      <c r="AX218" s="28" t="e">
        <f>#REF!*2</f>
        <v>#REF!</v>
      </c>
      <c r="AY218" s="28" t="e">
        <f>#REF!</f>
        <v>#REF!</v>
      </c>
      <c r="AZ218" s="28" t="e">
        <f>#REF!*2</f>
        <v>#REF!</v>
      </c>
      <c r="BA218" s="28" t="e">
        <f>#REF!</f>
        <v>#REF!</v>
      </c>
      <c r="BB218" s="28" t="e">
        <f>#REF!*2</f>
        <v>#REF!</v>
      </c>
      <c r="BC218" s="28" t="e">
        <f>#REF!</f>
        <v>#REF!</v>
      </c>
      <c r="BD218" s="28" t="e">
        <f>#REF!*2</f>
        <v>#REF!</v>
      </c>
      <c r="BE218" s="9" t="e">
        <f>#REF!-#REF!</f>
        <v>#REF!</v>
      </c>
      <c r="BF218" s="9" t="e">
        <f>#REF!-#REF!</f>
        <v>#REF!</v>
      </c>
      <c r="BG218" s="9" t="e">
        <f>#REF!-#REF!</f>
        <v>#REF!</v>
      </c>
      <c r="BH218" s="9" t="e">
        <f>#REF!-#REF!</f>
        <v>#REF!</v>
      </c>
      <c r="BI218" s="9" t="e">
        <f>#REF!-#REF!</f>
        <v>#REF!</v>
      </c>
      <c r="BJ218" s="33"/>
      <c r="BK218" s="3">
        <f t="shared" si="138"/>
        <v>0</v>
      </c>
      <c r="BL218" s="3">
        <f t="shared" si="139"/>
        <v>0</v>
      </c>
      <c r="BM218" s="3">
        <f t="shared" si="140"/>
        <v>0</v>
      </c>
      <c r="BN218" s="3">
        <f t="shared" si="141"/>
        <v>0</v>
      </c>
      <c r="BO218" s="3">
        <f t="shared" si="142"/>
        <v>0</v>
      </c>
      <c r="BP218" s="28" t="e">
        <f>#REF!</f>
        <v>#REF!</v>
      </c>
      <c r="BQ218" s="28" t="e">
        <f>#REF!*2</f>
        <v>#REF!</v>
      </c>
      <c r="BR218" s="28" t="e">
        <f>#REF!</f>
        <v>#REF!</v>
      </c>
      <c r="BS218" s="28" t="e">
        <f>#REF!*2</f>
        <v>#REF!</v>
      </c>
      <c r="BT218" s="28" t="e">
        <f>#REF!</f>
        <v>#REF!</v>
      </c>
      <c r="BU218" s="28" t="e">
        <f>#REF!*2</f>
        <v>#REF!</v>
      </c>
      <c r="BV218" s="28" t="e">
        <f>#REF!</f>
        <v>#REF!</v>
      </c>
      <c r="BW218" s="28" t="e">
        <f>#REF!*2</f>
        <v>#REF!</v>
      </c>
      <c r="BX218" s="28" t="e">
        <f>#REF!</f>
        <v>#REF!</v>
      </c>
      <c r="BY218" s="28" t="e">
        <f>#REF!*2</f>
        <v>#REF!</v>
      </c>
      <c r="BZ218" s="28" t="e">
        <f>#REF!</f>
        <v>#REF!</v>
      </c>
      <c r="CA218" s="28" t="e">
        <f>#REF!*2</f>
        <v>#REF!</v>
      </c>
      <c r="CB218" s="9">
        <f t="shared" si="143"/>
        <v>0</v>
      </c>
      <c r="CC218" s="9">
        <f t="shared" si="144"/>
        <v>0</v>
      </c>
      <c r="CD218" s="9">
        <f t="shared" si="145"/>
        <v>0</v>
      </c>
      <c r="CE218" s="9">
        <f t="shared" si="146"/>
        <v>0</v>
      </c>
      <c r="CF218" s="9">
        <f t="shared" si="147"/>
        <v>0</v>
      </c>
      <c r="CG218" s="33"/>
      <c r="CH218" s="3">
        <f t="shared" si="148"/>
        <v>0</v>
      </c>
      <c r="CI218" s="3">
        <f t="shared" si="149"/>
        <v>0</v>
      </c>
      <c r="CJ218" s="3">
        <f t="shared" si="150"/>
        <v>0</v>
      </c>
      <c r="CK218" s="3">
        <f t="shared" si="151"/>
        <v>0</v>
      </c>
      <c r="CL218" s="3">
        <f t="shared" si="152"/>
        <v>0</v>
      </c>
      <c r="CM218" s="32"/>
      <c r="CN218" s="3">
        <f t="shared" si="153"/>
        <v>0</v>
      </c>
      <c r="CO218" s="3">
        <f t="shared" si="154"/>
        <v>0</v>
      </c>
      <c r="CP218" s="3">
        <f t="shared" si="155"/>
        <v>0</v>
      </c>
      <c r="CQ218" s="3">
        <f t="shared" si="156"/>
        <v>0</v>
      </c>
      <c r="CR218" s="3">
        <f t="shared" si="157"/>
        <v>0</v>
      </c>
      <c r="CS218" s="31"/>
      <c r="CT218" s="3" cm="1">
        <f t="array" ref="CT218">SUMPRODUCT(--(MOD(CH218:CL218,2)=1))</f>
        <v>0</v>
      </c>
      <c r="CU218" s="3">
        <f t="shared" si="158"/>
        <v>5</v>
      </c>
      <c r="CV218" s="30"/>
      <c r="CW218" s="3" cm="1">
        <f t="array" ref="CW218">SUMPRODUCT(--(MOD(CH218:CL218,10)&gt;=1), --(MOD(CH218:CL218,10)&lt;=5))</f>
        <v>0</v>
      </c>
      <c r="CX218" s="3">
        <f t="shared" si="159"/>
        <v>5</v>
      </c>
      <c r="CY218" s="30"/>
      <c r="CZ218" s="3" cm="1">
        <f t="array" ref="CZ218">IFERROR(COUNT(_xlfn._xlws.FILTER(CH218:CL218, ISNUMBER(MATCH(CH218:CL218, {2,3,5,7,11,13,17,19,23,29,31,37,41,43}, 0)))), 0)</f>
        <v>0</v>
      </c>
      <c r="DA218" s="3" cm="1">
        <f t="array" ref="DA218">IFERROR(COUNT(_xlfn._xlws.FILTER(CH218:CL218, ISNUMBER(MATCH(CH218:CL218, {1,4,8,10,14,16,20,22,25,26,28,32,34,35,38,40,44}, 0)))), 0)</f>
        <v>0</v>
      </c>
      <c r="DB218" s="3" cm="1">
        <f t="array" ref="DB218">IFERROR(COUNT(_xlfn._xlws.FILTER(CH218:CL218, ISNUMBER(MATCH(CH218:CL218, {6,9,12,15,18,21,24,27,30,33,36,39,42,45}, 0)))), 0)</f>
        <v>0</v>
      </c>
      <c r="DC218" s="29"/>
      <c r="DD218" s="28" t="e">
        <f>#REF!</f>
        <v>#REF!</v>
      </c>
      <c r="DE218" s="28" t="e">
        <f>#REF!*2</f>
        <v>#REF!</v>
      </c>
      <c r="DF218" s="28" t="e">
        <f>#REF!</f>
        <v>#REF!</v>
      </c>
      <c r="DG218" s="28" t="e">
        <f>#REF!*2</f>
        <v>#REF!</v>
      </c>
      <c r="DH218" s="28" t="e">
        <f>#REF!</f>
        <v>#REF!</v>
      </c>
      <c r="DI218" s="28" t="e">
        <f>#REF!*2</f>
        <v>#REF!</v>
      </c>
      <c r="DJ218" s="28" t="e">
        <f>#REF!</f>
        <v>#REF!</v>
      </c>
      <c r="DK218" s="28" t="e">
        <f>#REF!*2</f>
        <v>#REF!</v>
      </c>
      <c r="DL218" s="28" t="e">
        <f>#REF!</f>
        <v>#REF!</v>
      </c>
      <c r="DM218" s="28" t="e">
        <f>#REF!*2</f>
        <v>#REF!</v>
      </c>
      <c r="DN218" s="27"/>
      <c r="DO218" s="26"/>
      <c r="DP218" s="26"/>
      <c r="DQ218" s="26"/>
      <c r="DR218" s="26"/>
      <c r="DS218" s="26"/>
      <c r="DT218" s="25"/>
    </row>
    <row r="219" spans="2:124" x14ac:dyDescent="0.3"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2"/>
      <c r="I219" s="3">
        <f t="shared" si="120"/>
        <v>0</v>
      </c>
      <c r="J219" s="3">
        <f t="shared" si="121"/>
        <v>0</v>
      </c>
      <c r="K219" s="3">
        <f t="shared" si="122"/>
        <v>0</v>
      </c>
      <c r="L219" s="3">
        <f t="shared" si="123"/>
        <v>0</v>
      </c>
      <c r="M219" s="3">
        <f t="shared" si="124"/>
        <v>0</v>
      </c>
      <c r="N219" s="3">
        <f t="shared" si="125"/>
        <v>0</v>
      </c>
      <c r="O219" s="32"/>
      <c r="P219" s="3" cm="1">
        <f t="array" ref="P219">SUMPRODUCT(--(MOD(B219:G219,2)=1))</f>
        <v>0</v>
      </c>
      <c r="Q219" s="3">
        <f t="shared" si="126"/>
        <v>6</v>
      </c>
      <c r="R219" s="34"/>
      <c r="S219" s="3">
        <f t="shared" si="127"/>
        <v>0</v>
      </c>
      <c r="T219" s="3">
        <f t="shared" si="128"/>
        <v>6</v>
      </c>
      <c r="U219" s="34"/>
      <c r="V219" s="3" cm="1">
        <f t="array" ref="V219">SUMPRODUCT(--(MOD(B219:G219,10)&gt;=1), --(MOD(B219:G219,10)&lt;=5))</f>
        <v>0</v>
      </c>
      <c r="W219" s="3">
        <f t="shared" si="129"/>
        <v>6</v>
      </c>
      <c r="X219" s="34"/>
      <c r="Y219" s="3" cm="1">
        <f t="array" ref="Y219">IFERROR(COUNT(_xlfn._xlws.FILTER(B219:G219, ISNUMBER(MATCH(B219:G219, {2,3,5,7,11,13,17,19,23,29,31,37,41,43}, 0)))), 0)</f>
        <v>0</v>
      </c>
      <c r="Z219" s="3" cm="1">
        <f t="array" ref="Z219">IFERROR(COUNT(_xlfn._xlws.FILTER(B219:G219, ISNUMBER(MATCH(B219:G219, {1,4,8,10,14,16,20,22,25,26,28,32,34,35,38,40,44}, 0)))), 0)</f>
        <v>0</v>
      </c>
      <c r="AA219" s="3" cm="1">
        <f t="array" ref="AA219">IFERROR(COUNT(_xlfn._xlws.FILTER(B219:G219, ISNUMBER(MATCH(B219:G219, {6,9,12,15,18,21,24,27,30,33,36,39,42,45}, 0)))), 0)</f>
        <v>0</v>
      </c>
      <c r="AB219" s="30"/>
      <c r="AC219" s="26" cm="1">
        <f t="array" ref="AC219">_xlfn.IFS(
   OR(B219="",ISBLANK(B219),B219=0),0,
   ISNUMBER(MATCH(B219,{2,3,5,7,11,13,17,19,23,29,31,37,41,43},0)),"소",
   AND(ISNUMBER(B219),MOD(B219,3)=0),"배",
   AND(ISNUMBER(B219),B219&gt;0),"자"
)</f>
        <v>0</v>
      </c>
      <c r="AD219" s="26" cm="1">
        <f t="array" ref="AD219">_xlfn.IFS(
   OR(C219="",ISBLANK(C219),C219=0),0,
   ISNUMBER(MATCH(C219,{2,3,5,7,11,13,17,19,23,29,31,37,41,43},0)),"소",
   AND(ISNUMBER(C219),MOD(C219,3)=0),"배",
   AND(ISNUMBER(C219),C219&gt;0),"자"
)</f>
        <v>0</v>
      </c>
      <c r="AE219" s="26" cm="1">
        <f t="array" ref="AE219">_xlfn.IFS(
   OR(D219="",ISBLANK(D219),D219=0),0,
   ISNUMBER(MATCH(D219,{2,3,5,7,11,13,17,19,23,29,31,37,41,43},0)),"소",
   AND(ISNUMBER(D219),MOD(D219,3)=0),"배",
   AND(ISNUMBER(D219),D219&gt;0),"자"
)</f>
        <v>0</v>
      </c>
      <c r="AF219" s="26" cm="1">
        <f t="array" ref="AF219">_xlfn.IFS(
   OR(E219="",ISBLANK(E219),E219=0),0,
   ISNUMBER(MATCH(E219,{2,3,5,7,11,13,17,19,23,29,31,37,41,43},0)),"소",
   AND(ISNUMBER(E219),MOD(E219,3)=0),"배",
   AND(ISNUMBER(E219),E219&gt;0),"자"
)</f>
        <v>0</v>
      </c>
      <c r="AG219" s="26" cm="1">
        <f t="array" ref="AG219">_xlfn.IFS(
   OR(F219="",ISBLANK(F219),F219=0),0,
   ISNUMBER(MATCH(F219,{2,3,5,7,11,13,17,19,23,29,31,37,41,43},0)),"소",
   AND(ISNUMBER(F219),MOD(F219,3)=0),"배",
   AND(ISNUMBER(F219),F219&gt;0),"자"
)</f>
        <v>0</v>
      </c>
      <c r="AH219" s="26" cm="1">
        <f t="array" ref="AH219">_xlfn.IFS(
   OR(G219="",ISBLANK(G219),G219=0),0,
   ISNUMBER(MATCH(G219,{2,3,5,7,11,13,17,19,23,29,31,37,41,43},0)),"소",
   AND(ISNUMBER(G219),MOD(G219,3)=0),"배",
   AND(ISNUMBER(G219),G219&gt;0),"자"
)</f>
        <v>0</v>
      </c>
      <c r="AI219" s="30"/>
      <c r="AJ219" s="3">
        <f t="shared" si="130"/>
        <v>0</v>
      </c>
      <c r="AK219" s="3">
        <f t="shared" si="131"/>
        <v>0</v>
      </c>
      <c r="AL219" s="3">
        <f t="shared" si="132"/>
        <v>6</v>
      </c>
      <c r="AM219" s="33"/>
      <c r="AN219" s="3">
        <f t="shared" si="133"/>
        <v>0</v>
      </c>
      <c r="AO219" s="3">
        <f t="shared" si="134"/>
        <v>0</v>
      </c>
      <c r="AP219" s="3">
        <f t="shared" si="135"/>
        <v>0</v>
      </c>
      <c r="AQ219" s="3">
        <f t="shared" si="136"/>
        <v>0</v>
      </c>
      <c r="AR219" s="3">
        <f t="shared" si="137"/>
        <v>0</v>
      </c>
      <c r="AS219" s="28" t="e">
        <f>#REF!</f>
        <v>#REF!</v>
      </c>
      <c r="AT219" s="28" t="e">
        <f>#REF!*2</f>
        <v>#REF!</v>
      </c>
      <c r="AU219" s="28" t="e">
        <f>#REF!</f>
        <v>#REF!</v>
      </c>
      <c r="AV219" s="28" t="e">
        <f>#REF!*2</f>
        <v>#REF!</v>
      </c>
      <c r="AW219" s="28" t="e">
        <f>#REF!</f>
        <v>#REF!</v>
      </c>
      <c r="AX219" s="28" t="e">
        <f>#REF!*2</f>
        <v>#REF!</v>
      </c>
      <c r="AY219" s="28" t="e">
        <f>#REF!</f>
        <v>#REF!</v>
      </c>
      <c r="AZ219" s="28" t="e">
        <f>#REF!*2</f>
        <v>#REF!</v>
      </c>
      <c r="BA219" s="28" t="e">
        <f>#REF!</f>
        <v>#REF!</v>
      </c>
      <c r="BB219" s="28" t="e">
        <f>#REF!*2</f>
        <v>#REF!</v>
      </c>
      <c r="BC219" s="28" t="e">
        <f>#REF!</f>
        <v>#REF!</v>
      </c>
      <c r="BD219" s="28" t="e">
        <f>#REF!*2</f>
        <v>#REF!</v>
      </c>
      <c r="BE219" s="9" t="e">
        <f>#REF!-#REF!</f>
        <v>#REF!</v>
      </c>
      <c r="BF219" s="9" t="e">
        <f>#REF!-#REF!</f>
        <v>#REF!</v>
      </c>
      <c r="BG219" s="9" t="e">
        <f>#REF!-#REF!</f>
        <v>#REF!</v>
      </c>
      <c r="BH219" s="9" t="e">
        <f>#REF!-#REF!</f>
        <v>#REF!</v>
      </c>
      <c r="BI219" s="9" t="e">
        <f>#REF!-#REF!</f>
        <v>#REF!</v>
      </c>
      <c r="BJ219" s="33"/>
      <c r="BK219" s="3">
        <f t="shared" si="138"/>
        <v>0</v>
      </c>
      <c r="BL219" s="3">
        <f t="shared" si="139"/>
        <v>0</v>
      </c>
      <c r="BM219" s="3">
        <f t="shared" si="140"/>
        <v>0</v>
      </c>
      <c r="BN219" s="3">
        <f t="shared" si="141"/>
        <v>0</v>
      </c>
      <c r="BO219" s="3">
        <f t="shared" si="142"/>
        <v>0</v>
      </c>
      <c r="BP219" s="28" t="e">
        <f>#REF!</f>
        <v>#REF!</v>
      </c>
      <c r="BQ219" s="28" t="e">
        <f>#REF!*2</f>
        <v>#REF!</v>
      </c>
      <c r="BR219" s="28" t="e">
        <f>#REF!</f>
        <v>#REF!</v>
      </c>
      <c r="BS219" s="28" t="e">
        <f>#REF!*2</f>
        <v>#REF!</v>
      </c>
      <c r="BT219" s="28" t="e">
        <f>#REF!</f>
        <v>#REF!</v>
      </c>
      <c r="BU219" s="28" t="e">
        <f>#REF!*2</f>
        <v>#REF!</v>
      </c>
      <c r="BV219" s="28" t="e">
        <f>#REF!</f>
        <v>#REF!</v>
      </c>
      <c r="BW219" s="28" t="e">
        <f>#REF!*2</f>
        <v>#REF!</v>
      </c>
      <c r="BX219" s="28" t="e">
        <f>#REF!</f>
        <v>#REF!</v>
      </c>
      <c r="BY219" s="28" t="e">
        <f>#REF!*2</f>
        <v>#REF!</v>
      </c>
      <c r="BZ219" s="28" t="e">
        <f>#REF!</f>
        <v>#REF!</v>
      </c>
      <c r="CA219" s="28" t="e">
        <f>#REF!*2</f>
        <v>#REF!</v>
      </c>
      <c r="CB219" s="9">
        <f t="shared" si="143"/>
        <v>0</v>
      </c>
      <c r="CC219" s="9">
        <f t="shared" si="144"/>
        <v>0</v>
      </c>
      <c r="CD219" s="9">
        <f t="shared" si="145"/>
        <v>0</v>
      </c>
      <c r="CE219" s="9">
        <f t="shared" si="146"/>
        <v>0</v>
      </c>
      <c r="CF219" s="9">
        <f t="shared" si="147"/>
        <v>0</v>
      </c>
      <c r="CG219" s="33"/>
      <c r="CH219" s="3">
        <f t="shared" si="148"/>
        <v>0</v>
      </c>
      <c r="CI219" s="3">
        <f t="shared" si="149"/>
        <v>0</v>
      </c>
      <c r="CJ219" s="3">
        <f t="shared" si="150"/>
        <v>0</v>
      </c>
      <c r="CK219" s="3">
        <f t="shared" si="151"/>
        <v>0</v>
      </c>
      <c r="CL219" s="3">
        <f t="shared" si="152"/>
        <v>0</v>
      </c>
      <c r="CM219" s="32"/>
      <c r="CN219" s="3">
        <f t="shared" si="153"/>
        <v>0</v>
      </c>
      <c r="CO219" s="3">
        <f t="shared" si="154"/>
        <v>0</v>
      </c>
      <c r="CP219" s="3">
        <f t="shared" si="155"/>
        <v>0</v>
      </c>
      <c r="CQ219" s="3">
        <f t="shared" si="156"/>
        <v>0</v>
      </c>
      <c r="CR219" s="3">
        <f t="shared" si="157"/>
        <v>0</v>
      </c>
      <c r="CS219" s="31"/>
      <c r="CT219" s="3" cm="1">
        <f t="array" ref="CT219">SUMPRODUCT(--(MOD(CH219:CL219,2)=1))</f>
        <v>0</v>
      </c>
      <c r="CU219" s="3">
        <f t="shared" si="158"/>
        <v>5</v>
      </c>
      <c r="CV219" s="30"/>
      <c r="CW219" s="3" cm="1">
        <f t="array" ref="CW219">SUMPRODUCT(--(MOD(CH219:CL219,10)&gt;=1), --(MOD(CH219:CL219,10)&lt;=5))</f>
        <v>0</v>
      </c>
      <c r="CX219" s="3">
        <f t="shared" si="159"/>
        <v>5</v>
      </c>
      <c r="CY219" s="30"/>
      <c r="CZ219" s="3" cm="1">
        <f t="array" ref="CZ219">IFERROR(COUNT(_xlfn._xlws.FILTER(CH219:CL219, ISNUMBER(MATCH(CH219:CL219, {2,3,5,7,11,13,17,19,23,29,31,37,41,43}, 0)))), 0)</f>
        <v>0</v>
      </c>
      <c r="DA219" s="3" cm="1">
        <f t="array" ref="DA219">IFERROR(COUNT(_xlfn._xlws.FILTER(CH219:CL219, ISNUMBER(MATCH(CH219:CL219, {1,4,8,10,14,16,20,22,25,26,28,32,34,35,38,40,44}, 0)))), 0)</f>
        <v>0</v>
      </c>
      <c r="DB219" s="3" cm="1">
        <f t="array" ref="DB219">IFERROR(COUNT(_xlfn._xlws.FILTER(CH219:CL219, ISNUMBER(MATCH(CH219:CL219, {6,9,12,15,18,21,24,27,30,33,36,39,42,45}, 0)))), 0)</f>
        <v>0</v>
      </c>
      <c r="DC219" s="29"/>
      <c r="DD219" s="28" t="e">
        <f>#REF!</f>
        <v>#REF!</v>
      </c>
      <c r="DE219" s="28" t="e">
        <f>#REF!*2</f>
        <v>#REF!</v>
      </c>
      <c r="DF219" s="28" t="e">
        <f>#REF!</f>
        <v>#REF!</v>
      </c>
      <c r="DG219" s="28" t="e">
        <f>#REF!*2</f>
        <v>#REF!</v>
      </c>
      <c r="DH219" s="28" t="e">
        <f>#REF!</f>
        <v>#REF!</v>
      </c>
      <c r="DI219" s="28" t="e">
        <f>#REF!*2</f>
        <v>#REF!</v>
      </c>
      <c r="DJ219" s="28" t="e">
        <f>#REF!</f>
        <v>#REF!</v>
      </c>
      <c r="DK219" s="28" t="e">
        <f>#REF!*2</f>
        <v>#REF!</v>
      </c>
      <c r="DL219" s="28" t="e">
        <f>#REF!</f>
        <v>#REF!</v>
      </c>
      <c r="DM219" s="28" t="e">
        <f>#REF!*2</f>
        <v>#REF!</v>
      </c>
      <c r="DN219" s="27"/>
      <c r="DO219" s="26"/>
      <c r="DP219" s="26"/>
      <c r="DQ219" s="26"/>
      <c r="DR219" s="26"/>
      <c r="DS219" s="26"/>
      <c r="DT219" s="25"/>
    </row>
    <row r="220" spans="2:124" x14ac:dyDescent="0.3"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2"/>
      <c r="I220" s="3">
        <f t="shared" si="120"/>
        <v>0</v>
      </c>
      <c r="J220" s="3">
        <f t="shared" si="121"/>
        <v>0</v>
      </c>
      <c r="K220" s="3">
        <f t="shared" si="122"/>
        <v>0</v>
      </c>
      <c r="L220" s="3">
        <f t="shared" si="123"/>
        <v>0</v>
      </c>
      <c r="M220" s="3">
        <f t="shared" si="124"/>
        <v>0</v>
      </c>
      <c r="N220" s="3">
        <f t="shared" si="125"/>
        <v>0</v>
      </c>
      <c r="O220" s="32"/>
      <c r="P220" s="3" cm="1">
        <f t="array" ref="P220">SUMPRODUCT(--(MOD(B220:G220,2)=1))</f>
        <v>0</v>
      </c>
      <c r="Q220" s="3">
        <f t="shared" si="126"/>
        <v>6</v>
      </c>
      <c r="R220" s="34"/>
      <c r="S220" s="3">
        <f t="shared" si="127"/>
        <v>0</v>
      </c>
      <c r="T220" s="3">
        <f t="shared" si="128"/>
        <v>6</v>
      </c>
      <c r="U220" s="34"/>
      <c r="V220" s="3" cm="1">
        <f t="array" ref="V220">SUMPRODUCT(--(MOD(B220:G220,10)&gt;=1), --(MOD(B220:G220,10)&lt;=5))</f>
        <v>0</v>
      </c>
      <c r="W220" s="3">
        <f t="shared" si="129"/>
        <v>6</v>
      </c>
      <c r="X220" s="34"/>
      <c r="Y220" s="3" cm="1">
        <f t="array" ref="Y220">IFERROR(COUNT(_xlfn._xlws.FILTER(B220:G220, ISNUMBER(MATCH(B220:G220, {2,3,5,7,11,13,17,19,23,29,31,37,41,43}, 0)))), 0)</f>
        <v>0</v>
      </c>
      <c r="Z220" s="3" cm="1">
        <f t="array" ref="Z220">IFERROR(COUNT(_xlfn._xlws.FILTER(B220:G220, ISNUMBER(MATCH(B220:G220, {1,4,8,10,14,16,20,22,25,26,28,32,34,35,38,40,44}, 0)))), 0)</f>
        <v>0</v>
      </c>
      <c r="AA220" s="3" cm="1">
        <f t="array" ref="AA220">IFERROR(COUNT(_xlfn._xlws.FILTER(B220:G220, ISNUMBER(MATCH(B220:G220, {6,9,12,15,18,21,24,27,30,33,36,39,42,45}, 0)))), 0)</f>
        <v>0</v>
      </c>
      <c r="AB220" s="30"/>
      <c r="AC220" s="26" cm="1">
        <f t="array" ref="AC220">_xlfn.IFS(
   OR(B220="",ISBLANK(B220),B220=0),0,
   ISNUMBER(MATCH(B220,{2,3,5,7,11,13,17,19,23,29,31,37,41,43},0)),"소",
   AND(ISNUMBER(B220),MOD(B220,3)=0),"배",
   AND(ISNUMBER(B220),B220&gt;0),"자"
)</f>
        <v>0</v>
      </c>
      <c r="AD220" s="26" cm="1">
        <f t="array" ref="AD220">_xlfn.IFS(
   OR(C220="",ISBLANK(C220),C220=0),0,
   ISNUMBER(MATCH(C220,{2,3,5,7,11,13,17,19,23,29,31,37,41,43},0)),"소",
   AND(ISNUMBER(C220),MOD(C220,3)=0),"배",
   AND(ISNUMBER(C220),C220&gt;0),"자"
)</f>
        <v>0</v>
      </c>
      <c r="AE220" s="26" cm="1">
        <f t="array" ref="AE220">_xlfn.IFS(
   OR(D220="",ISBLANK(D220),D220=0),0,
   ISNUMBER(MATCH(D220,{2,3,5,7,11,13,17,19,23,29,31,37,41,43},0)),"소",
   AND(ISNUMBER(D220),MOD(D220,3)=0),"배",
   AND(ISNUMBER(D220),D220&gt;0),"자"
)</f>
        <v>0</v>
      </c>
      <c r="AF220" s="26" cm="1">
        <f t="array" ref="AF220">_xlfn.IFS(
   OR(E220="",ISBLANK(E220),E220=0),0,
   ISNUMBER(MATCH(E220,{2,3,5,7,11,13,17,19,23,29,31,37,41,43},0)),"소",
   AND(ISNUMBER(E220),MOD(E220,3)=0),"배",
   AND(ISNUMBER(E220),E220&gt;0),"자"
)</f>
        <v>0</v>
      </c>
      <c r="AG220" s="26" cm="1">
        <f t="array" ref="AG220">_xlfn.IFS(
   OR(F220="",ISBLANK(F220),F220=0),0,
   ISNUMBER(MATCH(F220,{2,3,5,7,11,13,17,19,23,29,31,37,41,43},0)),"소",
   AND(ISNUMBER(F220),MOD(F220,3)=0),"배",
   AND(ISNUMBER(F220),F220&gt;0),"자"
)</f>
        <v>0</v>
      </c>
      <c r="AH220" s="26" cm="1">
        <f t="array" ref="AH220">_xlfn.IFS(
   OR(G220="",ISBLANK(G220),G220=0),0,
   ISNUMBER(MATCH(G220,{2,3,5,7,11,13,17,19,23,29,31,37,41,43},0)),"소",
   AND(ISNUMBER(G220),MOD(G220,3)=0),"배",
   AND(ISNUMBER(G220),G220&gt;0),"자"
)</f>
        <v>0</v>
      </c>
      <c r="AI220" s="30"/>
      <c r="AJ220" s="3">
        <f t="shared" si="130"/>
        <v>0</v>
      </c>
      <c r="AK220" s="3">
        <f t="shared" si="131"/>
        <v>0</v>
      </c>
      <c r="AL220" s="3">
        <f t="shared" si="132"/>
        <v>6</v>
      </c>
      <c r="AM220" s="33"/>
      <c r="AN220" s="3">
        <f t="shared" si="133"/>
        <v>0</v>
      </c>
      <c r="AO220" s="3">
        <f t="shared" si="134"/>
        <v>0</v>
      </c>
      <c r="AP220" s="3">
        <f t="shared" si="135"/>
        <v>0</v>
      </c>
      <c r="AQ220" s="3">
        <f t="shared" si="136"/>
        <v>0</v>
      </c>
      <c r="AR220" s="3">
        <f t="shared" si="137"/>
        <v>0</v>
      </c>
      <c r="AS220" s="28" t="e">
        <f>#REF!</f>
        <v>#REF!</v>
      </c>
      <c r="AT220" s="28" t="e">
        <f>#REF!*2</f>
        <v>#REF!</v>
      </c>
      <c r="AU220" s="28" t="e">
        <f>#REF!</f>
        <v>#REF!</v>
      </c>
      <c r="AV220" s="28" t="e">
        <f>#REF!*2</f>
        <v>#REF!</v>
      </c>
      <c r="AW220" s="28" t="e">
        <f>#REF!</f>
        <v>#REF!</v>
      </c>
      <c r="AX220" s="28" t="e">
        <f>#REF!*2</f>
        <v>#REF!</v>
      </c>
      <c r="AY220" s="28" t="e">
        <f>#REF!</f>
        <v>#REF!</v>
      </c>
      <c r="AZ220" s="28" t="e">
        <f>#REF!*2</f>
        <v>#REF!</v>
      </c>
      <c r="BA220" s="28" t="e">
        <f>#REF!</f>
        <v>#REF!</v>
      </c>
      <c r="BB220" s="28" t="e">
        <f>#REF!*2</f>
        <v>#REF!</v>
      </c>
      <c r="BC220" s="28" t="e">
        <f>#REF!</f>
        <v>#REF!</v>
      </c>
      <c r="BD220" s="28" t="e">
        <f>#REF!*2</f>
        <v>#REF!</v>
      </c>
      <c r="BE220" s="9" t="e">
        <f>#REF!-#REF!</f>
        <v>#REF!</v>
      </c>
      <c r="BF220" s="9" t="e">
        <f>#REF!-#REF!</f>
        <v>#REF!</v>
      </c>
      <c r="BG220" s="9" t="e">
        <f>#REF!-#REF!</f>
        <v>#REF!</v>
      </c>
      <c r="BH220" s="9" t="e">
        <f>#REF!-#REF!</f>
        <v>#REF!</v>
      </c>
      <c r="BI220" s="9" t="e">
        <f>#REF!-#REF!</f>
        <v>#REF!</v>
      </c>
      <c r="BJ220" s="33"/>
      <c r="BK220" s="3">
        <f t="shared" si="138"/>
        <v>0</v>
      </c>
      <c r="BL220" s="3">
        <f t="shared" si="139"/>
        <v>0</v>
      </c>
      <c r="BM220" s="3">
        <f t="shared" si="140"/>
        <v>0</v>
      </c>
      <c r="BN220" s="3">
        <f t="shared" si="141"/>
        <v>0</v>
      </c>
      <c r="BO220" s="3">
        <f t="shared" si="142"/>
        <v>0</v>
      </c>
      <c r="BP220" s="28" t="e">
        <f>#REF!</f>
        <v>#REF!</v>
      </c>
      <c r="BQ220" s="28" t="e">
        <f>#REF!*2</f>
        <v>#REF!</v>
      </c>
      <c r="BR220" s="28" t="e">
        <f>#REF!</f>
        <v>#REF!</v>
      </c>
      <c r="BS220" s="28" t="e">
        <f>#REF!*2</f>
        <v>#REF!</v>
      </c>
      <c r="BT220" s="28" t="e">
        <f>#REF!</f>
        <v>#REF!</v>
      </c>
      <c r="BU220" s="28" t="e">
        <f>#REF!*2</f>
        <v>#REF!</v>
      </c>
      <c r="BV220" s="28" t="e">
        <f>#REF!</f>
        <v>#REF!</v>
      </c>
      <c r="BW220" s="28" t="e">
        <f>#REF!*2</f>
        <v>#REF!</v>
      </c>
      <c r="BX220" s="28" t="e">
        <f>#REF!</f>
        <v>#REF!</v>
      </c>
      <c r="BY220" s="28" t="e">
        <f>#REF!*2</f>
        <v>#REF!</v>
      </c>
      <c r="BZ220" s="28" t="e">
        <f>#REF!</f>
        <v>#REF!</v>
      </c>
      <c r="CA220" s="28" t="e">
        <f>#REF!*2</f>
        <v>#REF!</v>
      </c>
      <c r="CB220" s="9">
        <f t="shared" si="143"/>
        <v>0</v>
      </c>
      <c r="CC220" s="9">
        <f t="shared" si="144"/>
        <v>0</v>
      </c>
      <c r="CD220" s="9">
        <f t="shared" si="145"/>
        <v>0</v>
      </c>
      <c r="CE220" s="9">
        <f t="shared" si="146"/>
        <v>0</v>
      </c>
      <c r="CF220" s="9">
        <f t="shared" si="147"/>
        <v>0</v>
      </c>
      <c r="CG220" s="33"/>
      <c r="CH220" s="3">
        <f t="shared" si="148"/>
        <v>0</v>
      </c>
      <c r="CI220" s="3">
        <f t="shared" si="149"/>
        <v>0</v>
      </c>
      <c r="CJ220" s="3">
        <f t="shared" si="150"/>
        <v>0</v>
      </c>
      <c r="CK220" s="3">
        <f t="shared" si="151"/>
        <v>0</v>
      </c>
      <c r="CL220" s="3">
        <f t="shared" si="152"/>
        <v>0</v>
      </c>
      <c r="CM220" s="32"/>
      <c r="CN220" s="3">
        <f t="shared" si="153"/>
        <v>0</v>
      </c>
      <c r="CO220" s="3">
        <f t="shared" si="154"/>
        <v>0</v>
      </c>
      <c r="CP220" s="3">
        <f t="shared" si="155"/>
        <v>0</v>
      </c>
      <c r="CQ220" s="3">
        <f t="shared" si="156"/>
        <v>0</v>
      </c>
      <c r="CR220" s="3">
        <f t="shared" si="157"/>
        <v>0</v>
      </c>
      <c r="CS220" s="31"/>
      <c r="CT220" s="3" cm="1">
        <f t="array" ref="CT220">SUMPRODUCT(--(MOD(CH220:CL220,2)=1))</f>
        <v>0</v>
      </c>
      <c r="CU220" s="3">
        <f t="shared" si="158"/>
        <v>5</v>
      </c>
      <c r="CV220" s="30"/>
      <c r="CW220" s="3" cm="1">
        <f t="array" ref="CW220">SUMPRODUCT(--(MOD(CH220:CL220,10)&gt;=1), --(MOD(CH220:CL220,10)&lt;=5))</f>
        <v>0</v>
      </c>
      <c r="CX220" s="3">
        <f t="shared" si="159"/>
        <v>5</v>
      </c>
      <c r="CY220" s="30"/>
      <c r="CZ220" s="3" cm="1">
        <f t="array" ref="CZ220">IFERROR(COUNT(_xlfn._xlws.FILTER(CH220:CL220, ISNUMBER(MATCH(CH220:CL220, {2,3,5,7,11,13,17,19,23,29,31,37,41,43}, 0)))), 0)</f>
        <v>0</v>
      </c>
      <c r="DA220" s="3" cm="1">
        <f t="array" ref="DA220">IFERROR(COUNT(_xlfn._xlws.FILTER(CH220:CL220, ISNUMBER(MATCH(CH220:CL220, {1,4,8,10,14,16,20,22,25,26,28,32,34,35,38,40,44}, 0)))), 0)</f>
        <v>0</v>
      </c>
      <c r="DB220" s="3" cm="1">
        <f t="array" ref="DB220">IFERROR(COUNT(_xlfn._xlws.FILTER(CH220:CL220, ISNUMBER(MATCH(CH220:CL220, {6,9,12,15,18,21,24,27,30,33,36,39,42,45}, 0)))), 0)</f>
        <v>0</v>
      </c>
      <c r="DC220" s="29"/>
      <c r="DD220" s="28" t="e">
        <f>#REF!</f>
        <v>#REF!</v>
      </c>
      <c r="DE220" s="28" t="e">
        <f>#REF!*2</f>
        <v>#REF!</v>
      </c>
      <c r="DF220" s="28" t="e">
        <f>#REF!</f>
        <v>#REF!</v>
      </c>
      <c r="DG220" s="28" t="e">
        <f>#REF!*2</f>
        <v>#REF!</v>
      </c>
      <c r="DH220" s="28" t="e">
        <f>#REF!</f>
        <v>#REF!</v>
      </c>
      <c r="DI220" s="28" t="e">
        <f>#REF!*2</f>
        <v>#REF!</v>
      </c>
      <c r="DJ220" s="28" t="e">
        <f>#REF!</f>
        <v>#REF!</v>
      </c>
      <c r="DK220" s="28" t="e">
        <f>#REF!*2</f>
        <v>#REF!</v>
      </c>
      <c r="DL220" s="28" t="e">
        <f>#REF!</f>
        <v>#REF!</v>
      </c>
      <c r="DM220" s="28" t="e">
        <f>#REF!*2</f>
        <v>#REF!</v>
      </c>
      <c r="DN220" s="27"/>
      <c r="DO220" s="26"/>
      <c r="DP220" s="26"/>
      <c r="DQ220" s="26"/>
      <c r="DR220" s="26"/>
      <c r="DS220" s="26"/>
      <c r="DT220" s="25"/>
    </row>
    <row r="221" spans="2:124" x14ac:dyDescent="0.3"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2"/>
      <c r="I221" s="3">
        <f t="shared" si="120"/>
        <v>0</v>
      </c>
      <c r="J221" s="3">
        <f t="shared" si="121"/>
        <v>0</v>
      </c>
      <c r="K221" s="3">
        <f t="shared" si="122"/>
        <v>0</v>
      </c>
      <c r="L221" s="3">
        <f t="shared" si="123"/>
        <v>0</v>
      </c>
      <c r="M221" s="3">
        <f t="shared" si="124"/>
        <v>0</v>
      </c>
      <c r="N221" s="3">
        <f t="shared" si="125"/>
        <v>0</v>
      </c>
      <c r="O221" s="32"/>
      <c r="P221" s="3" cm="1">
        <f t="array" ref="P221">SUMPRODUCT(--(MOD(B221:G221,2)=1))</f>
        <v>0</v>
      </c>
      <c r="Q221" s="3">
        <f t="shared" si="126"/>
        <v>6</v>
      </c>
      <c r="R221" s="34"/>
      <c r="S221" s="3">
        <f t="shared" si="127"/>
        <v>0</v>
      </c>
      <c r="T221" s="3">
        <f t="shared" si="128"/>
        <v>6</v>
      </c>
      <c r="U221" s="34"/>
      <c r="V221" s="3" cm="1">
        <f t="array" ref="V221">SUMPRODUCT(--(MOD(B221:G221,10)&gt;=1), --(MOD(B221:G221,10)&lt;=5))</f>
        <v>0</v>
      </c>
      <c r="W221" s="3">
        <f t="shared" si="129"/>
        <v>6</v>
      </c>
      <c r="X221" s="34"/>
      <c r="Y221" s="3" cm="1">
        <f t="array" ref="Y221">IFERROR(COUNT(_xlfn._xlws.FILTER(B221:G221, ISNUMBER(MATCH(B221:G221, {2,3,5,7,11,13,17,19,23,29,31,37,41,43}, 0)))), 0)</f>
        <v>0</v>
      </c>
      <c r="Z221" s="3" cm="1">
        <f t="array" ref="Z221">IFERROR(COUNT(_xlfn._xlws.FILTER(B221:G221, ISNUMBER(MATCH(B221:G221, {1,4,8,10,14,16,20,22,25,26,28,32,34,35,38,40,44}, 0)))), 0)</f>
        <v>0</v>
      </c>
      <c r="AA221" s="3" cm="1">
        <f t="array" ref="AA221">IFERROR(COUNT(_xlfn._xlws.FILTER(B221:G221, ISNUMBER(MATCH(B221:G221, {6,9,12,15,18,21,24,27,30,33,36,39,42,45}, 0)))), 0)</f>
        <v>0</v>
      </c>
      <c r="AB221" s="30"/>
      <c r="AC221" s="26" cm="1">
        <f t="array" ref="AC221">_xlfn.IFS(
   OR(B221="",ISBLANK(B221),B221=0),0,
   ISNUMBER(MATCH(B221,{2,3,5,7,11,13,17,19,23,29,31,37,41,43},0)),"소",
   AND(ISNUMBER(B221),MOD(B221,3)=0),"배",
   AND(ISNUMBER(B221),B221&gt;0),"자"
)</f>
        <v>0</v>
      </c>
      <c r="AD221" s="26" cm="1">
        <f t="array" ref="AD221">_xlfn.IFS(
   OR(C221="",ISBLANK(C221),C221=0),0,
   ISNUMBER(MATCH(C221,{2,3,5,7,11,13,17,19,23,29,31,37,41,43},0)),"소",
   AND(ISNUMBER(C221),MOD(C221,3)=0),"배",
   AND(ISNUMBER(C221),C221&gt;0),"자"
)</f>
        <v>0</v>
      </c>
      <c r="AE221" s="26" cm="1">
        <f t="array" ref="AE221">_xlfn.IFS(
   OR(D221="",ISBLANK(D221),D221=0),0,
   ISNUMBER(MATCH(D221,{2,3,5,7,11,13,17,19,23,29,31,37,41,43},0)),"소",
   AND(ISNUMBER(D221),MOD(D221,3)=0),"배",
   AND(ISNUMBER(D221),D221&gt;0),"자"
)</f>
        <v>0</v>
      </c>
      <c r="AF221" s="26" cm="1">
        <f t="array" ref="AF221">_xlfn.IFS(
   OR(E221="",ISBLANK(E221),E221=0),0,
   ISNUMBER(MATCH(E221,{2,3,5,7,11,13,17,19,23,29,31,37,41,43},0)),"소",
   AND(ISNUMBER(E221),MOD(E221,3)=0),"배",
   AND(ISNUMBER(E221),E221&gt;0),"자"
)</f>
        <v>0</v>
      </c>
      <c r="AG221" s="26" cm="1">
        <f t="array" ref="AG221">_xlfn.IFS(
   OR(F221="",ISBLANK(F221),F221=0),0,
   ISNUMBER(MATCH(F221,{2,3,5,7,11,13,17,19,23,29,31,37,41,43},0)),"소",
   AND(ISNUMBER(F221),MOD(F221,3)=0),"배",
   AND(ISNUMBER(F221),F221&gt;0),"자"
)</f>
        <v>0</v>
      </c>
      <c r="AH221" s="26" cm="1">
        <f t="array" ref="AH221">_xlfn.IFS(
   OR(G221="",ISBLANK(G221),G221=0),0,
   ISNUMBER(MATCH(G221,{2,3,5,7,11,13,17,19,23,29,31,37,41,43},0)),"소",
   AND(ISNUMBER(G221),MOD(G221,3)=0),"배",
   AND(ISNUMBER(G221),G221&gt;0),"자"
)</f>
        <v>0</v>
      </c>
      <c r="AI221" s="30"/>
      <c r="AJ221" s="3">
        <f t="shared" si="130"/>
        <v>0</v>
      </c>
      <c r="AK221" s="3">
        <f t="shared" si="131"/>
        <v>0</v>
      </c>
      <c r="AL221" s="3">
        <f t="shared" si="132"/>
        <v>6</v>
      </c>
      <c r="AM221" s="33"/>
      <c r="AN221" s="3">
        <f t="shared" si="133"/>
        <v>0</v>
      </c>
      <c r="AO221" s="3">
        <f t="shared" si="134"/>
        <v>0</v>
      </c>
      <c r="AP221" s="3">
        <f t="shared" si="135"/>
        <v>0</v>
      </c>
      <c r="AQ221" s="3">
        <f t="shared" si="136"/>
        <v>0</v>
      </c>
      <c r="AR221" s="3">
        <f t="shared" si="137"/>
        <v>0</v>
      </c>
      <c r="AS221" s="28" t="e">
        <f>#REF!</f>
        <v>#REF!</v>
      </c>
      <c r="AT221" s="28" t="e">
        <f>#REF!*2</f>
        <v>#REF!</v>
      </c>
      <c r="AU221" s="28" t="e">
        <f>#REF!</f>
        <v>#REF!</v>
      </c>
      <c r="AV221" s="28" t="e">
        <f>#REF!*2</f>
        <v>#REF!</v>
      </c>
      <c r="AW221" s="28" t="e">
        <f>#REF!</f>
        <v>#REF!</v>
      </c>
      <c r="AX221" s="28" t="e">
        <f>#REF!*2</f>
        <v>#REF!</v>
      </c>
      <c r="AY221" s="28" t="e">
        <f>#REF!</f>
        <v>#REF!</v>
      </c>
      <c r="AZ221" s="28" t="e">
        <f>#REF!*2</f>
        <v>#REF!</v>
      </c>
      <c r="BA221" s="28" t="e">
        <f>#REF!</f>
        <v>#REF!</v>
      </c>
      <c r="BB221" s="28" t="e">
        <f>#REF!*2</f>
        <v>#REF!</v>
      </c>
      <c r="BC221" s="28" t="e">
        <f>#REF!</f>
        <v>#REF!</v>
      </c>
      <c r="BD221" s="28" t="e">
        <f>#REF!*2</f>
        <v>#REF!</v>
      </c>
      <c r="BE221" s="9" t="e">
        <f>#REF!-#REF!</f>
        <v>#REF!</v>
      </c>
      <c r="BF221" s="9" t="e">
        <f>#REF!-#REF!</f>
        <v>#REF!</v>
      </c>
      <c r="BG221" s="9" t="e">
        <f>#REF!-#REF!</f>
        <v>#REF!</v>
      </c>
      <c r="BH221" s="9" t="e">
        <f>#REF!-#REF!</f>
        <v>#REF!</v>
      </c>
      <c r="BI221" s="9" t="e">
        <f>#REF!-#REF!</f>
        <v>#REF!</v>
      </c>
      <c r="BJ221" s="33"/>
      <c r="BK221" s="3">
        <f t="shared" si="138"/>
        <v>0</v>
      </c>
      <c r="BL221" s="3">
        <f t="shared" si="139"/>
        <v>0</v>
      </c>
      <c r="BM221" s="3">
        <f t="shared" si="140"/>
        <v>0</v>
      </c>
      <c r="BN221" s="3">
        <f t="shared" si="141"/>
        <v>0</v>
      </c>
      <c r="BO221" s="3">
        <f t="shared" si="142"/>
        <v>0</v>
      </c>
      <c r="BP221" s="28" t="e">
        <f>#REF!</f>
        <v>#REF!</v>
      </c>
      <c r="BQ221" s="28" t="e">
        <f>#REF!*2</f>
        <v>#REF!</v>
      </c>
      <c r="BR221" s="28" t="e">
        <f>#REF!</f>
        <v>#REF!</v>
      </c>
      <c r="BS221" s="28" t="e">
        <f>#REF!*2</f>
        <v>#REF!</v>
      </c>
      <c r="BT221" s="28" t="e">
        <f>#REF!</f>
        <v>#REF!</v>
      </c>
      <c r="BU221" s="28" t="e">
        <f>#REF!*2</f>
        <v>#REF!</v>
      </c>
      <c r="BV221" s="28" t="e">
        <f>#REF!</f>
        <v>#REF!</v>
      </c>
      <c r="BW221" s="28" t="e">
        <f>#REF!*2</f>
        <v>#REF!</v>
      </c>
      <c r="BX221" s="28" t="e">
        <f>#REF!</f>
        <v>#REF!</v>
      </c>
      <c r="BY221" s="28" t="e">
        <f>#REF!*2</f>
        <v>#REF!</v>
      </c>
      <c r="BZ221" s="28" t="e">
        <f>#REF!</f>
        <v>#REF!</v>
      </c>
      <c r="CA221" s="28" t="e">
        <f>#REF!*2</f>
        <v>#REF!</v>
      </c>
      <c r="CB221" s="9">
        <f t="shared" si="143"/>
        <v>0</v>
      </c>
      <c r="CC221" s="9">
        <f t="shared" si="144"/>
        <v>0</v>
      </c>
      <c r="CD221" s="9">
        <f t="shared" si="145"/>
        <v>0</v>
      </c>
      <c r="CE221" s="9">
        <f t="shared" si="146"/>
        <v>0</v>
      </c>
      <c r="CF221" s="9">
        <f t="shared" si="147"/>
        <v>0</v>
      </c>
      <c r="CG221" s="33"/>
      <c r="CH221" s="3">
        <f t="shared" si="148"/>
        <v>0</v>
      </c>
      <c r="CI221" s="3">
        <f t="shared" si="149"/>
        <v>0</v>
      </c>
      <c r="CJ221" s="3">
        <f t="shared" si="150"/>
        <v>0</v>
      </c>
      <c r="CK221" s="3">
        <f t="shared" si="151"/>
        <v>0</v>
      </c>
      <c r="CL221" s="3">
        <f t="shared" si="152"/>
        <v>0</v>
      </c>
      <c r="CM221" s="32"/>
      <c r="CN221" s="3">
        <f t="shared" si="153"/>
        <v>0</v>
      </c>
      <c r="CO221" s="3">
        <f t="shared" si="154"/>
        <v>0</v>
      </c>
      <c r="CP221" s="3">
        <f t="shared" si="155"/>
        <v>0</v>
      </c>
      <c r="CQ221" s="3">
        <f t="shared" si="156"/>
        <v>0</v>
      </c>
      <c r="CR221" s="3">
        <f t="shared" si="157"/>
        <v>0</v>
      </c>
      <c r="CS221" s="31"/>
      <c r="CT221" s="3" cm="1">
        <f t="array" ref="CT221">SUMPRODUCT(--(MOD(CH221:CL221,2)=1))</f>
        <v>0</v>
      </c>
      <c r="CU221" s="3">
        <f t="shared" si="158"/>
        <v>5</v>
      </c>
      <c r="CV221" s="30"/>
      <c r="CW221" s="3" cm="1">
        <f t="array" ref="CW221">SUMPRODUCT(--(MOD(CH221:CL221,10)&gt;=1), --(MOD(CH221:CL221,10)&lt;=5))</f>
        <v>0</v>
      </c>
      <c r="CX221" s="3">
        <f t="shared" si="159"/>
        <v>5</v>
      </c>
      <c r="CY221" s="30"/>
      <c r="CZ221" s="3" cm="1">
        <f t="array" ref="CZ221">IFERROR(COUNT(_xlfn._xlws.FILTER(CH221:CL221, ISNUMBER(MATCH(CH221:CL221, {2,3,5,7,11,13,17,19,23,29,31,37,41,43}, 0)))), 0)</f>
        <v>0</v>
      </c>
      <c r="DA221" s="3" cm="1">
        <f t="array" ref="DA221">IFERROR(COUNT(_xlfn._xlws.FILTER(CH221:CL221, ISNUMBER(MATCH(CH221:CL221, {1,4,8,10,14,16,20,22,25,26,28,32,34,35,38,40,44}, 0)))), 0)</f>
        <v>0</v>
      </c>
      <c r="DB221" s="3" cm="1">
        <f t="array" ref="DB221">IFERROR(COUNT(_xlfn._xlws.FILTER(CH221:CL221, ISNUMBER(MATCH(CH221:CL221, {6,9,12,15,18,21,24,27,30,33,36,39,42,45}, 0)))), 0)</f>
        <v>0</v>
      </c>
      <c r="DC221" s="29"/>
      <c r="DD221" s="28" t="e">
        <f>#REF!</f>
        <v>#REF!</v>
      </c>
      <c r="DE221" s="28" t="e">
        <f>#REF!*2</f>
        <v>#REF!</v>
      </c>
      <c r="DF221" s="28" t="e">
        <f>#REF!</f>
        <v>#REF!</v>
      </c>
      <c r="DG221" s="28" t="e">
        <f>#REF!*2</f>
        <v>#REF!</v>
      </c>
      <c r="DH221" s="28" t="e">
        <f>#REF!</f>
        <v>#REF!</v>
      </c>
      <c r="DI221" s="28" t="e">
        <f>#REF!*2</f>
        <v>#REF!</v>
      </c>
      <c r="DJ221" s="28" t="e">
        <f>#REF!</f>
        <v>#REF!</v>
      </c>
      <c r="DK221" s="28" t="e">
        <f>#REF!*2</f>
        <v>#REF!</v>
      </c>
      <c r="DL221" s="28" t="e">
        <f>#REF!</f>
        <v>#REF!</v>
      </c>
      <c r="DM221" s="28" t="e">
        <f>#REF!*2</f>
        <v>#REF!</v>
      </c>
      <c r="DN221" s="27"/>
      <c r="DO221" s="26"/>
      <c r="DP221" s="26"/>
      <c r="DQ221" s="26"/>
      <c r="DR221" s="26"/>
      <c r="DS221" s="26"/>
      <c r="DT221" s="25"/>
    </row>
    <row r="222" spans="2:124" x14ac:dyDescent="0.3"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2"/>
      <c r="I222" s="3">
        <f t="shared" si="120"/>
        <v>0</v>
      </c>
      <c r="J222" s="3">
        <f t="shared" si="121"/>
        <v>0</v>
      </c>
      <c r="K222" s="3">
        <f t="shared" si="122"/>
        <v>0</v>
      </c>
      <c r="L222" s="3">
        <f t="shared" si="123"/>
        <v>0</v>
      </c>
      <c r="M222" s="3">
        <f t="shared" si="124"/>
        <v>0</v>
      </c>
      <c r="N222" s="3">
        <f t="shared" si="125"/>
        <v>0</v>
      </c>
      <c r="O222" s="32"/>
      <c r="P222" s="3" cm="1">
        <f t="array" ref="P222">SUMPRODUCT(--(MOD(B222:G222,2)=1))</f>
        <v>0</v>
      </c>
      <c r="Q222" s="3">
        <f t="shared" si="126"/>
        <v>6</v>
      </c>
      <c r="R222" s="34"/>
      <c r="S222" s="3">
        <f t="shared" si="127"/>
        <v>0</v>
      </c>
      <c r="T222" s="3">
        <f t="shared" si="128"/>
        <v>6</v>
      </c>
      <c r="U222" s="34"/>
      <c r="V222" s="3" cm="1">
        <f t="array" ref="V222">SUMPRODUCT(--(MOD(B222:G222,10)&gt;=1), --(MOD(B222:G222,10)&lt;=5))</f>
        <v>0</v>
      </c>
      <c r="W222" s="3">
        <f t="shared" si="129"/>
        <v>6</v>
      </c>
      <c r="X222" s="34"/>
      <c r="Y222" s="3" cm="1">
        <f t="array" ref="Y222">IFERROR(COUNT(_xlfn._xlws.FILTER(B222:G222, ISNUMBER(MATCH(B222:G222, {2,3,5,7,11,13,17,19,23,29,31,37,41,43}, 0)))), 0)</f>
        <v>0</v>
      </c>
      <c r="Z222" s="3" cm="1">
        <f t="array" ref="Z222">IFERROR(COUNT(_xlfn._xlws.FILTER(B222:G222, ISNUMBER(MATCH(B222:G222, {1,4,8,10,14,16,20,22,25,26,28,32,34,35,38,40,44}, 0)))), 0)</f>
        <v>0</v>
      </c>
      <c r="AA222" s="3" cm="1">
        <f t="array" ref="AA222">IFERROR(COUNT(_xlfn._xlws.FILTER(B222:G222, ISNUMBER(MATCH(B222:G222, {6,9,12,15,18,21,24,27,30,33,36,39,42,45}, 0)))), 0)</f>
        <v>0</v>
      </c>
      <c r="AB222" s="30"/>
      <c r="AC222" s="26" cm="1">
        <f t="array" ref="AC222">_xlfn.IFS(
   OR(B222="",ISBLANK(B222),B222=0),0,
   ISNUMBER(MATCH(B222,{2,3,5,7,11,13,17,19,23,29,31,37,41,43},0)),"소",
   AND(ISNUMBER(B222),MOD(B222,3)=0),"배",
   AND(ISNUMBER(B222),B222&gt;0),"자"
)</f>
        <v>0</v>
      </c>
      <c r="AD222" s="26" cm="1">
        <f t="array" ref="AD222">_xlfn.IFS(
   OR(C222="",ISBLANK(C222),C222=0),0,
   ISNUMBER(MATCH(C222,{2,3,5,7,11,13,17,19,23,29,31,37,41,43},0)),"소",
   AND(ISNUMBER(C222),MOD(C222,3)=0),"배",
   AND(ISNUMBER(C222),C222&gt;0),"자"
)</f>
        <v>0</v>
      </c>
      <c r="AE222" s="26" cm="1">
        <f t="array" ref="AE222">_xlfn.IFS(
   OR(D222="",ISBLANK(D222),D222=0),0,
   ISNUMBER(MATCH(D222,{2,3,5,7,11,13,17,19,23,29,31,37,41,43},0)),"소",
   AND(ISNUMBER(D222),MOD(D222,3)=0),"배",
   AND(ISNUMBER(D222),D222&gt;0),"자"
)</f>
        <v>0</v>
      </c>
      <c r="AF222" s="26" cm="1">
        <f t="array" ref="AF222">_xlfn.IFS(
   OR(E222="",ISBLANK(E222),E222=0),0,
   ISNUMBER(MATCH(E222,{2,3,5,7,11,13,17,19,23,29,31,37,41,43},0)),"소",
   AND(ISNUMBER(E222),MOD(E222,3)=0),"배",
   AND(ISNUMBER(E222),E222&gt;0),"자"
)</f>
        <v>0</v>
      </c>
      <c r="AG222" s="26" cm="1">
        <f t="array" ref="AG222">_xlfn.IFS(
   OR(F222="",ISBLANK(F222),F222=0),0,
   ISNUMBER(MATCH(F222,{2,3,5,7,11,13,17,19,23,29,31,37,41,43},0)),"소",
   AND(ISNUMBER(F222),MOD(F222,3)=0),"배",
   AND(ISNUMBER(F222),F222&gt;0),"자"
)</f>
        <v>0</v>
      </c>
      <c r="AH222" s="26" cm="1">
        <f t="array" ref="AH222">_xlfn.IFS(
   OR(G222="",ISBLANK(G222),G222=0),0,
   ISNUMBER(MATCH(G222,{2,3,5,7,11,13,17,19,23,29,31,37,41,43},0)),"소",
   AND(ISNUMBER(G222),MOD(G222,3)=0),"배",
   AND(ISNUMBER(G222),G222&gt;0),"자"
)</f>
        <v>0</v>
      </c>
      <c r="AI222" s="30"/>
      <c r="AJ222" s="3">
        <f t="shared" si="130"/>
        <v>0</v>
      </c>
      <c r="AK222" s="3">
        <f t="shared" si="131"/>
        <v>0</v>
      </c>
      <c r="AL222" s="3">
        <f t="shared" si="132"/>
        <v>6</v>
      </c>
      <c r="AM222" s="33"/>
      <c r="AN222" s="3">
        <f t="shared" si="133"/>
        <v>0</v>
      </c>
      <c r="AO222" s="3">
        <f t="shared" si="134"/>
        <v>0</v>
      </c>
      <c r="AP222" s="3">
        <f t="shared" si="135"/>
        <v>0</v>
      </c>
      <c r="AQ222" s="3">
        <f t="shared" si="136"/>
        <v>0</v>
      </c>
      <c r="AR222" s="3">
        <f t="shared" si="137"/>
        <v>0</v>
      </c>
      <c r="AS222" s="28" t="e">
        <f>#REF!</f>
        <v>#REF!</v>
      </c>
      <c r="AT222" s="28" t="e">
        <f>#REF!*2</f>
        <v>#REF!</v>
      </c>
      <c r="AU222" s="28" t="e">
        <f>#REF!</f>
        <v>#REF!</v>
      </c>
      <c r="AV222" s="28" t="e">
        <f>#REF!*2</f>
        <v>#REF!</v>
      </c>
      <c r="AW222" s="28" t="e">
        <f>#REF!</f>
        <v>#REF!</v>
      </c>
      <c r="AX222" s="28" t="e">
        <f>#REF!*2</f>
        <v>#REF!</v>
      </c>
      <c r="AY222" s="28" t="e">
        <f>#REF!</f>
        <v>#REF!</v>
      </c>
      <c r="AZ222" s="28" t="e">
        <f>#REF!*2</f>
        <v>#REF!</v>
      </c>
      <c r="BA222" s="28" t="e">
        <f>#REF!</f>
        <v>#REF!</v>
      </c>
      <c r="BB222" s="28" t="e">
        <f>#REF!*2</f>
        <v>#REF!</v>
      </c>
      <c r="BC222" s="28" t="e">
        <f>#REF!</f>
        <v>#REF!</v>
      </c>
      <c r="BD222" s="28" t="e">
        <f>#REF!*2</f>
        <v>#REF!</v>
      </c>
      <c r="BE222" s="9" t="e">
        <f>#REF!-#REF!</f>
        <v>#REF!</v>
      </c>
      <c r="BF222" s="9" t="e">
        <f>#REF!-#REF!</f>
        <v>#REF!</v>
      </c>
      <c r="BG222" s="9" t="e">
        <f>#REF!-#REF!</f>
        <v>#REF!</v>
      </c>
      <c r="BH222" s="9" t="e">
        <f>#REF!-#REF!</f>
        <v>#REF!</v>
      </c>
      <c r="BI222" s="9" t="e">
        <f>#REF!-#REF!</f>
        <v>#REF!</v>
      </c>
      <c r="BJ222" s="33"/>
      <c r="BK222" s="3">
        <f t="shared" si="138"/>
        <v>0</v>
      </c>
      <c r="BL222" s="3">
        <f t="shared" si="139"/>
        <v>0</v>
      </c>
      <c r="BM222" s="3">
        <f t="shared" si="140"/>
        <v>0</v>
      </c>
      <c r="BN222" s="3">
        <f t="shared" si="141"/>
        <v>0</v>
      </c>
      <c r="BO222" s="3">
        <f t="shared" si="142"/>
        <v>0</v>
      </c>
      <c r="BP222" s="28" t="e">
        <f>#REF!</f>
        <v>#REF!</v>
      </c>
      <c r="BQ222" s="28" t="e">
        <f>#REF!*2</f>
        <v>#REF!</v>
      </c>
      <c r="BR222" s="28" t="e">
        <f>#REF!</f>
        <v>#REF!</v>
      </c>
      <c r="BS222" s="28" t="e">
        <f>#REF!*2</f>
        <v>#REF!</v>
      </c>
      <c r="BT222" s="28" t="e">
        <f>#REF!</f>
        <v>#REF!</v>
      </c>
      <c r="BU222" s="28" t="e">
        <f>#REF!*2</f>
        <v>#REF!</v>
      </c>
      <c r="BV222" s="28" t="e">
        <f>#REF!</f>
        <v>#REF!</v>
      </c>
      <c r="BW222" s="28" t="e">
        <f>#REF!*2</f>
        <v>#REF!</v>
      </c>
      <c r="BX222" s="28" t="e">
        <f>#REF!</f>
        <v>#REF!</v>
      </c>
      <c r="BY222" s="28" t="e">
        <f>#REF!*2</f>
        <v>#REF!</v>
      </c>
      <c r="BZ222" s="28" t="e">
        <f>#REF!</f>
        <v>#REF!</v>
      </c>
      <c r="CA222" s="28" t="e">
        <f>#REF!*2</f>
        <v>#REF!</v>
      </c>
      <c r="CB222" s="9">
        <f t="shared" si="143"/>
        <v>0</v>
      </c>
      <c r="CC222" s="9">
        <f t="shared" si="144"/>
        <v>0</v>
      </c>
      <c r="CD222" s="9">
        <f t="shared" si="145"/>
        <v>0</v>
      </c>
      <c r="CE222" s="9">
        <f t="shared" si="146"/>
        <v>0</v>
      </c>
      <c r="CF222" s="9">
        <f t="shared" si="147"/>
        <v>0</v>
      </c>
      <c r="CG222" s="33"/>
      <c r="CH222" s="3">
        <f t="shared" si="148"/>
        <v>0</v>
      </c>
      <c r="CI222" s="3">
        <f t="shared" si="149"/>
        <v>0</v>
      </c>
      <c r="CJ222" s="3">
        <f t="shared" si="150"/>
        <v>0</v>
      </c>
      <c r="CK222" s="3">
        <f t="shared" si="151"/>
        <v>0</v>
      </c>
      <c r="CL222" s="3">
        <f t="shared" si="152"/>
        <v>0</v>
      </c>
      <c r="CM222" s="32"/>
      <c r="CN222" s="3">
        <f t="shared" si="153"/>
        <v>0</v>
      </c>
      <c r="CO222" s="3">
        <f t="shared" si="154"/>
        <v>0</v>
      </c>
      <c r="CP222" s="3">
        <f t="shared" si="155"/>
        <v>0</v>
      </c>
      <c r="CQ222" s="3">
        <f t="shared" si="156"/>
        <v>0</v>
      </c>
      <c r="CR222" s="3">
        <f t="shared" si="157"/>
        <v>0</v>
      </c>
      <c r="CS222" s="31"/>
      <c r="CT222" s="3" cm="1">
        <f t="array" ref="CT222">SUMPRODUCT(--(MOD(CH222:CL222,2)=1))</f>
        <v>0</v>
      </c>
      <c r="CU222" s="3">
        <f t="shared" si="158"/>
        <v>5</v>
      </c>
      <c r="CV222" s="30"/>
      <c r="CW222" s="3" cm="1">
        <f t="array" ref="CW222">SUMPRODUCT(--(MOD(CH222:CL222,10)&gt;=1), --(MOD(CH222:CL222,10)&lt;=5))</f>
        <v>0</v>
      </c>
      <c r="CX222" s="3">
        <f t="shared" si="159"/>
        <v>5</v>
      </c>
      <c r="CY222" s="30"/>
      <c r="CZ222" s="3" cm="1">
        <f t="array" ref="CZ222">IFERROR(COUNT(_xlfn._xlws.FILTER(CH222:CL222, ISNUMBER(MATCH(CH222:CL222, {2,3,5,7,11,13,17,19,23,29,31,37,41,43}, 0)))), 0)</f>
        <v>0</v>
      </c>
      <c r="DA222" s="3" cm="1">
        <f t="array" ref="DA222">IFERROR(COUNT(_xlfn._xlws.FILTER(CH222:CL222, ISNUMBER(MATCH(CH222:CL222, {1,4,8,10,14,16,20,22,25,26,28,32,34,35,38,40,44}, 0)))), 0)</f>
        <v>0</v>
      </c>
      <c r="DB222" s="3" cm="1">
        <f t="array" ref="DB222">IFERROR(COUNT(_xlfn._xlws.FILTER(CH222:CL222, ISNUMBER(MATCH(CH222:CL222, {6,9,12,15,18,21,24,27,30,33,36,39,42,45}, 0)))), 0)</f>
        <v>0</v>
      </c>
      <c r="DC222" s="29"/>
      <c r="DD222" s="28" t="e">
        <f>#REF!</f>
        <v>#REF!</v>
      </c>
      <c r="DE222" s="28" t="e">
        <f>#REF!*2</f>
        <v>#REF!</v>
      </c>
      <c r="DF222" s="28" t="e">
        <f>#REF!</f>
        <v>#REF!</v>
      </c>
      <c r="DG222" s="28" t="e">
        <f>#REF!*2</f>
        <v>#REF!</v>
      </c>
      <c r="DH222" s="28" t="e">
        <f>#REF!</f>
        <v>#REF!</v>
      </c>
      <c r="DI222" s="28" t="e">
        <f>#REF!*2</f>
        <v>#REF!</v>
      </c>
      <c r="DJ222" s="28" t="e">
        <f>#REF!</f>
        <v>#REF!</v>
      </c>
      <c r="DK222" s="28" t="e">
        <f>#REF!*2</f>
        <v>#REF!</v>
      </c>
      <c r="DL222" s="28" t="e">
        <f>#REF!</f>
        <v>#REF!</v>
      </c>
      <c r="DM222" s="28" t="e">
        <f>#REF!*2</f>
        <v>#REF!</v>
      </c>
      <c r="DN222" s="27"/>
      <c r="DO222" s="26"/>
      <c r="DP222" s="26"/>
      <c r="DQ222" s="26"/>
      <c r="DR222" s="26"/>
      <c r="DS222" s="26"/>
      <c r="DT222" s="25"/>
    </row>
    <row r="223" spans="2:124" x14ac:dyDescent="0.3"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2"/>
      <c r="I223" s="3">
        <f t="shared" si="120"/>
        <v>0</v>
      </c>
      <c r="J223" s="3">
        <f t="shared" si="121"/>
        <v>0</v>
      </c>
      <c r="K223" s="3">
        <f t="shared" si="122"/>
        <v>0</v>
      </c>
      <c r="L223" s="3">
        <f t="shared" si="123"/>
        <v>0</v>
      </c>
      <c r="M223" s="3">
        <f t="shared" si="124"/>
        <v>0</v>
      </c>
      <c r="N223" s="3">
        <f t="shared" si="125"/>
        <v>0</v>
      </c>
      <c r="O223" s="32"/>
      <c r="P223" s="3" cm="1">
        <f t="array" ref="P223">SUMPRODUCT(--(MOD(B223:G223,2)=1))</f>
        <v>0</v>
      </c>
      <c r="Q223" s="3">
        <f t="shared" si="126"/>
        <v>6</v>
      </c>
      <c r="R223" s="34"/>
      <c r="S223" s="3">
        <f t="shared" si="127"/>
        <v>0</v>
      </c>
      <c r="T223" s="3">
        <f t="shared" si="128"/>
        <v>6</v>
      </c>
      <c r="U223" s="34"/>
      <c r="V223" s="3" cm="1">
        <f t="array" ref="V223">SUMPRODUCT(--(MOD(B223:G223,10)&gt;=1), --(MOD(B223:G223,10)&lt;=5))</f>
        <v>0</v>
      </c>
      <c r="W223" s="3">
        <f t="shared" si="129"/>
        <v>6</v>
      </c>
      <c r="X223" s="34"/>
      <c r="Y223" s="3" cm="1">
        <f t="array" ref="Y223">IFERROR(COUNT(_xlfn._xlws.FILTER(B223:G223, ISNUMBER(MATCH(B223:G223, {2,3,5,7,11,13,17,19,23,29,31,37,41,43}, 0)))), 0)</f>
        <v>0</v>
      </c>
      <c r="Z223" s="3" cm="1">
        <f t="array" ref="Z223">IFERROR(COUNT(_xlfn._xlws.FILTER(B223:G223, ISNUMBER(MATCH(B223:G223, {1,4,8,10,14,16,20,22,25,26,28,32,34,35,38,40,44}, 0)))), 0)</f>
        <v>0</v>
      </c>
      <c r="AA223" s="3" cm="1">
        <f t="array" ref="AA223">IFERROR(COUNT(_xlfn._xlws.FILTER(B223:G223, ISNUMBER(MATCH(B223:G223, {6,9,12,15,18,21,24,27,30,33,36,39,42,45}, 0)))), 0)</f>
        <v>0</v>
      </c>
      <c r="AB223" s="30"/>
      <c r="AC223" s="26" cm="1">
        <f t="array" ref="AC223">_xlfn.IFS(
   OR(B223="",ISBLANK(B223),B223=0),0,
   ISNUMBER(MATCH(B223,{2,3,5,7,11,13,17,19,23,29,31,37,41,43},0)),"소",
   AND(ISNUMBER(B223),MOD(B223,3)=0),"배",
   AND(ISNUMBER(B223),B223&gt;0),"자"
)</f>
        <v>0</v>
      </c>
      <c r="AD223" s="26" cm="1">
        <f t="array" ref="AD223">_xlfn.IFS(
   OR(C223="",ISBLANK(C223),C223=0),0,
   ISNUMBER(MATCH(C223,{2,3,5,7,11,13,17,19,23,29,31,37,41,43},0)),"소",
   AND(ISNUMBER(C223),MOD(C223,3)=0),"배",
   AND(ISNUMBER(C223),C223&gt;0),"자"
)</f>
        <v>0</v>
      </c>
      <c r="AE223" s="26" cm="1">
        <f t="array" ref="AE223">_xlfn.IFS(
   OR(D223="",ISBLANK(D223),D223=0),0,
   ISNUMBER(MATCH(D223,{2,3,5,7,11,13,17,19,23,29,31,37,41,43},0)),"소",
   AND(ISNUMBER(D223),MOD(D223,3)=0),"배",
   AND(ISNUMBER(D223),D223&gt;0),"자"
)</f>
        <v>0</v>
      </c>
      <c r="AF223" s="26" cm="1">
        <f t="array" ref="AF223">_xlfn.IFS(
   OR(E223="",ISBLANK(E223),E223=0),0,
   ISNUMBER(MATCH(E223,{2,3,5,7,11,13,17,19,23,29,31,37,41,43},0)),"소",
   AND(ISNUMBER(E223),MOD(E223,3)=0),"배",
   AND(ISNUMBER(E223),E223&gt;0),"자"
)</f>
        <v>0</v>
      </c>
      <c r="AG223" s="26" cm="1">
        <f t="array" ref="AG223">_xlfn.IFS(
   OR(F223="",ISBLANK(F223),F223=0),0,
   ISNUMBER(MATCH(F223,{2,3,5,7,11,13,17,19,23,29,31,37,41,43},0)),"소",
   AND(ISNUMBER(F223),MOD(F223,3)=0),"배",
   AND(ISNUMBER(F223),F223&gt;0),"자"
)</f>
        <v>0</v>
      </c>
      <c r="AH223" s="26" cm="1">
        <f t="array" ref="AH223">_xlfn.IFS(
   OR(G223="",ISBLANK(G223),G223=0),0,
   ISNUMBER(MATCH(G223,{2,3,5,7,11,13,17,19,23,29,31,37,41,43},0)),"소",
   AND(ISNUMBER(G223),MOD(G223,3)=0),"배",
   AND(ISNUMBER(G223),G223&gt;0),"자"
)</f>
        <v>0</v>
      </c>
      <c r="AI223" s="30"/>
      <c r="AJ223" s="3">
        <f t="shared" si="130"/>
        <v>0</v>
      </c>
      <c r="AK223" s="3">
        <f t="shared" si="131"/>
        <v>0</v>
      </c>
      <c r="AL223" s="3">
        <f t="shared" si="132"/>
        <v>6</v>
      </c>
      <c r="AM223" s="33"/>
      <c r="AN223" s="3">
        <f t="shared" si="133"/>
        <v>0</v>
      </c>
      <c r="AO223" s="3">
        <f t="shared" si="134"/>
        <v>0</v>
      </c>
      <c r="AP223" s="3">
        <f t="shared" si="135"/>
        <v>0</v>
      </c>
      <c r="AQ223" s="3">
        <f t="shared" si="136"/>
        <v>0</v>
      </c>
      <c r="AR223" s="3">
        <f t="shared" si="137"/>
        <v>0</v>
      </c>
      <c r="AS223" s="28" t="e">
        <f>#REF!</f>
        <v>#REF!</v>
      </c>
      <c r="AT223" s="28" t="e">
        <f>#REF!*2</f>
        <v>#REF!</v>
      </c>
      <c r="AU223" s="28" t="e">
        <f>#REF!</f>
        <v>#REF!</v>
      </c>
      <c r="AV223" s="28" t="e">
        <f>#REF!*2</f>
        <v>#REF!</v>
      </c>
      <c r="AW223" s="28" t="e">
        <f>#REF!</f>
        <v>#REF!</v>
      </c>
      <c r="AX223" s="28" t="e">
        <f>#REF!*2</f>
        <v>#REF!</v>
      </c>
      <c r="AY223" s="28" t="e">
        <f>#REF!</f>
        <v>#REF!</v>
      </c>
      <c r="AZ223" s="28" t="e">
        <f>#REF!*2</f>
        <v>#REF!</v>
      </c>
      <c r="BA223" s="28" t="e">
        <f>#REF!</f>
        <v>#REF!</v>
      </c>
      <c r="BB223" s="28" t="e">
        <f>#REF!*2</f>
        <v>#REF!</v>
      </c>
      <c r="BC223" s="28" t="e">
        <f>#REF!</f>
        <v>#REF!</v>
      </c>
      <c r="BD223" s="28" t="e">
        <f>#REF!*2</f>
        <v>#REF!</v>
      </c>
      <c r="BE223" s="9" t="e">
        <f>#REF!-#REF!</f>
        <v>#REF!</v>
      </c>
      <c r="BF223" s="9" t="e">
        <f>#REF!-#REF!</f>
        <v>#REF!</v>
      </c>
      <c r="BG223" s="9" t="e">
        <f>#REF!-#REF!</f>
        <v>#REF!</v>
      </c>
      <c r="BH223" s="9" t="e">
        <f>#REF!-#REF!</f>
        <v>#REF!</v>
      </c>
      <c r="BI223" s="9" t="e">
        <f>#REF!-#REF!</f>
        <v>#REF!</v>
      </c>
      <c r="BJ223" s="33"/>
      <c r="BK223" s="3">
        <f t="shared" si="138"/>
        <v>0</v>
      </c>
      <c r="BL223" s="3">
        <f t="shared" si="139"/>
        <v>0</v>
      </c>
      <c r="BM223" s="3">
        <f t="shared" si="140"/>
        <v>0</v>
      </c>
      <c r="BN223" s="3">
        <f t="shared" si="141"/>
        <v>0</v>
      </c>
      <c r="BO223" s="3">
        <f t="shared" si="142"/>
        <v>0</v>
      </c>
      <c r="BP223" s="28" t="e">
        <f>#REF!</f>
        <v>#REF!</v>
      </c>
      <c r="BQ223" s="28" t="e">
        <f>#REF!*2</f>
        <v>#REF!</v>
      </c>
      <c r="BR223" s="28" t="e">
        <f>#REF!</f>
        <v>#REF!</v>
      </c>
      <c r="BS223" s="28" t="e">
        <f>#REF!*2</f>
        <v>#REF!</v>
      </c>
      <c r="BT223" s="28" t="e">
        <f>#REF!</f>
        <v>#REF!</v>
      </c>
      <c r="BU223" s="28" t="e">
        <f>#REF!*2</f>
        <v>#REF!</v>
      </c>
      <c r="BV223" s="28" t="e">
        <f>#REF!</f>
        <v>#REF!</v>
      </c>
      <c r="BW223" s="28" t="e">
        <f>#REF!*2</f>
        <v>#REF!</v>
      </c>
      <c r="BX223" s="28" t="e">
        <f>#REF!</f>
        <v>#REF!</v>
      </c>
      <c r="BY223" s="28" t="e">
        <f>#REF!*2</f>
        <v>#REF!</v>
      </c>
      <c r="BZ223" s="28" t="e">
        <f>#REF!</f>
        <v>#REF!</v>
      </c>
      <c r="CA223" s="28" t="e">
        <f>#REF!*2</f>
        <v>#REF!</v>
      </c>
      <c r="CB223" s="9">
        <f t="shared" si="143"/>
        <v>0</v>
      </c>
      <c r="CC223" s="9">
        <f t="shared" si="144"/>
        <v>0</v>
      </c>
      <c r="CD223" s="9">
        <f t="shared" si="145"/>
        <v>0</v>
      </c>
      <c r="CE223" s="9">
        <f t="shared" si="146"/>
        <v>0</v>
      </c>
      <c r="CF223" s="9">
        <f t="shared" si="147"/>
        <v>0</v>
      </c>
      <c r="CG223" s="33"/>
      <c r="CH223" s="3">
        <f t="shared" si="148"/>
        <v>0</v>
      </c>
      <c r="CI223" s="3">
        <f t="shared" si="149"/>
        <v>0</v>
      </c>
      <c r="CJ223" s="3">
        <f t="shared" si="150"/>
        <v>0</v>
      </c>
      <c r="CK223" s="3">
        <f t="shared" si="151"/>
        <v>0</v>
      </c>
      <c r="CL223" s="3">
        <f t="shared" si="152"/>
        <v>0</v>
      </c>
      <c r="CM223" s="32"/>
      <c r="CN223" s="3">
        <f t="shared" si="153"/>
        <v>0</v>
      </c>
      <c r="CO223" s="3">
        <f t="shared" si="154"/>
        <v>0</v>
      </c>
      <c r="CP223" s="3">
        <f t="shared" si="155"/>
        <v>0</v>
      </c>
      <c r="CQ223" s="3">
        <f t="shared" si="156"/>
        <v>0</v>
      </c>
      <c r="CR223" s="3">
        <f t="shared" si="157"/>
        <v>0</v>
      </c>
      <c r="CS223" s="31"/>
      <c r="CT223" s="3" cm="1">
        <f t="array" ref="CT223">SUMPRODUCT(--(MOD(CH223:CL223,2)=1))</f>
        <v>0</v>
      </c>
      <c r="CU223" s="3">
        <f t="shared" si="158"/>
        <v>5</v>
      </c>
      <c r="CV223" s="30"/>
      <c r="CW223" s="3" cm="1">
        <f t="array" ref="CW223">SUMPRODUCT(--(MOD(CH223:CL223,10)&gt;=1), --(MOD(CH223:CL223,10)&lt;=5))</f>
        <v>0</v>
      </c>
      <c r="CX223" s="3">
        <f t="shared" si="159"/>
        <v>5</v>
      </c>
      <c r="CY223" s="30"/>
      <c r="CZ223" s="3" cm="1">
        <f t="array" ref="CZ223">IFERROR(COUNT(_xlfn._xlws.FILTER(CH223:CL223, ISNUMBER(MATCH(CH223:CL223, {2,3,5,7,11,13,17,19,23,29,31,37,41,43}, 0)))), 0)</f>
        <v>0</v>
      </c>
      <c r="DA223" s="3" cm="1">
        <f t="array" ref="DA223">IFERROR(COUNT(_xlfn._xlws.FILTER(CH223:CL223, ISNUMBER(MATCH(CH223:CL223, {1,4,8,10,14,16,20,22,25,26,28,32,34,35,38,40,44}, 0)))), 0)</f>
        <v>0</v>
      </c>
      <c r="DB223" s="3" cm="1">
        <f t="array" ref="DB223">IFERROR(COUNT(_xlfn._xlws.FILTER(CH223:CL223, ISNUMBER(MATCH(CH223:CL223, {6,9,12,15,18,21,24,27,30,33,36,39,42,45}, 0)))), 0)</f>
        <v>0</v>
      </c>
      <c r="DC223" s="29"/>
      <c r="DD223" s="28" t="e">
        <f>#REF!</f>
        <v>#REF!</v>
      </c>
      <c r="DE223" s="28" t="e">
        <f>#REF!*2</f>
        <v>#REF!</v>
      </c>
      <c r="DF223" s="28" t="e">
        <f>#REF!</f>
        <v>#REF!</v>
      </c>
      <c r="DG223" s="28" t="e">
        <f>#REF!*2</f>
        <v>#REF!</v>
      </c>
      <c r="DH223" s="28" t="e">
        <f>#REF!</f>
        <v>#REF!</v>
      </c>
      <c r="DI223" s="28" t="e">
        <f>#REF!*2</f>
        <v>#REF!</v>
      </c>
      <c r="DJ223" s="28" t="e">
        <f>#REF!</f>
        <v>#REF!</v>
      </c>
      <c r="DK223" s="28" t="e">
        <f>#REF!*2</f>
        <v>#REF!</v>
      </c>
      <c r="DL223" s="28" t="e">
        <f>#REF!</f>
        <v>#REF!</v>
      </c>
      <c r="DM223" s="28" t="e">
        <f>#REF!*2</f>
        <v>#REF!</v>
      </c>
      <c r="DN223" s="27"/>
      <c r="DO223" s="26"/>
      <c r="DP223" s="26"/>
      <c r="DQ223" s="26"/>
      <c r="DR223" s="26"/>
      <c r="DS223" s="26"/>
      <c r="DT223" s="25"/>
    </row>
    <row r="224" spans="2:124" x14ac:dyDescent="0.3"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2"/>
      <c r="I224" s="3">
        <f t="shared" si="120"/>
        <v>0</v>
      </c>
      <c r="J224" s="3">
        <f t="shared" si="121"/>
        <v>0</v>
      </c>
      <c r="K224" s="3">
        <f t="shared" si="122"/>
        <v>0</v>
      </c>
      <c r="L224" s="3">
        <f t="shared" si="123"/>
        <v>0</v>
      </c>
      <c r="M224" s="3">
        <f t="shared" si="124"/>
        <v>0</v>
      </c>
      <c r="N224" s="3">
        <f t="shared" si="125"/>
        <v>0</v>
      </c>
      <c r="O224" s="32"/>
      <c r="P224" s="3" cm="1">
        <f t="array" ref="P224">SUMPRODUCT(--(MOD(B224:G224,2)=1))</f>
        <v>0</v>
      </c>
      <c r="Q224" s="3">
        <f t="shared" si="126"/>
        <v>6</v>
      </c>
      <c r="R224" s="34"/>
      <c r="S224" s="3">
        <f t="shared" si="127"/>
        <v>0</v>
      </c>
      <c r="T224" s="3">
        <f t="shared" si="128"/>
        <v>6</v>
      </c>
      <c r="U224" s="34"/>
      <c r="V224" s="3" cm="1">
        <f t="array" ref="V224">SUMPRODUCT(--(MOD(B224:G224,10)&gt;=1), --(MOD(B224:G224,10)&lt;=5))</f>
        <v>0</v>
      </c>
      <c r="W224" s="3">
        <f t="shared" si="129"/>
        <v>6</v>
      </c>
      <c r="X224" s="34"/>
      <c r="Y224" s="3" cm="1">
        <f t="array" ref="Y224">IFERROR(COUNT(_xlfn._xlws.FILTER(B224:G224, ISNUMBER(MATCH(B224:G224, {2,3,5,7,11,13,17,19,23,29,31,37,41,43}, 0)))), 0)</f>
        <v>0</v>
      </c>
      <c r="Z224" s="3" cm="1">
        <f t="array" ref="Z224">IFERROR(COUNT(_xlfn._xlws.FILTER(B224:G224, ISNUMBER(MATCH(B224:G224, {1,4,8,10,14,16,20,22,25,26,28,32,34,35,38,40,44}, 0)))), 0)</f>
        <v>0</v>
      </c>
      <c r="AA224" s="3" cm="1">
        <f t="array" ref="AA224">IFERROR(COUNT(_xlfn._xlws.FILTER(B224:G224, ISNUMBER(MATCH(B224:G224, {6,9,12,15,18,21,24,27,30,33,36,39,42,45}, 0)))), 0)</f>
        <v>0</v>
      </c>
      <c r="AB224" s="30"/>
      <c r="AC224" s="26" cm="1">
        <f t="array" ref="AC224">_xlfn.IFS(
   OR(B224="",ISBLANK(B224),B224=0),0,
   ISNUMBER(MATCH(B224,{2,3,5,7,11,13,17,19,23,29,31,37,41,43},0)),"소",
   AND(ISNUMBER(B224),MOD(B224,3)=0),"배",
   AND(ISNUMBER(B224),B224&gt;0),"자"
)</f>
        <v>0</v>
      </c>
      <c r="AD224" s="26" cm="1">
        <f t="array" ref="AD224">_xlfn.IFS(
   OR(C224="",ISBLANK(C224),C224=0),0,
   ISNUMBER(MATCH(C224,{2,3,5,7,11,13,17,19,23,29,31,37,41,43},0)),"소",
   AND(ISNUMBER(C224),MOD(C224,3)=0),"배",
   AND(ISNUMBER(C224),C224&gt;0),"자"
)</f>
        <v>0</v>
      </c>
      <c r="AE224" s="26" cm="1">
        <f t="array" ref="AE224">_xlfn.IFS(
   OR(D224="",ISBLANK(D224),D224=0),0,
   ISNUMBER(MATCH(D224,{2,3,5,7,11,13,17,19,23,29,31,37,41,43},0)),"소",
   AND(ISNUMBER(D224),MOD(D224,3)=0),"배",
   AND(ISNUMBER(D224),D224&gt;0),"자"
)</f>
        <v>0</v>
      </c>
      <c r="AF224" s="26" cm="1">
        <f t="array" ref="AF224">_xlfn.IFS(
   OR(E224="",ISBLANK(E224),E224=0),0,
   ISNUMBER(MATCH(E224,{2,3,5,7,11,13,17,19,23,29,31,37,41,43},0)),"소",
   AND(ISNUMBER(E224),MOD(E224,3)=0),"배",
   AND(ISNUMBER(E224),E224&gt;0),"자"
)</f>
        <v>0</v>
      </c>
      <c r="AG224" s="26" cm="1">
        <f t="array" ref="AG224">_xlfn.IFS(
   OR(F224="",ISBLANK(F224),F224=0),0,
   ISNUMBER(MATCH(F224,{2,3,5,7,11,13,17,19,23,29,31,37,41,43},0)),"소",
   AND(ISNUMBER(F224),MOD(F224,3)=0),"배",
   AND(ISNUMBER(F224),F224&gt;0),"자"
)</f>
        <v>0</v>
      </c>
      <c r="AH224" s="26" cm="1">
        <f t="array" ref="AH224">_xlfn.IFS(
   OR(G224="",ISBLANK(G224),G224=0),0,
   ISNUMBER(MATCH(G224,{2,3,5,7,11,13,17,19,23,29,31,37,41,43},0)),"소",
   AND(ISNUMBER(G224),MOD(G224,3)=0),"배",
   AND(ISNUMBER(G224),G224&gt;0),"자"
)</f>
        <v>0</v>
      </c>
      <c r="AI224" s="30"/>
      <c r="AJ224" s="3">
        <f t="shared" si="130"/>
        <v>0</v>
      </c>
      <c r="AK224" s="3">
        <f t="shared" si="131"/>
        <v>0</v>
      </c>
      <c r="AL224" s="3">
        <f t="shared" si="132"/>
        <v>6</v>
      </c>
      <c r="AM224" s="33"/>
      <c r="AN224" s="3">
        <f t="shared" si="133"/>
        <v>0</v>
      </c>
      <c r="AO224" s="3">
        <f t="shared" si="134"/>
        <v>0</v>
      </c>
      <c r="AP224" s="3">
        <f t="shared" si="135"/>
        <v>0</v>
      </c>
      <c r="AQ224" s="3">
        <f t="shared" si="136"/>
        <v>0</v>
      </c>
      <c r="AR224" s="3">
        <f t="shared" si="137"/>
        <v>0</v>
      </c>
      <c r="AS224" s="28" t="e">
        <f>#REF!</f>
        <v>#REF!</v>
      </c>
      <c r="AT224" s="28" t="e">
        <f>#REF!*2</f>
        <v>#REF!</v>
      </c>
      <c r="AU224" s="28" t="e">
        <f>#REF!</f>
        <v>#REF!</v>
      </c>
      <c r="AV224" s="28" t="e">
        <f>#REF!*2</f>
        <v>#REF!</v>
      </c>
      <c r="AW224" s="28" t="e">
        <f>#REF!</f>
        <v>#REF!</v>
      </c>
      <c r="AX224" s="28" t="e">
        <f>#REF!*2</f>
        <v>#REF!</v>
      </c>
      <c r="AY224" s="28" t="e">
        <f>#REF!</f>
        <v>#REF!</v>
      </c>
      <c r="AZ224" s="28" t="e">
        <f>#REF!*2</f>
        <v>#REF!</v>
      </c>
      <c r="BA224" s="28" t="e">
        <f>#REF!</f>
        <v>#REF!</v>
      </c>
      <c r="BB224" s="28" t="e">
        <f>#REF!*2</f>
        <v>#REF!</v>
      </c>
      <c r="BC224" s="28" t="e">
        <f>#REF!</f>
        <v>#REF!</v>
      </c>
      <c r="BD224" s="28" t="e">
        <f>#REF!*2</f>
        <v>#REF!</v>
      </c>
      <c r="BE224" s="9" t="e">
        <f>#REF!-#REF!</f>
        <v>#REF!</v>
      </c>
      <c r="BF224" s="9" t="e">
        <f>#REF!-#REF!</f>
        <v>#REF!</v>
      </c>
      <c r="BG224" s="9" t="e">
        <f>#REF!-#REF!</f>
        <v>#REF!</v>
      </c>
      <c r="BH224" s="9" t="e">
        <f>#REF!-#REF!</f>
        <v>#REF!</v>
      </c>
      <c r="BI224" s="9" t="e">
        <f>#REF!-#REF!</f>
        <v>#REF!</v>
      </c>
      <c r="BJ224" s="33"/>
      <c r="BK224" s="3">
        <f t="shared" si="138"/>
        <v>0</v>
      </c>
      <c r="BL224" s="3">
        <f t="shared" si="139"/>
        <v>0</v>
      </c>
      <c r="BM224" s="3">
        <f t="shared" si="140"/>
        <v>0</v>
      </c>
      <c r="BN224" s="3">
        <f t="shared" si="141"/>
        <v>0</v>
      </c>
      <c r="BO224" s="3">
        <f t="shared" si="142"/>
        <v>0</v>
      </c>
      <c r="BP224" s="28" t="e">
        <f>#REF!</f>
        <v>#REF!</v>
      </c>
      <c r="BQ224" s="28" t="e">
        <f>#REF!*2</f>
        <v>#REF!</v>
      </c>
      <c r="BR224" s="28" t="e">
        <f>#REF!</f>
        <v>#REF!</v>
      </c>
      <c r="BS224" s="28" t="e">
        <f>#REF!*2</f>
        <v>#REF!</v>
      </c>
      <c r="BT224" s="28" t="e">
        <f>#REF!</f>
        <v>#REF!</v>
      </c>
      <c r="BU224" s="28" t="e">
        <f>#REF!*2</f>
        <v>#REF!</v>
      </c>
      <c r="BV224" s="28" t="e">
        <f>#REF!</f>
        <v>#REF!</v>
      </c>
      <c r="BW224" s="28" t="e">
        <f>#REF!*2</f>
        <v>#REF!</v>
      </c>
      <c r="BX224" s="28" t="e">
        <f>#REF!</f>
        <v>#REF!</v>
      </c>
      <c r="BY224" s="28" t="e">
        <f>#REF!*2</f>
        <v>#REF!</v>
      </c>
      <c r="BZ224" s="28" t="e">
        <f>#REF!</f>
        <v>#REF!</v>
      </c>
      <c r="CA224" s="28" t="e">
        <f>#REF!*2</f>
        <v>#REF!</v>
      </c>
      <c r="CB224" s="9">
        <f t="shared" si="143"/>
        <v>0</v>
      </c>
      <c r="CC224" s="9">
        <f t="shared" si="144"/>
        <v>0</v>
      </c>
      <c r="CD224" s="9">
        <f t="shared" si="145"/>
        <v>0</v>
      </c>
      <c r="CE224" s="9">
        <f t="shared" si="146"/>
        <v>0</v>
      </c>
      <c r="CF224" s="9">
        <f t="shared" si="147"/>
        <v>0</v>
      </c>
      <c r="CG224" s="33"/>
      <c r="CH224" s="3">
        <f t="shared" si="148"/>
        <v>0</v>
      </c>
      <c r="CI224" s="3">
        <f t="shared" si="149"/>
        <v>0</v>
      </c>
      <c r="CJ224" s="3">
        <f t="shared" si="150"/>
        <v>0</v>
      </c>
      <c r="CK224" s="3">
        <f t="shared" si="151"/>
        <v>0</v>
      </c>
      <c r="CL224" s="3">
        <f t="shared" si="152"/>
        <v>0</v>
      </c>
      <c r="CM224" s="32"/>
      <c r="CN224" s="3">
        <f t="shared" si="153"/>
        <v>0</v>
      </c>
      <c r="CO224" s="3">
        <f t="shared" si="154"/>
        <v>0</v>
      </c>
      <c r="CP224" s="3">
        <f t="shared" si="155"/>
        <v>0</v>
      </c>
      <c r="CQ224" s="3">
        <f t="shared" si="156"/>
        <v>0</v>
      </c>
      <c r="CR224" s="3">
        <f t="shared" si="157"/>
        <v>0</v>
      </c>
      <c r="CS224" s="31"/>
      <c r="CT224" s="3" cm="1">
        <f t="array" ref="CT224">SUMPRODUCT(--(MOD(CH224:CL224,2)=1))</f>
        <v>0</v>
      </c>
      <c r="CU224" s="3">
        <f t="shared" si="158"/>
        <v>5</v>
      </c>
      <c r="CV224" s="30"/>
      <c r="CW224" s="3" cm="1">
        <f t="array" ref="CW224">SUMPRODUCT(--(MOD(CH224:CL224,10)&gt;=1), --(MOD(CH224:CL224,10)&lt;=5))</f>
        <v>0</v>
      </c>
      <c r="CX224" s="3">
        <f t="shared" si="159"/>
        <v>5</v>
      </c>
      <c r="CY224" s="30"/>
      <c r="CZ224" s="3" cm="1">
        <f t="array" ref="CZ224">IFERROR(COUNT(_xlfn._xlws.FILTER(CH224:CL224, ISNUMBER(MATCH(CH224:CL224, {2,3,5,7,11,13,17,19,23,29,31,37,41,43}, 0)))), 0)</f>
        <v>0</v>
      </c>
      <c r="DA224" s="3" cm="1">
        <f t="array" ref="DA224">IFERROR(COUNT(_xlfn._xlws.FILTER(CH224:CL224, ISNUMBER(MATCH(CH224:CL224, {1,4,8,10,14,16,20,22,25,26,28,32,34,35,38,40,44}, 0)))), 0)</f>
        <v>0</v>
      </c>
      <c r="DB224" s="3" cm="1">
        <f t="array" ref="DB224">IFERROR(COUNT(_xlfn._xlws.FILTER(CH224:CL224, ISNUMBER(MATCH(CH224:CL224, {6,9,12,15,18,21,24,27,30,33,36,39,42,45}, 0)))), 0)</f>
        <v>0</v>
      </c>
      <c r="DC224" s="29"/>
      <c r="DD224" s="28" t="e">
        <f>#REF!</f>
        <v>#REF!</v>
      </c>
      <c r="DE224" s="28" t="e">
        <f>#REF!*2</f>
        <v>#REF!</v>
      </c>
      <c r="DF224" s="28" t="e">
        <f>#REF!</f>
        <v>#REF!</v>
      </c>
      <c r="DG224" s="28" t="e">
        <f>#REF!*2</f>
        <v>#REF!</v>
      </c>
      <c r="DH224" s="28" t="e">
        <f>#REF!</f>
        <v>#REF!</v>
      </c>
      <c r="DI224" s="28" t="e">
        <f>#REF!*2</f>
        <v>#REF!</v>
      </c>
      <c r="DJ224" s="28" t="e">
        <f>#REF!</f>
        <v>#REF!</v>
      </c>
      <c r="DK224" s="28" t="e">
        <f>#REF!*2</f>
        <v>#REF!</v>
      </c>
      <c r="DL224" s="28" t="e">
        <f>#REF!</f>
        <v>#REF!</v>
      </c>
      <c r="DM224" s="28" t="e">
        <f>#REF!*2</f>
        <v>#REF!</v>
      </c>
      <c r="DN224" s="27"/>
      <c r="DO224" s="26"/>
      <c r="DP224" s="26"/>
      <c r="DQ224" s="26"/>
      <c r="DR224" s="26"/>
      <c r="DS224" s="26"/>
      <c r="DT224" s="25"/>
    </row>
    <row r="225" spans="2:124" x14ac:dyDescent="0.3"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2"/>
      <c r="I225" s="3">
        <f t="shared" si="120"/>
        <v>0</v>
      </c>
      <c r="J225" s="3">
        <f t="shared" si="121"/>
        <v>0</v>
      </c>
      <c r="K225" s="3">
        <f t="shared" si="122"/>
        <v>0</v>
      </c>
      <c r="L225" s="3">
        <f t="shared" si="123"/>
        <v>0</v>
      </c>
      <c r="M225" s="3">
        <f t="shared" si="124"/>
        <v>0</v>
      </c>
      <c r="N225" s="3">
        <f t="shared" si="125"/>
        <v>0</v>
      </c>
      <c r="O225" s="32"/>
      <c r="P225" s="3" cm="1">
        <f t="array" ref="P225">SUMPRODUCT(--(MOD(B225:G225,2)=1))</f>
        <v>0</v>
      </c>
      <c r="Q225" s="3">
        <f t="shared" si="126"/>
        <v>6</v>
      </c>
      <c r="R225" s="34"/>
      <c r="S225" s="3">
        <f t="shared" si="127"/>
        <v>0</v>
      </c>
      <c r="T225" s="3">
        <f t="shared" si="128"/>
        <v>6</v>
      </c>
      <c r="U225" s="34"/>
      <c r="V225" s="3" cm="1">
        <f t="array" ref="V225">SUMPRODUCT(--(MOD(B225:G225,10)&gt;=1), --(MOD(B225:G225,10)&lt;=5))</f>
        <v>0</v>
      </c>
      <c r="W225" s="3">
        <f t="shared" si="129"/>
        <v>6</v>
      </c>
      <c r="X225" s="34"/>
      <c r="Y225" s="3" cm="1">
        <f t="array" ref="Y225">IFERROR(COUNT(_xlfn._xlws.FILTER(B225:G225, ISNUMBER(MATCH(B225:G225, {2,3,5,7,11,13,17,19,23,29,31,37,41,43}, 0)))), 0)</f>
        <v>0</v>
      </c>
      <c r="Z225" s="3" cm="1">
        <f t="array" ref="Z225">IFERROR(COUNT(_xlfn._xlws.FILTER(B225:G225, ISNUMBER(MATCH(B225:G225, {1,4,8,10,14,16,20,22,25,26,28,32,34,35,38,40,44}, 0)))), 0)</f>
        <v>0</v>
      </c>
      <c r="AA225" s="3" cm="1">
        <f t="array" ref="AA225">IFERROR(COUNT(_xlfn._xlws.FILTER(B225:G225, ISNUMBER(MATCH(B225:G225, {6,9,12,15,18,21,24,27,30,33,36,39,42,45}, 0)))), 0)</f>
        <v>0</v>
      </c>
      <c r="AB225" s="30"/>
      <c r="AC225" s="26" cm="1">
        <f t="array" ref="AC225">_xlfn.IFS(
   OR(B225="",ISBLANK(B225),B225=0),0,
   ISNUMBER(MATCH(B225,{2,3,5,7,11,13,17,19,23,29,31,37,41,43},0)),"소",
   AND(ISNUMBER(B225),MOD(B225,3)=0),"배",
   AND(ISNUMBER(B225),B225&gt;0),"자"
)</f>
        <v>0</v>
      </c>
      <c r="AD225" s="26" cm="1">
        <f t="array" ref="AD225">_xlfn.IFS(
   OR(C225="",ISBLANK(C225),C225=0),0,
   ISNUMBER(MATCH(C225,{2,3,5,7,11,13,17,19,23,29,31,37,41,43},0)),"소",
   AND(ISNUMBER(C225),MOD(C225,3)=0),"배",
   AND(ISNUMBER(C225),C225&gt;0),"자"
)</f>
        <v>0</v>
      </c>
      <c r="AE225" s="26" cm="1">
        <f t="array" ref="AE225">_xlfn.IFS(
   OR(D225="",ISBLANK(D225),D225=0),0,
   ISNUMBER(MATCH(D225,{2,3,5,7,11,13,17,19,23,29,31,37,41,43},0)),"소",
   AND(ISNUMBER(D225),MOD(D225,3)=0),"배",
   AND(ISNUMBER(D225),D225&gt;0),"자"
)</f>
        <v>0</v>
      </c>
      <c r="AF225" s="26" cm="1">
        <f t="array" ref="AF225">_xlfn.IFS(
   OR(E225="",ISBLANK(E225),E225=0),0,
   ISNUMBER(MATCH(E225,{2,3,5,7,11,13,17,19,23,29,31,37,41,43},0)),"소",
   AND(ISNUMBER(E225),MOD(E225,3)=0),"배",
   AND(ISNUMBER(E225),E225&gt;0),"자"
)</f>
        <v>0</v>
      </c>
      <c r="AG225" s="26" cm="1">
        <f t="array" ref="AG225">_xlfn.IFS(
   OR(F225="",ISBLANK(F225),F225=0),0,
   ISNUMBER(MATCH(F225,{2,3,5,7,11,13,17,19,23,29,31,37,41,43},0)),"소",
   AND(ISNUMBER(F225),MOD(F225,3)=0),"배",
   AND(ISNUMBER(F225),F225&gt;0),"자"
)</f>
        <v>0</v>
      </c>
      <c r="AH225" s="26" cm="1">
        <f t="array" ref="AH225">_xlfn.IFS(
   OR(G225="",ISBLANK(G225),G225=0),0,
   ISNUMBER(MATCH(G225,{2,3,5,7,11,13,17,19,23,29,31,37,41,43},0)),"소",
   AND(ISNUMBER(G225),MOD(G225,3)=0),"배",
   AND(ISNUMBER(G225),G225&gt;0),"자"
)</f>
        <v>0</v>
      </c>
      <c r="AI225" s="30"/>
      <c r="AJ225" s="3">
        <f t="shared" si="130"/>
        <v>0</v>
      </c>
      <c r="AK225" s="3">
        <f t="shared" si="131"/>
        <v>0</v>
      </c>
      <c r="AL225" s="3">
        <f t="shared" si="132"/>
        <v>6</v>
      </c>
      <c r="AM225" s="33"/>
      <c r="AN225" s="3">
        <f t="shared" si="133"/>
        <v>0</v>
      </c>
      <c r="AO225" s="3">
        <f t="shared" si="134"/>
        <v>0</v>
      </c>
      <c r="AP225" s="3">
        <f t="shared" si="135"/>
        <v>0</v>
      </c>
      <c r="AQ225" s="3">
        <f t="shared" si="136"/>
        <v>0</v>
      </c>
      <c r="AR225" s="3">
        <f t="shared" si="137"/>
        <v>0</v>
      </c>
      <c r="AS225" s="28" t="e">
        <f>#REF!</f>
        <v>#REF!</v>
      </c>
      <c r="AT225" s="28" t="e">
        <f>#REF!*2</f>
        <v>#REF!</v>
      </c>
      <c r="AU225" s="28" t="e">
        <f>#REF!</f>
        <v>#REF!</v>
      </c>
      <c r="AV225" s="28" t="e">
        <f>#REF!*2</f>
        <v>#REF!</v>
      </c>
      <c r="AW225" s="28" t="e">
        <f>#REF!</f>
        <v>#REF!</v>
      </c>
      <c r="AX225" s="28" t="e">
        <f>#REF!*2</f>
        <v>#REF!</v>
      </c>
      <c r="AY225" s="28" t="e">
        <f>#REF!</f>
        <v>#REF!</v>
      </c>
      <c r="AZ225" s="28" t="e">
        <f>#REF!*2</f>
        <v>#REF!</v>
      </c>
      <c r="BA225" s="28" t="e">
        <f>#REF!</f>
        <v>#REF!</v>
      </c>
      <c r="BB225" s="28" t="e">
        <f>#REF!*2</f>
        <v>#REF!</v>
      </c>
      <c r="BC225" s="28" t="e">
        <f>#REF!</f>
        <v>#REF!</v>
      </c>
      <c r="BD225" s="28" t="e">
        <f>#REF!*2</f>
        <v>#REF!</v>
      </c>
      <c r="BE225" s="9" t="e">
        <f>#REF!-#REF!</f>
        <v>#REF!</v>
      </c>
      <c r="BF225" s="9" t="e">
        <f>#REF!-#REF!</f>
        <v>#REF!</v>
      </c>
      <c r="BG225" s="9" t="e">
        <f>#REF!-#REF!</f>
        <v>#REF!</v>
      </c>
      <c r="BH225" s="9" t="e">
        <f>#REF!-#REF!</f>
        <v>#REF!</v>
      </c>
      <c r="BI225" s="9" t="e">
        <f>#REF!-#REF!</f>
        <v>#REF!</v>
      </c>
      <c r="BJ225" s="33"/>
      <c r="BK225" s="3">
        <f t="shared" si="138"/>
        <v>0</v>
      </c>
      <c r="BL225" s="3">
        <f t="shared" si="139"/>
        <v>0</v>
      </c>
      <c r="BM225" s="3">
        <f t="shared" si="140"/>
        <v>0</v>
      </c>
      <c r="BN225" s="3">
        <f t="shared" si="141"/>
        <v>0</v>
      </c>
      <c r="BO225" s="3">
        <f t="shared" si="142"/>
        <v>0</v>
      </c>
      <c r="BP225" s="28" t="e">
        <f>#REF!</f>
        <v>#REF!</v>
      </c>
      <c r="BQ225" s="28" t="e">
        <f>#REF!*2</f>
        <v>#REF!</v>
      </c>
      <c r="BR225" s="28" t="e">
        <f>#REF!</f>
        <v>#REF!</v>
      </c>
      <c r="BS225" s="28" t="e">
        <f>#REF!*2</f>
        <v>#REF!</v>
      </c>
      <c r="BT225" s="28" t="e">
        <f>#REF!</f>
        <v>#REF!</v>
      </c>
      <c r="BU225" s="28" t="e">
        <f>#REF!*2</f>
        <v>#REF!</v>
      </c>
      <c r="BV225" s="28" t="e">
        <f>#REF!</f>
        <v>#REF!</v>
      </c>
      <c r="BW225" s="28" t="e">
        <f>#REF!*2</f>
        <v>#REF!</v>
      </c>
      <c r="BX225" s="28" t="e">
        <f>#REF!</f>
        <v>#REF!</v>
      </c>
      <c r="BY225" s="28" t="e">
        <f>#REF!*2</f>
        <v>#REF!</v>
      </c>
      <c r="BZ225" s="28" t="e">
        <f>#REF!</f>
        <v>#REF!</v>
      </c>
      <c r="CA225" s="28" t="e">
        <f>#REF!*2</f>
        <v>#REF!</v>
      </c>
      <c r="CB225" s="9">
        <f t="shared" si="143"/>
        <v>0</v>
      </c>
      <c r="CC225" s="9">
        <f t="shared" si="144"/>
        <v>0</v>
      </c>
      <c r="CD225" s="9">
        <f t="shared" si="145"/>
        <v>0</v>
      </c>
      <c r="CE225" s="9">
        <f t="shared" si="146"/>
        <v>0</v>
      </c>
      <c r="CF225" s="9">
        <f t="shared" si="147"/>
        <v>0</v>
      </c>
      <c r="CG225" s="33"/>
      <c r="CH225" s="3">
        <f t="shared" si="148"/>
        <v>0</v>
      </c>
      <c r="CI225" s="3">
        <f t="shared" si="149"/>
        <v>0</v>
      </c>
      <c r="CJ225" s="3">
        <f t="shared" si="150"/>
        <v>0</v>
      </c>
      <c r="CK225" s="3">
        <f t="shared" si="151"/>
        <v>0</v>
      </c>
      <c r="CL225" s="3">
        <f t="shared" si="152"/>
        <v>0</v>
      </c>
      <c r="CM225" s="32"/>
      <c r="CN225" s="3">
        <f t="shared" si="153"/>
        <v>0</v>
      </c>
      <c r="CO225" s="3">
        <f t="shared" si="154"/>
        <v>0</v>
      </c>
      <c r="CP225" s="3">
        <f t="shared" si="155"/>
        <v>0</v>
      </c>
      <c r="CQ225" s="3">
        <f t="shared" si="156"/>
        <v>0</v>
      </c>
      <c r="CR225" s="3">
        <f t="shared" si="157"/>
        <v>0</v>
      </c>
      <c r="CS225" s="31"/>
      <c r="CT225" s="3" cm="1">
        <f t="array" ref="CT225">SUMPRODUCT(--(MOD(CH225:CL225,2)=1))</f>
        <v>0</v>
      </c>
      <c r="CU225" s="3">
        <f t="shared" si="158"/>
        <v>5</v>
      </c>
      <c r="CV225" s="30"/>
      <c r="CW225" s="3" cm="1">
        <f t="array" ref="CW225">SUMPRODUCT(--(MOD(CH225:CL225,10)&gt;=1), --(MOD(CH225:CL225,10)&lt;=5))</f>
        <v>0</v>
      </c>
      <c r="CX225" s="3">
        <f t="shared" si="159"/>
        <v>5</v>
      </c>
      <c r="CY225" s="30"/>
      <c r="CZ225" s="3" cm="1">
        <f t="array" ref="CZ225">IFERROR(COUNT(_xlfn._xlws.FILTER(CH225:CL225, ISNUMBER(MATCH(CH225:CL225, {2,3,5,7,11,13,17,19,23,29,31,37,41,43}, 0)))), 0)</f>
        <v>0</v>
      </c>
      <c r="DA225" s="3" cm="1">
        <f t="array" ref="DA225">IFERROR(COUNT(_xlfn._xlws.FILTER(CH225:CL225, ISNUMBER(MATCH(CH225:CL225, {1,4,8,10,14,16,20,22,25,26,28,32,34,35,38,40,44}, 0)))), 0)</f>
        <v>0</v>
      </c>
      <c r="DB225" s="3" cm="1">
        <f t="array" ref="DB225">IFERROR(COUNT(_xlfn._xlws.FILTER(CH225:CL225, ISNUMBER(MATCH(CH225:CL225, {6,9,12,15,18,21,24,27,30,33,36,39,42,45}, 0)))), 0)</f>
        <v>0</v>
      </c>
      <c r="DC225" s="29"/>
      <c r="DD225" s="28" t="e">
        <f>#REF!</f>
        <v>#REF!</v>
      </c>
      <c r="DE225" s="28" t="e">
        <f>#REF!*2</f>
        <v>#REF!</v>
      </c>
      <c r="DF225" s="28" t="e">
        <f>#REF!</f>
        <v>#REF!</v>
      </c>
      <c r="DG225" s="28" t="e">
        <f>#REF!*2</f>
        <v>#REF!</v>
      </c>
      <c r="DH225" s="28" t="e">
        <f>#REF!</f>
        <v>#REF!</v>
      </c>
      <c r="DI225" s="28" t="e">
        <f>#REF!*2</f>
        <v>#REF!</v>
      </c>
      <c r="DJ225" s="28" t="e">
        <f>#REF!</f>
        <v>#REF!</v>
      </c>
      <c r="DK225" s="28" t="e">
        <f>#REF!*2</f>
        <v>#REF!</v>
      </c>
      <c r="DL225" s="28" t="e">
        <f>#REF!</f>
        <v>#REF!</v>
      </c>
      <c r="DM225" s="28" t="e">
        <f>#REF!*2</f>
        <v>#REF!</v>
      </c>
      <c r="DN225" s="27"/>
      <c r="DO225" s="26"/>
      <c r="DP225" s="26"/>
      <c r="DQ225" s="26"/>
      <c r="DR225" s="26"/>
      <c r="DS225" s="26"/>
      <c r="DT225" s="25"/>
    </row>
    <row r="226" spans="2:124" x14ac:dyDescent="0.3"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2"/>
      <c r="I226" s="3">
        <f t="shared" si="120"/>
        <v>0</v>
      </c>
      <c r="J226" s="3">
        <f t="shared" si="121"/>
        <v>0</v>
      </c>
      <c r="K226" s="3">
        <f t="shared" si="122"/>
        <v>0</v>
      </c>
      <c r="L226" s="3">
        <f t="shared" si="123"/>
        <v>0</v>
      </c>
      <c r="M226" s="3">
        <f t="shared" si="124"/>
        <v>0</v>
      </c>
      <c r="N226" s="3">
        <f t="shared" si="125"/>
        <v>0</v>
      </c>
      <c r="O226" s="32"/>
      <c r="P226" s="3" cm="1">
        <f t="array" ref="P226">SUMPRODUCT(--(MOD(B226:G226,2)=1))</f>
        <v>0</v>
      </c>
      <c r="Q226" s="3">
        <f t="shared" si="126"/>
        <v>6</v>
      </c>
      <c r="R226" s="34"/>
      <c r="S226" s="3">
        <f t="shared" si="127"/>
        <v>0</v>
      </c>
      <c r="T226" s="3">
        <f t="shared" si="128"/>
        <v>6</v>
      </c>
      <c r="U226" s="34"/>
      <c r="V226" s="3" cm="1">
        <f t="array" ref="V226">SUMPRODUCT(--(MOD(B226:G226,10)&gt;=1), --(MOD(B226:G226,10)&lt;=5))</f>
        <v>0</v>
      </c>
      <c r="W226" s="3">
        <f t="shared" si="129"/>
        <v>6</v>
      </c>
      <c r="X226" s="34"/>
      <c r="Y226" s="3" cm="1">
        <f t="array" ref="Y226">IFERROR(COUNT(_xlfn._xlws.FILTER(B226:G226, ISNUMBER(MATCH(B226:G226, {2,3,5,7,11,13,17,19,23,29,31,37,41,43}, 0)))), 0)</f>
        <v>0</v>
      </c>
      <c r="Z226" s="3" cm="1">
        <f t="array" ref="Z226">IFERROR(COUNT(_xlfn._xlws.FILTER(B226:G226, ISNUMBER(MATCH(B226:G226, {1,4,8,10,14,16,20,22,25,26,28,32,34,35,38,40,44}, 0)))), 0)</f>
        <v>0</v>
      </c>
      <c r="AA226" s="3" cm="1">
        <f t="array" ref="AA226">IFERROR(COUNT(_xlfn._xlws.FILTER(B226:G226, ISNUMBER(MATCH(B226:G226, {6,9,12,15,18,21,24,27,30,33,36,39,42,45}, 0)))), 0)</f>
        <v>0</v>
      </c>
      <c r="AB226" s="30"/>
      <c r="AC226" s="26" cm="1">
        <f t="array" ref="AC226">_xlfn.IFS(
   OR(B226="",ISBLANK(B226),B226=0),0,
   ISNUMBER(MATCH(B226,{2,3,5,7,11,13,17,19,23,29,31,37,41,43},0)),"소",
   AND(ISNUMBER(B226),MOD(B226,3)=0),"배",
   AND(ISNUMBER(B226),B226&gt;0),"자"
)</f>
        <v>0</v>
      </c>
      <c r="AD226" s="26" cm="1">
        <f t="array" ref="AD226">_xlfn.IFS(
   OR(C226="",ISBLANK(C226),C226=0),0,
   ISNUMBER(MATCH(C226,{2,3,5,7,11,13,17,19,23,29,31,37,41,43},0)),"소",
   AND(ISNUMBER(C226),MOD(C226,3)=0),"배",
   AND(ISNUMBER(C226),C226&gt;0),"자"
)</f>
        <v>0</v>
      </c>
      <c r="AE226" s="26" cm="1">
        <f t="array" ref="AE226">_xlfn.IFS(
   OR(D226="",ISBLANK(D226),D226=0),0,
   ISNUMBER(MATCH(D226,{2,3,5,7,11,13,17,19,23,29,31,37,41,43},0)),"소",
   AND(ISNUMBER(D226),MOD(D226,3)=0),"배",
   AND(ISNUMBER(D226),D226&gt;0),"자"
)</f>
        <v>0</v>
      </c>
      <c r="AF226" s="26" cm="1">
        <f t="array" ref="AF226">_xlfn.IFS(
   OR(E226="",ISBLANK(E226),E226=0),0,
   ISNUMBER(MATCH(E226,{2,3,5,7,11,13,17,19,23,29,31,37,41,43},0)),"소",
   AND(ISNUMBER(E226),MOD(E226,3)=0),"배",
   AND(ISNUMBER(E226),E226&gt;0),"자"
)</f>
        <v>0</v>
      </c>
      <c r="AG226" s="26" cm="1">
        <f t="array" ref="AG226">_xlfn.IFS(
   OR(F226="",ISBLANK(F226),F226=0),0,
   ISNUMBER(MATCH(F226,{2,3,5,7,11,13,17,19,23,29,31,37,41,43},0)),"소",
   AND(ISNUMBER(F226),MOD(F226,3)=0),"배",
   AND(ISNUMBER(F226),F226&gt;0),"자"
)</f>
        <v>0</v>
      </c>
      <c r="AH226" s="26" cm="1">
        <f t="array" ref="AH226">_xlfn.IFS(
   OR(G226="",ISBLANK(G226),G226=0),0,
   ISNUMBER(MATCH(G226,{2,3,5,7,11,13,17,19,23,29,31,37,41,43},0)),"소",
   AND(ISNUMBER(G226),MOD(G226,3)=0),"배",
   AND(ISNUMBER(G226),G226&gt;0),"자"
)</f>
        <v>0</v>
      </c>
      <c r="AI226" s="30"/>
      <c r="AJ226" s="3">
        <f t="shared" si="130"/>
        <v>0</v>
      </c>
      <c r="AK226" s="3">
        <f t="shared" si="131"/>
        <v>0</v>
      </c>
      <c r="AL226" s="3">
        <f t="shared" si="132"/>
        <v>6</v>
      </c>
      <c r="AM226" s="33"/>
      <c r="AN226" s="3">
        <f t="shared" si="133"/>
        <v>0</v>
      </c>
      <c r="AO226" s="3">
        <f t="shared" si="134"/>
        <v>0</v>
      </c>
      <c r="AP226" s="3">
        <f t="shared" si="135"/>
        <v>0</v>
      </c>
      <c r="AQ226" s="3">
        <f t="shared" si="136"/>
        <v>0</v>
      </c>
      <c r="AR226" s="3">
        <f t="shared" si="137"/>
        <v>0</v>
      </c>
      <c r="AS226" s="28" t="e">
        <f>#REF!</f>
        <v>#REF!</v>
      </c>
      <c r="AT226" s="28" t="e">
        <f>#REF!*2</f>
        <v>#REF!</v>
      </c>
      <c r="AU226" s="28" t="e">
        <f>#REF!</f>
        <v>#REF!</v>
      </c>
      <c r="AV226" s="28" t="e">
        <f>#REF!*2</f>
        <v>#REF!</v>
      </c>
      <c r="AW226" s="28" t="e">
        <f>#REF!</f>
        <v>#REF!</v>
      </c>
      <c r="AX226" s="28" t="e">
        <f>#REF!*2</f>
        <v>#REF!</v>
      </c>
      <c r="AY226" s="28" t="e">
        <f>#REF!</f>
        <v>#REF!</v>
      </c>
      <c r="AZ226" s="28" t="e">
        <f>#REF!*2</f>
        <v>#REF!</v>
      </c>
      <c r="BA226" s="28" t="e">
        <f>#REF!</f>
        <v>#REF!</v>
      </c>
      <c r="BB226" s="28" t="e">
        <f>#REF!*2</f>
        <v>#REF!</v>
      </c>
      <c r="BC226" s="28" t="e">
        <f>#REF!</f>
        <v>#REF!</v>
      </c>
      <c r="BD226" s="28" t="e">
        <f>#REF!*2</f>
        <v>#REF!</v>
      </c>
      <c r="BE226" s="9" t="e">
        <f>#REF!-#REF!</f>
        <v>#REF!</v>
      </c>
      <c r="BF226" s="9" t="e">
        <f>#REF!-#REF!</f>
        <v>#REF!</v>
      </c>
      <c r="BG226" s="9" t="e">
        <f>#REF!-#REF!</f>
        <v>#REF!</v>
      </c>
      <c r="BH226" s="9" t="e">
        <f>#REF!-#REF!</f>
        <v>#REF!</v>
      </c>
      <c r="BI226" s="9" t="e">
        <f>#REF!-#REF!</f>
        <v>#REF!</v>
      </c>
      <c r="BJ226" s="33"/>
      <c r="BK226" s="3">
        <f t="shared" si="138"/>
        <v>0</v>
      </c>
      <c r="BL226" s="3">
        <f t="shared" si="139"/>
        <v>0</v>
      </c>
      <c r="BM226" s="3">
        <f t="shared" si="140"/>
        <v>0</v>
      </c>
      <c r="BN226" s="3">
        <f t="shared" si="141"/>
        <v>0</v>
      </c>
      <c r="BO226" s="3">
        <f t="shared" si="142"/>
        <v>0</v>
      </c>
      <c r="BP226" s="28" t="e">
        <f>#REF!</f>
        <v>#REF!</v>
      </c>
      <c r="BQ226" s="28" t="e">
        <f>#REF!*2</f>
        <v>#REF!</v>
      </c>
      <c r="BR226" s="28" t="e">
        <f>#REF!</f>
        <v>#REF!</v>
      </c>
      <c r="BS226" s="28" t="e">
        <f>#REF!*2</f>
        <v>#REF!</v>
      </c>
      <c r="BT226" s="28" t="e">
        <f>#REF!</f>
        <v>#REF!</v>
      </c>
      <c r="BU226" s="28" t="e">
        <f>#REF!*2</f>
        <v>#REF!</v>
      </c>
      <c r="BV226" s="28" t="e">
        <f>#REF!</f>
        <v>#REF!</v>
      </c>
      <c r="BW226" s="28" t="e">
        <f>#REF!*2</f>
        <v>#REF!</v>
      </c>
      <c r="BX226" s="28" t="e">
        <f>#REF!</f>
        <v>#REF!</v>
      </c>
      <c r="BY226" s="28" t="e">
        <f>#REF!*2</f>
        <v>#REF!</v>
      </c>
      <c r="BZ226" s="28" t="e">
        <f>#REF!</f>
        <v>#REF!</v>
      </c>
      <c r="CA226" s="28" t="e">
        <f>#REF!*2</f>
        <v>#REF!</v>
      </c>
      <c r="CB226" s="9">
        <f t="shared" si="143"/>
        <v>0</v>
      </c>
      <c r="CC226" s="9">
        <f t="shared" si="144"/>
        <v>0</v>
      </c>
      <c r="CD226" s="9">
        <f t="shared" si="145"/>
        <v>0</v>
      </c>
      <c r="CE226" s="9">
        <f t="shared" si="146"/>
        <v>0</v>
      </c>
      <c r="CF226" s="9">
        <f t="shared" si="147"/>
        <v>0</v>
      </c>
      <c r="CG226" s="33"/>
      <c r="CH226" s="3">
        <f t="shared" si="148"/>
        <v>0</v>
      </c>
      <c r="CI226" s="3">
        <f t="shared" si="149"/>
        <v>0</v>
      </c>
      <c r="CJ226" s="3">
        <f t="shared" si="150"/>
        <v>0</v>
      </c>
      <c r="CK226" s="3">
        <f t="shared" si="151"/>
        <v>0</v>
      </c>
      <c r="CL226" s="3">
        <f t="shared" si="152"/>
        <v>0</v>
      </c>
      <c r="CM226" s="32"/>
      <c r="CN226" s="3">
        <f t="shared" si="153"/>
        <v>0</v>
      </c>
      <c r="CO226" s="3">
        <f t="shared" si="154"/>
        <v>0</v>
      </c>
      <c r="CP226" s="3">
        <f t="shared" si="155"/>
        <v>0</v>
      </c>
      <c r="CQ226" s="3">
        <f t="shared" si="156"/>
        <v>0</v>
      </c>
      <c r="CR226" s="3">
        <f t="shared" si="157"/>
        <v>0</v>
      </c>
      <c r="CS226" s="31"/>
      <c r="CT226" s="3" cm="1">
        <f t="array" ref="CT226">SUMPRODUCT(--(MOD(CH226:CL226,2)=1))</f>
        <v>0</v>
      </c>
      <c r="CU226" s="3">
        <f t="shared" si="158"/>
        <v>5</v>
      </c>
      <c r="CV226" s="30"/>
      <c r="CW226" s="3" cm="1">
        <f t="array" ref="CW226">SUMPRODUCT(--(MOD(CH226:CL226,10)&gt;=1), --(MOD(CH226:CL226,10)&lt;=5))</f>
        <v>0</v>
      </c>
      <c r="CX226" s="3">
        <f t="shared" si="159"/>
        <v>5</v>
      </c>
      <c r="CY226" s="30"/>
      <c r="CZ226" s="3" cm="1">
        <f t="array" ref="CZ226">IFERROR(COUNT(_xlfn._xlws.FILTER(CH226:CL226, ISNUMBER(MATCH(CH226:CL226, {2,3,5,7,11,13,17,19,23,29,31,37,41,43}, 0)))), 0)</f>
        <v>0</v>
      </c>
      <c r="DA226" s="3" cm="1">
        <f t="array" ref="DA226">IFERROR(COUNT(_xlfn._xlws.FILTER(CH226:CL226, ISNUMBER(MATCH(CH226:CL226, {1,4,8,10,14,16,20,22,25,26,28,32,34,35,38,40,44}, 0)))), 0)</f>
        <v>0</v>
      </c>
      <c r="DB226" s="3" cm="1">
        <f t="array" ref="DB226">IFERROR(COUNT(_xlfn._xlws.FILTER(CH226:CL226, ISNUMBER(MATCH(CH226:CL226, {6,9,12,15,18,21,24,27,30,33,36,39,42,45}, 0)))), 0)</f>
        <v>0</v>
      </c>
      <c r="DC226" s="29"/>
      <c r="DD226" s="28" t="e">
        <f>#REF!</f>
        <v>#REF!</v>
      </c>
      <c r="DE226" s="28" t="e">
        <f>#REF!*2</f>
        <v>#REF!</v>
      </c>
      <c r="DF226" s="28" t="e">
        <f>#REF!</f>
        <v>#REF!</v>
      </c>
      <c r="DG226" s="28" t="e">
        <f>#REF!*2</f>
        <v>#REF!</v>
      </c>
      <c r="DH226" s="28" t="e">
        <f>#REF!</f>
        <v>#REF!</v>
      </c>
      <c r="DI226" s="28" t="e">
        <f>#REF!*2</f>
        <v>#REF!</v>
      </c>
      <c r="DJ226" s="28" t="e">
        <f>#REF!</f>
        <v>#REF!</v>
      </c>
      <c r="DK226" s="28" t="e">
        <f>#REF!*2</f>
        <v>#REF!</v>
      </c>
      <c r="DL226" s="28" t="e">
        <f>#REF!</f>
        <v>#REF!</v>
      </c>
      <c r="DM226" s="28" t="e">
        <f>#REF!*2</f>
        <v>#REF!</v>
      </c>
      <c r="DN226" s="27"/>
      <c r="DO226" s="26"/>
      <c r="DP226" s="26"/>
      <c r="DQ226" s="26"/>
      <c r="DR226" s="26"/>
      <c r="DS226" s="26"/>
      <c r="DT226" s="25"/>
    </row>
    <row r="227" spans="2:124" x14ac:dyDescent="0.3"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2"/>
      <c r="I227" s="3">
        <f t="shared" si="120"/>
        <v>0</v>
      </c>
      <c r="J227" s="3">
        <f t="shared" si="121"/>
        <v>0</v>
      </c>
      <c r="K227" s="3">
        <f t="shared" si="122"/>
        <v>0</v>
      </c>
      <c r="L227" s="3">
        <f t="shared" si="123"/>
        <v>0</v>
      </c>
      <c r="M227" s="3">
        <f t="shared" si="124"/>
        <v>0</v>
      </c>
      <c r="N227" s="3">
        <f t="shared" si="125"/>
        <v>0</v>
      </c>
      <c r="O227" s="32"/>
      <c r="P227" s="3" cm="1">
        <f t="array" ref="P227">SUMPRODUCT(--(MOD(B227:G227,2)=1))</f>
        <v>0</v>
      </c>
      <c r="Q227" s="3">
        <f t="shared" si="126"/>
        <v>6</v>
      </c>
      <c r="R227" s="34"/>
      <c r="S227" s="3">
        <f t="shared" si="127"/>
        <v>0</v>
      </c>
      <c r="T227" s="3">
        <f t="shared" si="128"/>
        <v>6</v>
      </c>
      <c r="U227" s="34"/>
      <c r="V227" s="3" cm="1">
        <f t="array" ref="V227">SUMPRODUCT(--(MOD(B227:G227,10)&gt;=1), --(MOD(B227:G227,10)&lt;=5))</f>
        <v>0</v>
      </c>
      <c r="W227" s="3">
        <f t="shared" si="129"/>
        <v>6</v>
      </c>
      <c r="X227" s="34"/>
      <c r="Y227" s="3" cm="1">
        <f t="array" ref="Y227">IFERROR(COUNT(_xlfn._xlws.FILTER(B227:G227, ISNUMBER(MATCH(B227:G227, {2,3,5,7,11,13,17,19,23,29,31,37,41,43}, 0)))), 0)</f>
        <v>0</v>
      </c>
      <c r="Z227" s="3" cm="1">
        <f t="array" ref="Z227">IFERROR(COUNT(_xlfn._xlws.FILTER(B227:G227, ISNUMBER(MATCH(B227:G227, {1,4,8,10,14,16,20,22,25,26,28,32,34,35,38,40,44}, 0)))), 0)</f>
        <v>0</v>
      </c>
      <c r="AA227" s="3" cm="1">
        <f t="array" ref="AA227">IFERROR(COUNT(_xlfn._xlws.FILTER(B227:G227, ISNUMBER(MATCH(B227:G227, {6,9,12,15,18,21,24,27,30,33,36,39,42,45}, 0)))), 0)</f>
        <v>0</v>
      </c>
      <c r="AB227" s="30"/>
      <c r="AC227" s="26" cm="1">
        <f t="array" ref="AC227">_xlfn.IFS(
   OR(B227="",ISBLANK(B227),B227=0),0,
   ISNUMBER(MATCH(B227,{2,3,5,7,11,13,17,19,23,29,31,37,41,43},0)),"소",
   AND(ISNUMBER(B227),MOD(B227,3)=0),"배",
   AND(ISNUMBER(B227),B227&gt;0),"자"
)</f>
        <v>0</v>
      </c>
      <c r="AD227" s="26" cm="1">
        <f t="array" ref="AD227">_xlfn.IFS(
   OR(C227="",ISBLANK(C227),C227=0),0,
   ISNUMBER(MATCH(C227,{2,3,5,7,11,13,17,19,23,29,31,37,41,43},0)),"소",
   AND(ISNUMBER(C227),MOD(C227,3)=0),"배",
   AND(ISNUMBER(C227),C227&gt;0),"자"
)</f>
        <v>0</v>
      </c>
      <c r="AE227" s="26" cm="1">
        <f t="array" ref="AE227">_xlfn.IFS(
   OR(D227="",ISBLANK(D227),D227=0),0,
   ISNUMBER(MATCH(D227,{2,3,5,7,11,13,17,19,23,29,31,37,41,43},0)),"소",
   AND(ISNUMBER(D227),MOD(D227,3)=0),"배",
   AND(ISNUMBER(D227),D227&gt;0),"자"
)</f>
        <v>0</v>
      </c>
      <c r="AF227" s="26" cm="1">
        <f t="array" ref="AF227">_xlfn.IFS(
   OR(E227="",ISBLANK(E227),E227=0),0,
   ISNUMBER(MATCH(E227,{2,3,5,7,11,13,17,19,23,29,31,37,41,43},0)),"소",
   AND(ISNUMBER(E227),MOD(E227,3)=0),"배",
   AND(ISNUMBER(E227),E227&gt;0),"자"
)</f>
        <v>0</v>
      </c>
      <c r="AG227" s="26" cm="1">
        <f t="array" ref="AG227">_xlfn.IFS(
   OR(F227="",ISBLANK(F227),F227=0),0,
   ISNUMBER(MATCH(F227,{2,3,5,7,11,13,17,19,23,29,31,37,41,43},0)),"소",
   AND(ISNUMBER(F227),MOD(F227,3)=0),"배",
   AND(ISNUMBER(F227),F227&gt;0),"자"
)</f>
        <v>0</v>
      </c>
      <c r="AH227" s="26" cm="1">
        <f t="array" ref="AH227">_xlfn.IFS(
   OR(G227="",ISBLANK(G227),G227=0),0,
   ISNUMBER(MATCH(G227,{2,3,5,7,11,13,17,19,23,29,31,37,41,43},0)),"소",
   AND(ISNUMBER(G227),MOD(G227,3)=0),"배",
   AND(ISNUMBER(G227),G227&gt;0),"자"
)</f>
        <v>0</v>
      </c>
      <c r="AI227" s="30"/>
      <c r="AJ227" s="3">
        <f t="shared" si="130"/>
        <v>0</v>
      </c>
      <c r="AK227" s="3">
        <f t="shared" si="131"/>
        <v>0</v>
      </c>
      <c r="AL227" s="3">
        <f t="shared" si="132"/>
        <v>6</v>
      </c>
      <c r="AM227" s="33"/>
      <c r="AN227" s="3">
        <f t="shared" si="133"/>
        <v>0</v>
      </c>
      <c r="AO227" s="3">
        <f t="shared" si="134"/>
        <v>0</v>
      </c>
      <c r="AP227" s="3">
        <f t="shared" si="135"/>
        <v>0</v>
      </c>
      <c r="AQ227" s="3">
        <f t="shared" si="136"/>
        <v>0</v>
      </c>
      <c r="AR227" s="3">
        <f t="shared" si="137"/>
        <v>0</v>
      </c>
      <c r="AS227" s="28" t="e">
        <f>#REF!</f>
        <v>#REF!</v>
      </c>
      <c r="AT227" s="28" t="e">
        <f>#REF!*2</f>
        <v>#REF!</v>
      </c>
      <c r="AU227" s="28" t="e">
        <f>#REF!</f>
        <v>#REF!</v>
      </c>
      <c r="AV227" s="28" t="e">
        <f>#REF!*2</f>
        <v>#REF!</v>
      </c>
      <c r="AW227" s="28" t="e">
        <f>#REF!</f>
        <v>#REF!</v>
      </c>
      <c r="AX227" s="28" t="e">
        <f>#REF!*2</f>
        <v>#REF!</v>
      </c>
      <c r="AY227" s="28" t="e">
        <f>#REF!</f>
        <v>#REF!</v>
      </c>
      <c r="AZ227" s="28" t="e">
        <f>#REF!*2</f>
        <v>#REF!</v>
      </c>
      <c r="BA227" s="28" t="e">
        <f>#REF!</f>
        <v>#REF!</v>
      </c>
      <c r="BB227" s="28" t="e">
        <f>#REF!*2</f>
        <v>#REF!</v>
      </c>
      <c r="BC227" s="28" t="e">
        <f>#REF!</f>
        <v>#REF!</v>
      </c>
      <c r="BD227" s="28" t="e">
        <f>#REF!*2</f>
        <v>#REF!</v>
      </c>
      <c r="BE227" s="9" t="e">
        <f>#REF!-#REF!</f>
        <v>#REF!</v>
      </c>
      <c r="BF227" s="9" t="e">
        <f>#REF!-#REF!</f>
        <v>#REF!</v>
      </c>
      <c r="BG227" s="9" t="e">
        <f>#REF!-#REF!</f>
        <v>#REF!</v>
      </c>
      <c r="BH227" s="9" t="e">
        <f>#REF!-#REF!</f>
        <v>#REF!</v>
      </c>
      <c r="BI227" s="9" t="e">
        <f>#REF!-#REF!</f>
        <v>#REF!</v>
      </c>
      <c r="BJ227" s="33"/>
      <c r="BK227" s="3">
        <f t="shared" si="138"/>
        <v>0</v>
      </c>
      <c r="BL227" s="3">
        <f t="shared" si="139"/>
        <v>0</v>
      </c>
      <c r="BM227" s="3">
        <f t="shared" si="140"/>
        <v>0</v>
      </c>
      <c r="BN227" s="3">
        <f t="shared" si="141"/>
        <v>0</v>
      </c>
      <c r="BO227" s="3">
        <f t="shared" si="142"/>
        <v>0</v>
      </c>
      <c r="BP227" s="28" t="e">
        <f>#REF!</f>
        <v>#REF!</v>
      </c>
      <c r="BQ227" s="28" t="e">
        <f>#REF!*2</f>
        <v>#REF!</v>
      </c>
      <c r="BR227" s="28" t="e">
        <f>#REF!</f>
        <v>#REF!</v>
      </c>
      <c r="BS227" s="28" t="e">
        <f>#REF!*2</f>
        <v>#REF!</v>
      </c>
      <c r="BT227" s="28" t="e">
        <f>#REF!</f>
        <v>#REF!</v>
      </c>
      <c r="BU227" s="28" t="e">
        <f>#REF!*2</f>
        <v>#REF!</v>
      </c>
      <c r="BV227" s="28" t="e">
        <f>#REF!</f>
        <v>#REF!</v>
      </c>
      <c r="BW227" s="28" t="e">
        <f>#REF!*2</f>
        <v>#REF!</v>
      </c>
      <c r="BX227" s="28" t="e">
        <f>#REF!</f>
        <v>#REF!</v>
      </c>
      <c r="BY227" s="28" t="e">
        <f>#REF!*2</f>
        <v>#REF!</v>
      </c>
      <c r="BZ227" s="28" t="e">
        <f>#REF!</f>
        <v>#REF!</v>
      </c>
      <c r="CA227" s="28" t="e">
        <f>#REF!*2</f>
        <v>#REF!</v>
      </c>
      <c r="CB227" s="9">
        <f t="shared" si="143"/>
        <v>0</v>
      </c>
      <c r="CC227" s="9">
        <f t="shared" si="144"/>
        <v>0</v>
      </c>
      <c r="CD227" s="9">
        <f t="shared" si="145"/>
        <v>0</v>
      </c>
      <c r="CE227" s="9">
        <f t="shared" si="146"/>
        <v>0</v>
      </c>
      <c r="CF227" s="9">
        <f t="shared" si="147"/>
        <v>0</v>
      </c>
      <c r="CG227" s="33"/>
      <c r="CH227" s="3">
        <f t="shared" si="148"/>
        <v>0</v>
      </c>
      <c r="CI227" s="3">
        <f t="shared" si="149"/>
        <v>0</v>
      </c>
      <c r="CJ227" s="3">
        <f t="shared" si="150"/>
        <v>0</v>
      </c>
      <c r="CK227" s="3">
        <f t="shared" si="151"/>
        <v>0</v>
      </c>
      <c r="CL227" s="3">
        <f t="shared" si="152"/>
        <v>0</v>
      </c>
      <c r="CM227" s="32"/>
      <c r="CN227" s="3">
        <f t="shared" si="153"/>
        <v>0</v>
      </c>
      <c r="CO227" s="3">
        <f t="shared" si="154"/>
        <v>0</v>
      </c>
      <c r="CP227" s="3">
        <f t="shared" si="155"/>
        <v>0</v>
      </c>
      <c r="CQ227" s="3">
        <f t="shared" si="156"/>
        <v>0</v>
      </c>
      <c r="CR227" s="3">
        <f t="shared" si="157"/>
        <v>0</v>
      </c>
      <c r="CS227" s="31"/>
      <c r="CT227" s="3" cm="1">
        <f t="array" ref="CT227">SUMPRODUCT(--(MOD(CH227:CL227,2)=1))</f>
        <v>0</v>
      </c>
      <c r="CU227" s="3">
        <f t="shared" si="158"/>
        <v>5</v>
      </c>
      <c r="CV227" s="30"/>
      <c r="CW227" s="3" cm="1">
        <f t="array" ref="CW227">SUMPRODUCT(--(MOD(CH227:CL227,10)&gt;=1), --(MOD(CH227:CL227,10)&lt;=5))</f>
        <v>0</v>
      </c>
      <c r="CX227" s="3">
        <f t="shared" si="159"/>
        <v>5</v>
      </c>
      <c r="CY227" s="30"/>
      <c r="CZ227" s="3" cm="1">
        <f t="array" ref="CZ227">IFERROR(COUNT(_xlfn._xlws.FILTER(CH227:CL227, ISNUMBER(MATCH(CH227:CL227, {2,3,5,7,11,13,17,19,23,29,31,37,41,43}, 0)))), 0)</f>
        <v>0</v>
      </c>
      <c r="DA227" s="3" cm="1">
        <f t="array" ref="DA227">IFERROR(COUNT(_xlfn._xlws.FILTER(CH227:CL227, ISNUMBER(MATCH(CH227:CL227, {1,4,8,10,14,16,20,22,25,26,28,32,34,35,38,40,44}, 0)))), 0)</f>
        <v>0</v>
      </c>
      <c r="DB227" s="3" cm="1">
        <f t="array" ref="DB227">IFERROR(COUNT(_xlfn._xlws.FILTER(CH227:CL227, ISNUMBER(MATCH(CH227:CL227, {6,9,12,15,18,21,24,27,30,33,36,39,42,45}, 0)))), 0)</f>
        <v>0</v>
      </c>
      <c r="DC227" s="29"/>
      <c r="DD227" s="28" t="e">
        <f>#REF!</f>
        <v>#REF!</v>
      </c>
      <c r="DE227" s="28" t="e">
        <f>#REF!*2</f>
        <v>#REF!</v>
      </c>
      <c r="DF227" s="28" t="e">
        <f>#REF!</f>
        <v>#REF!</v>
      </c>
      <c r="DG227" s="28" t="e">
        <f>#REF!*2</f>
        <v>#REF!</v>
      </c>
      <c r="DH227" s="28" t="e">
        <f>#REF!</f>
        <v>#REF!</v>
      </c>
      <c r="DI227" s="28" t="e">
        <f>#REF!*2</f>
        <v>#REF!</v>
      </c>
      <c r="DJ227" s="28" t="e">
        <f>#REF!</f>
        <v>#REF!</v>
      </c>
      <c r="DK227" s="28" t="e">
        <f>#REF!*2</f>
        <v>#REF!</v>
      </c>
      <c r="DL227" s="28" t="e">
        <f>#REF!</f>
        <v>#REF!</v>
      </c>
      <c r="DM227" s="28" t="e">
        <f>#REF!*2</f>
        <v>#REF!</v>
      </c>
      <c r="DN227" s="27"/>
      <c r="DO227" s="26"/>
      <c r="DP227" s="26"/>
      <c r="DQ227" s="26"/>
      <c r="DR227" s="26"/>
      <c r="DS227" s="26"/>
      <c r="DT227" s="25"/>
    </row>
    <row r="228" spans="2:124" x14ac:dyDescent="0.3"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2"/>
      <c r="I228" s="3">
        <f t="shared" si="120"/>
        <v>0</v>
      </c>
      <c r="J228" s="3">
        <f t="shared" si="121"/>
        <v>0</v>
      </c>
      <c r="K228" s="3">
        <f t="shared" si="122"/>
        <v>0</v>
      </c>
      <c r="L228" s="3">
        <f t="shared" si="123"/>
        <v>0</v>
      </c>
      <c r="M228" s="3">
        <f t="shared" si="124"/>
        <v>0</v>
      </c>
      <c r="N228" s="3">
        <f t="shared" si="125"/>
        <v>0</v>
      </c>
      <c r="O228" s="32"/>
      <c r="P228" s="3" cm="1">
        <f t="array" ref="P228">SUMPRODUCT(--(MOD(B228:G228,2)=1))</f>
        <v>0</v>
      </c>
      <c r="Q228" s="3">
        <f t="shared" si="126"/>
        <v>6</v>
      </c>
      <c r="R228" s="34"/>
      <c r="S228" s="3">
        <f t="shared" si="127"/>
        <v>0</v>
      </c>
      <c r="T228" s="3">
        <f t="shared" si="128"/>
        <v>6</v>
      </c>
      <c r="U228" s="34"/>
      <c r="V228" s="3" cm="1">
        <f t="array" ref="V228">SUMPRODUCT(--(MOD(B228:G228,10)&gt;=1), --(MOD(B228:G228,10)&lt;=5))</f>
        <v>0</v>
      </c>
      <c r="W228" s="3">
        <f t="shared" si="129"/>
        <v>6</v>
      </c>
      <c r="X228" s="34"/>
      <c r="Y228" s="3" cm="1">
        <f t="array" ref="Y228">IFERROR(COUNT(_xlfn._xlws.FILTER(B228:G228, ISNUMBER(MATCH(B228:G228, {2,3,5,7,11,13,17,19,23,29,31,37,41,43}, 0)))), 0)</f>
        <v>0</v>
      </c>
      <c r="Z228" s="3" cm="1">
        <f t="array" ref="Z228">IFERROR(COUNT(_xlfn._xlws.FILTER(B228:G228, ISNUMBER(MATCH(B228:G228, {1,4,8,10,14,16,20,22,25,26,28,32,34,35,38,40,44}, 0)))), 0)</f>
        <v>0</v>
      </c>
      <c r="AA228" s="3" cm="1">
        <f t="array" ref="AA228">IFERROR(COUNT(_xlfn._xlws.FILTER(B228:G228, ISNUMBER(MATCH(B228:G228, {6,9,12,15,18,21,24,27,30,33,36,39,42,45}, 0)))), 0)</f>
        <v>0</v>
      </c>
      <c r="AB228" s="30"/>
      <c r="AC228" s="26" cm="1">
        <f t="array" ref="AC228">_xlfn.IFS(
   OR(B228="",ISBLANK(B228),B228=0),0,
   ISNUMBER(MATCH(B228,{2,3,5,7,11,13,17,19,23,29,31,37,41,43},0)),"소",
   AND(ISNUMBER(B228),MOD(B228,3)=0),"배",
   AND(ISNUMBER(B228),B228&gt;0),"자"
)</f>
        <v>0</v>
      </c>
      <c r="AD228" s="26" cm="1">
        <f t="array" ref="AD228">_xlfn.IFS(
   OR(C228="",ISBLANK(C228),C228=0),0,
   ISNUMBER(MATCH(C228,{2,3,5,7,11,13,17,19,23,29,31,37,41,43},0)),"소",
   AND(ISNUMBER(C228),MOD(C228,3)=0),"배",
   AND(ISNUMBER(C228),C228&gt;0),"자"
)</f>
        <v>0</v>
      </c>
      <c r="AE228" s="26" cm="1">
        <f t="array" ref="AE228">_xlfn.IFS(
   OR(D228="",ISBLANK(D228),D228=0),0,
   ISNUMBER(MATCH(D228,{2,3,5,7,11,13,17,19,23,29,31,37,41,43},0)),"소",
   AND(ISNUMBER(D228),MOD(D228,3)=0),"배",
   AND(ISNUMBER(D228),D228&gt;0),"자"
)</f>
        <v>0</v>
      </c>
      <c r="AF228" s="26" cm="1">
        <f t="array" ref="AF228">_xlfn.IFS(
   OR(E228="",ISBLANK(E228),E228=0),0,
   ISNUMBER(MATCH(E228,{2,3,5,7,11,13,17,19,23,29,31,37,41,43},0)),"소",
   AND(ISNUMBER(E228),MOD(E228,3)=0),"배",
   AND(ISNUMBER(E228),E228&gt;0),"자"
)</f>
        <v>0</v>
      </c>
      <c r="AG228" s="26" cm="1">
        <f t="array" ref="AG228">_xlfn.IFS(
   OR(F228="",ISBLANK(F228),F228=0),0,
   ISNUMBER(MATCH(F228,{2,3,5,7,11,13,17,19,23,29,31,37,41,43},0)),"소",
   AND(ISNUMBER(F228),MOD(F228,3)=0),"배",
   AND(ISNUMBER(F228),F228&gt;0),"자"
)</f>
        <v>0</v>
      </c>
      <c r="AH228" s="26" cm="1">
        <f t="array" ref="AH228">_xlfn.IFS(
   OR(G228="",ISBLANK(G228),G228=0),0,
   ISNUMBER(MATCH(G228,{2,3,5,7,11,13,17,19,23,29,31,37,41,43},0)),"소",
   AND(ISNUMBER(G228),MOD(G228,3)=0),"배",
   AND(ISNUMBER(G228),G228&gt;0),"자"
)</f>
        <v>0</v>
      </c>
      <c r="AI228" s="30"/>
      <c r="AJ228" s="3">
        <f t="shared" si="130"/>
        <v>0</v>
      </c>
      <c r="AK228" s="3">
        <f t="shared" si="131"/>
        <v>0</v>
      </c>
      <c r="AL228" s="3">
        <f t="shared" si="132"/>
        <v>6</v>
      </c>
      <c r="AM228" s="33"/>
      <c r="AN228" s="3">
        <f t="shared" si="133"/>
        <v>0</v>
      </c>
      <c r="AO228" s="3">
        <f t="shared" si="134"/>
        <v>0</v>
      </c>
      <c r="AP228" s="3">
        <f t="shared" si="135"/>
        <v>0</v>
      </c>
      <c r="AQ228" s="3">
        <f t="shared" si="136"/>
        <v>0</v>
      </c>
      <c r="AR228" s="3">
        <f t="shared" si="137"/>
        <v>0</v>
      </c>
      <c r="AS228" s="28" t="e">
        <f>#REF!</f>
        <v>#REF!</v>
      </c>
      <c r="AT228" s="28" t="e">
        <f>#REF!*2</f>
        <v>#REF!</v>
      </c>
      <c r="AU228" s="28" t="e">
        <f>#REF!</f>
        <v>#REF!</v>
      </c>
      <c r="AV228" s="28" t="e">
        <f>#REF!*2</f>
        <v>#REF!</v>
      </c>
      <c r="AW228" s="28" t="e">
        <f>#REF!</f>
        <v>#REF!</v>
      </c>
      <c r="AX228" s="28" t="e">
        <f>#REF!*2</f>
        <v>#REF!</v>
      </c>
      <c r="AY228" s="28" t="e">
        <f>#REF!</f>
        <v>#REF!</v>
      </c>
      <c r="AZ228" s="28" t="e">
        <f>#REF!*2</f>
        <v>#REF!</v>
      </c>
      <c r="BA228" s="28" t="e">
        <f>#REF!</f>
        <v>#REF!</v>
      </c>
      <c r="BB228" s="28" t="e">
        <f>#REF!*2</f>
        <v>#REF!</v>
      </c>
      <c r="BC228" s="28" t="e">
        <f>#REF!</f>
        <v>#REF!</v>
      </c>
      <c r="BD228" s="28" t="e">
        <f>#REF!*2</f>
        <v>#REF!</v>
      </c>
      <c r="BE228" s="9" t="e">
        <f>#REF!-#REF!</f>
        <v>#REF!</v>
      </c>
      <c r="BF228" s="9" t="e">
        <f>#REF!-#REF!</f>
        <v>#REF!</v>
      </c>
      <c r="BG228" s="9" t="e">
        <f>#REF!-#REF!</f>
        <v>#REF!</v>
      </c>
      <c r="BH228" s="9" t="e">
        <f>#REF!-#REF!</f>
        <v>#REF!</v>
      </c>
      <c r="BI228" s="9" t="e">
        <f>#REF!-#REF!</f>
        <v>#REF!</v>
      </c>
      <c r="BJ228" s="33"/>
      <c r="BK228" s="3">
        <f t="shared" si="138"/>
        <v>0</v>
      </c>
      <c r="BL228" s="3">
        <f t="shared" si="139"/>
        <v>0</v>
      </c>
      <c r="BM228" s="3">
        <f t="shared" si="140"/>
        <v>0</v>
      </c>
      <c r="BN228" s="3">
        <f t="shared" si="141"/>
        <v>0</v>
      </c>
      <c r="BO228" s="3">
        <f t="shared" si="142"/>
        <v>0</v>
      </c>
      <c r="BP228" s="28" t="e">
        <f>#REF!</f>
        <v>#REF!</v>
      </c>
      <c r="BQ228" s="28" t="e">
        <f>#REF!*2</f>
        <v>#REF!</v>
      </c>
      <c r="BR228" s="28" t="e">
        <f>#REF!</f>
        <v>#REF!</v>
      </c>
      <c r="BS228" s="28" t="e">
        <f>#REF!*2</f>
        <v>#REF!</v>
      </c>
      <c r="BT228" s="28" t="e">
        <f>#REF!</f>
        <v>#REF!</v>
      </c>
      <c r="BU228" s="28" t="e">
        <f>#REF!*2</f>
        <v>#REF!</v>
      </c>
      <c r="BV228" s="28" t="e">
        <f>#REF!</f>
        <v>#REF!</v>
      </c>
      <c r="BW228" s="28" t="e">
        <f>#REF!*2</f>
        <v>#REF!</v>
      </c>
      <c r="BX228" s="28" t="e">
        <f>#REF!</f>
        <v>#REF!</v>
      </c>
      <c r="BY228" s="28" t="e">
        <f>#REF!*2</f>
        <v>#REF!</v>
      </c>
      <c r="BZ228" s="28" t="e">
        <f>#REF!</f>
        <v>#REF!</v>
      </c>
      <c r="CA228" s="28" t="e">
        <f>#REF!*2</f>
        <v>#REF!</v>
      </c>
      <c r="CB228" s="9">
        <f t="shared" si="143"/>
        <v>0</v>
      </c>
      <c r="CC228" s="9">
        <f t="shared" si="144"/>
        <v>0</v>
      </c>
      <c r="CD228" s="9">
        <f t="shared" si="145"/>
        <v>0</v>
      </c>
      <c r="CE228" s="9">
        <f t="shared" si="146"/>
        <v>0</v>
      </c>
      <c r="CF228" s="9">
        <f t="shared" si="147"/>
        <v>0</v>
      </c>
      <c r="CG228" s="33"/>
      <c r="CH228" s="3">
        <f t="shared" si="148"/>
        <v>0</v>
      </c>
      <c r="CI228" s="3">
        <f t="shared" si="149"/>
        <v>0</v>
      </c>
      <c r="CJ228" s="3">
        <f t="shared" si="150"/>
        <v>0</v>
      </c>
      <c r="CK228" s="3">
        <f t="shared" si="151"/>
        <v>0</v>
      </c>
      <c r="CL228" s="3">
        <f t="shared" si="152"/>
        <v>0</v>
      </c>
      <c r="CM228" s="32"/>
      <c r="CN228" s="3">
        <f t="shared" si="153"/>
        <v>0</v>
      </c>
      <c r="CO228" s="3">
        <f t="shared" si="154"/>
        <v>0</v>
      </c>
      <c r="CP228" s="3">
        <f t="shared" si="155"/>
        <v>0</v>
      </c>
      <c r="CQ228" s="3">
        <f t="shared" si="156"/>
        <v>0</v>
      </c>
      <c r="CR228" s="3">
        <f t="shared" si="157"/>
        <v>0</v>
      </c>
      <c r="CS228" s="31"/>
      <c r="CT228" s="3" cm="1">
        <f t="array" ref="CT228">SUMPRODUCT(--(MOD(CH228:CL228,2)=1))</f>
        <v>0</v>
      </c>
      <c r="CU228" s="3">
        <f t="shared" si="158"/>
        <v>5</v>
      </c>
      <c r="CV228" s="30"/>
      <c r="CW228" s="3" cm="1">
        <f t="array" ref="CW228">SUMPRODUCT(--(MOD(CH228:CL228,10)&gt;=1), --(MOD(CH228:CL228,10)&lt;=5))</f>
        <v>0</v>
      </c>
      <c r="CX228" s="3">
        <f t="shared" si="159"/>
        <v>5</v>
      </c>
      <c r="CY228" s="30"/>
      <c r="CZ228" s="3" cm="1">
        <f t="array" ref="CZ228">IFERROR(COUNT(_xlfn._xlws.FILTER(CH228:CL228, ISNUMBER(MATCH(CH228:CL228, {2,3,5,7,11,13,17,19,23,29,31,37,41,43}, 0)))), 0)</f>
        <v>0</v>
      </c>
      <c r="DA228" s="3" cm="1">
        <f t="array" ref="DA228">IFERROR(COUNT(_xlfn._xlws.FILTER(CH228:CL228, ISNUMBER(MATCH(CH228:CL228, {1,4,8,10,14,16,20,22,25,26,28,32,34,35,38,40,44}, 0)))), 0)</f>
        <v>0</v>
      </c>
      <c r="DB228" s="3" cm="1">
        <f t="array" ref="DB228">IFERROR(COUNT(_xlfn._xlws.FILTER(CH228:CL228, ISNUMBER(MATCH(CH228:CL228, {6,9,12,15,18,21,24,27,30,33,36,39,42,45}, 0)))), 0)</f>
        <v>0</v>
      </c>
      <c r="DC228" s="29"/>
      <c r="DD228" s="28" t="e">
        <f>#REF!</f>
        <v>#REF!</v>
      </c>
      <c r="DE228" s="28" t="e">
        <f>#REF!*2</f>
        <v>#REF!</v>
      </c>
      <c r="DF228" s="28" t="e">
        <f>#REF!</f>
        <v>#REF!</v>
      </c>
      <c r="DG228" s="28" t="e">
        <f>#REF!*2</f>
        <v>#REF!</v>
      </c>
      <c r="DH228" s="28" t="e">
        <f>#REF!</f>
        <v>#REF!</v>
      </c>
      <c r="DI228" s="28" t="e">
        <f>#REF!*2</f>
        <v>#REF!</v>
      </c>
      <c r="DJ228" s="28" t="e">
        <f>#REF!</f>
        <v>#REF!</v>
      </c>
      <c r="DK228" s="28" t="e">
        <f>#REF!*2</f>
        <v>#REF!</v>
      </c>
      <c r="DL228" s="28" t="e">
        <f>#REF!</f>
        <v>#REF!</v>
      </c>
      <c r="DM228" s="28" t="e">
        <f>#REF!*2</f>
        <v>#REF!</v>
      </c>
      <c r="DN228" s="27"/>
      <c r="DO228" s="26"/>
      <c r="DP228" s="26"/>
      <c r="DQ228" s="26"/>
      <c r="DR228" s="26"/>
      <c r="DS228" s="26"/>
      <c r="DT228" s="25"/>
    </row>
    <row r="229" spans="2:124" x14ac:dyDescent="0.3"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2"/>
      <c r="I229" s="3">
        <f t="shared" si="120"/>
        <v>0</v>
      </c>
      <c r="J229" s="3">
        <f t="shared" si="121"/>
        <v>0</v>
      </c>
      <c r="K229" s="3">
        <f t="shared" si="122"/>
        <v>0</v>
      </c>
      <c r="L229" s="3">
        <f t="shared" si="123"/>
        <v>0</v>
      </c>
      <c r="M229" s="3">
        <f t="shared" si="124"/>
        <v>0</v>
      </c>
      <c r="N229" s="3">
        <f t="shared" si="125"/>
        <v>0</v>
      </c>
      <c r="O229" s="32"/>
      <c r="P229" s="3" cm="1">
        <f t="array" ref="P229">SUMPRODUCT(--(MOD(B229:G229,2)=1))</f>
        <v>0</v>
      </c>
      <c r="Q229" s="3">
        <f t="shared" si="126"/>
        <v>6</v>
      </c>
      <c r="R229" s="34"/>
      <c r="S229" s="3">
        <f t="shared" si="127"/>
        <v>0</v>
      </c>
      <c r="T229" s="3">
        <f t="shared" si="128"/>
        <v>6</v>
      </c>
      <c r="U229" s="34"/>
      <c r="V229" s="3" cm="1">
        <f t="array" ref="V229">SUMPRODUCT(--(MOD(B229:G229,10)&gt;=1), --(MOD(B229:G229,10)&lt;=5))</f>
        <v>0</v>
      </c>
      <c r="W229" s="3">
        <f t="shared" si="129"/>
        <v>6</v>
      </c>
      <c r="X229" s="34"/>
      <c r="Y229" s="3" cm="1">
        <f t="array" ref="Y229">IFERROR(COUNT(_xlfn._xlws.FILTER(B229:G229, ISNUMBER(MATCH(B229:G229, {2,3,5,7,11,13,17,19,23,29,31,37,41,43}, 0)))), 0)</f>
        <v>0</v>
      </c>
      <c r="Z229" s="3" cm="1">
        <f t="array" ref="Z229">IFERROR(COUNT(_xlfn._xlws.FILTER(B229:G229, ISNUMBER(MATCH(B229:G229, {1,4,8,10,14,16,20,22,25,26,28,32,34,35,38,40,44}, 0)))), 0)</f>
        <v>0</v>
      </c>
      <c r="AA229" s="3" cm="1">
        <f t="array" ref="AA229">IFERROR(COUNT(_xlfn._xlws.FILTER(B229:G229, ISNUMBER(MATCH(B229:G229, {6,9,12,15,18,21,24,27,30,33,36,39,42,45}, 0)))), 0)</f>
        <v>0</v>
      </c>
      <c r="AB229" s="30"/>
      <c r="AC229" s="26" cm="1">
        <f t="array" ref="AC229">_xlfn.IFS(
   OR(B229="",ISBLANK(B229),B229=0),0,
   ISNUMBER(MATCH(B229,{2,3,5,7,11,13,17,19,23,29,31,37,41,43},0)),"소",
   AND(ISNUMBER(B229),MOD(B229,3)=0),"배",
   AND(ISNUMBER(B229),B229&gt;0),"자"
)</f>
        <v>0</v>
      </c>
      <c r="AD229" s="26" cm="1">
        <f t="array" ref="AD229">_xlfn.IFS(
   OR(C229="",ISBLANK(C229),C229=0),0,
   ISNUMBER(MATCH(C229,{2,3,5,7,11,13,17,19,23,29,31,37,41,43},0)),"소",
   AND(ISNUMBER(C229),MOD(C229,3)=0),"배",
   AND(ISNUMBER(C229),C229&gt;0),"자"
)</f>
        <v>0</v>
      </c>
      <c r="AE229" s="26" cm="1">
        <f t="array" ref="AE229">_xlfn.IFS(
   OR(D229="",ISBLANK(D229),D229=0),0,
   ISNUMBER(MATCH(D229,{2,3,5,7,11,13,17,19,23,29,31,37,41,43},0)),"소",
   AND(ISNUMBER(D229),MOD(D229,3)=0),"배",
   AND(ISNUMBER(D229),D229&gt;0),"자"
)</f>
        <v>0</v>
      </c>
      <c r="AF229" s="26" cm="1">
        <f t="array" ref="AF229">_xlfn.IFS(
   OR(E229="",ISBLANK(E229),E229=0),0,
   ISNUMBER(MATCH(E229,{2,3,5,7,11,13,17,19,23,29,31,37,41,43},0)),"소",
   AND(ISNUMBER(E229),MOD(E229,3)=0),"배",
   AND(ISNUMBER(E229),E229&gt;0),"자"
)</f>
        <v>0</v>
      </c>
      <c r="AG229" s="26" cm="1">
        <f t="array" ref="AG229">_xlfn.IFS(
   OR(F229="",ISBLANK(F229),F229=0),0,
   ISNUMBER(MATCH(F229,{2,3,5,7,11,13,17,19,23,29,31,37,41,43},0)),"소",
   AND(ISNUMBER(F229),MOD(F229,3)=0),"배",
   AND(ISNUMBER(F229),F229&gt;0),"자"
)</f>
        <v>0</v>
      </c>
      <c r="AH229" s="26" cm="1">
        <f t="array" ref="AH229">_xlfn.IFS(
   OR(G229="",ISBLANK(G229),G229=0),0,
   ISNUMBER(MATCH(G229,{2,3,5,7,11,13,17,19,23,29,31,37,41,43},0)),"소",
   AND(ISNUMBER(G229),MOD(G229,3)=0),"배",
   AND(ISNUMBER(G229),G229&gt;0),"자"
)</f>
        <v>0</v>
      </c>
      <c r="AI229" s="30"/>
      <c r="AJ229" s="3">
        <f t="shared" si="130"/>
        <v>0</v>
      </c>
      <c r="AK229" s="3">
        <f t="shared" si="131"/>
        <v>0</v>
      </c>
      <c r="AL229" s="3">
        <f t="shared" si="132"/>
        <v>6</v>
      </c>
      <c r="AM229" s="33"/>
      <c r="AN229" s="3">
        <f t="shared" si="133"/>
        <v>0</v>
      </c>
      <c r="AO229" s="3">
        <f t="shared" si="134"/>
        <v>0</v>
      </c>
      <c r="AP229" s="3">
        <f t="shared" si="135"/>
        <v>0</v>
      </c>
      <c r="AQ229" s="3">
        <f t="shared" si="136"/>
        <v>0</v>
      </c>
      <c r="AR229" s="3">
        <f t="shared" si="137"/>
        <v>0</v>
      </c>
      <c r="AS229" s="28" t="e">
        <f>#REF!</f>
        <v>#REF!</v>
      </c>
      <c r="AT229" s="28" t="e">
        <f>#REF!*2</f>
        <v>#REF!</v>
      </c>
      <c r="AU229" s="28" t="e">
        <f>#REF!</f>
        <v>#REF!</v>
      </c>
      <c r="AV229" s="28" t="e">
        <f>#REF!*2</f>
        <v>#REF!</v>
      </c>
      <c r="AW229" s="28" t="e">
        <f>#REF!</f>
        <v>#REF!</v>
      </c>
      <c r="AX229" s="28" t="e">
        <f>#REF!*2</f>
        <v>#REF!</v>
      </c>
      <c r="AY229" s="28" t="e">
        <f>#REF!</f>
        <v>#REF!</v>
      </c>
      <c r="AZ229" s="28" t="e">
        <f>#REF!*2</f>
        <v>#REF!</v>
      </c>
      <c r="BA229" s="28" t="e">
        <f>#REF!</f>
        <v>#REF!</v>
      </c>
      <c r="BB229" s="28" t="e">
        <f>#REF!*2</f>
        <v>#REF!</v>
      </c>
      <c r="BC229" s="28" t="e">
        <f>#REF!</f>
        <v>#REF!</v>
      </c>
      <c r="BD229" s="28" t="e">
        <f>#REF!*2</f>
        <v>#REF!</v>
      </c>
      <c r="BE229" s="9" t="e">
        <f>#REF!-#REF!</f>
        <v>#REF!</v>
      </c>
      <c r="BF229" s="9" t="e">
        <f>#REF!-#REF!</f>
        <v>#REF!</v>
      </c>
      <c r="BG229" s="9" t="e">
        <f>#REF!-#REF!</f>
        <v>#REF!</v>
      </c>
      <c r="BH229" s="9" t="e">
        <f>#REF!-#REF!</f>
        <v>#REF!</v>
      </c>
      <c r="BI229" s="9" t="e">
        <f>#REF!-#REF!</f>
        <v>#REF!</v>
      </c>
      <c r="BJ229" s="33"/>
      <c r="BK229" s="3">
        <f t="shared" si="138"/>
        <v>0</v>
      </c>
      <c r="BL229" s="3">
        <f t="shared" si="139"/>
        <v>0</v>
      </c>
      <c r="BM229" s="3">
        <f t="shared" si="140"/>
        <v>0</v>
      </c>
      <c r="BN229" s="3">
        <f t="shared" si="141"/>
        <v>0</v>
      </c>
      <c r="BO229" s="3">
        <f t="shared" si="142"/>
        <v>0</v>
      </c>
      <c r="BP229" s="28" t="e">
        <f>#REF!</f>
        <v>#REF!</v>
      </c>
      <c r="BQ229" s="28" t="e">
        <f>#REF!*2</f>
        <v>#REF!</v>
      </c>
      <c r="BR229" s="28" t="e">
        <f>#REF!</f>
        <v>#REF!</v>
      </c>
      <c r="BS229" s="28" t="e">
        <f>#REF!*2</f>
        <v>#REF!</v>
      </c>
      <c r="BT229" s="28" t="e">
        <f>#REF!</f>
        <v>#REF!</v>
      </c>
      <c r="BU229" s="28" t="e">
        <f>#REF!*2</f>
        <v>#REF!</v>
      </c>
      <c r="BV229" s="28" t="e">
        <f>#REF!</f>
        <v>#REF!</v>
      </c>
      <c r="BW229" s="28" t="e">
        <f>#REF!*2</f>
        <v>#REF!</v>
      </c>
      <c r="BX229" s="28" t="e">
        <f>#REF!</f>
        <v>#REF!</v>
      </c>
      <c r="BY229" s="28" t="e">
        <f>#REF!*2</f>
        <v>#REF!</v>
      </c>
      <c r="BZ229" s="28" t="e">
        <f>#REF!</f>
        <v>#REF!</v>
      </c>
      <c r="CA229" s="28" t="e">
        <f>#REF!*2</f>
        <v>#REF!</v>
      </c>
      <c r="CB229" s="9">
        <f t="shared" si="143"/>
        <v>0</v>
      </c>
      <c r="CC229" s="9">
        <f t="shared" si="144"/>
        <v>0</v>
      </c>
      <c r="CD229" s="9">
        <f t="shared" si="145"/>
        <v>0</v>
      </c>
      <c r="CE229" s="9">
        <f t="shared" si="146"/>
        <v>0</v>
      </c>
      <c r="CF229" s="9">
        <f t="shared" si="147"/>
        <v>0</v>
      </c>
      <c r="CG229" s="33"/>
      <c r="CH229" s="3">
        <f t="shared" si="148"/>
        <v>0</v>
      </c>
      <c r="CI229" s="3">
        <f t="shared" si="149"/>
        <v>0</v>
      </c>
      <c r="CJ229" s="3">
        <f t="shared" si="150"/>
        <v>0</v>
      </c>
      <c r="CK229" s="3">
        <f t="shared" si="151"/>
        <v>0</v>
      </c>
      <c r="CL229" s="3">
        <f t="shared" si="152"/>
        <v>0</v>
      </c>
      <c r="CM229" s="32"/>
      <c r="CN229" s="3">
        <f t="shared" si="153"/>
        <v>0</v>
      </c>
      <c r="CO229" s="3">
        <f t="shared" si="154"/>
        <v>0</v>
      </c>
      <c r="CP229" s="3">
        <f t="shared" si="155"/>
        <v>0</v>
      </c>
      <c r="CQ229" s="3">
        <f t="shared" si="156"/>
        <v>0</v>
      </c>
      <c r="CR229" s="3">
        <f t="shared" si="157"/>
        <v>0</v>
      </c>
      <c r="CS229" s="31"/>
      <c r="CT229" s="3" cm="1">
        <f t="array" ref="CT229">SUMPRODUCT(--(MOD(CH229:CL229,2)=1))</f>
        <v>0</v>
      </c>
      <c r="CU229" s="3">
        <f t="shared" si="158"/>
        <v>5</v>
      </c>
      <c r="CV229" s="30"/>
      <c r="CW229" s="3" cm="1">
        <f t="array" ref="CW229">SUMPRODUCT(--(MOD(CH229:CL229,10)&gt;=1), --(MOD(CH229:CL229,10)&lt;=5))</f>
        <v>0</v>
      </c>
      <c r="CX229" s="3">
        <f t="shared" si="159"/>
        <v>5</v>
      </c>
      <c r="CY229" s="30"/>
      <c r="CZ229" s="3" cm="1">
        <f t="array" ref="CZ229">IFERROR(COUNT(_xlfn._xlws.FILTER(CH229:CL229, ISNUMBER(MATCH(CH229:CL229, {2,3,5,7,11,13,17,19,23,29,31,37,41,43}, 0)))), 0)</f>
        <v>0</v>
      </c>
      <c r="DA229" s="3" cm="1">
        <f t="array" ref="DA229">IFERROR(COUNT(_xlfn._xlws.FILTER(CH229:CL229, ISNUMBER(MATCH(CH229:CL229, {1,4,8,10,14,16,20,22,25,26,28,32,34,35,38,40,44}, 0)))), 0)</f>
        <v>0</v>
      </c>
      <c r="DB229" s="3" cm="1">
        <f t="array" ref="DB229">IFERROR(COUNT(_xlfn._xlws.FILTER(CH229:CL229, ISNUMBER(MATCH(CH229:CL229, {6,9,12,15,18,21,24,27,30,33,36,39,42,45}, 0)))), 0)</f>
        <v>0</v>
      </c>
      <c r="DC229" s="29"/>
      <c r="DD229" s="28" t="e">
        <f>#REF!</f>
        <v>#REF!</v>
      </c>
      <c r="DE229" s="28" t="e">
        <f>#REF!*2</f>
        <v>#REF!</v>
      </c>
      <c r="DF229" s="28" t="e">
        <f>#REF!</f>
        <v>#REF!</v>
      </c>
      <c r="DG229" s="28" t="e">
        <f>#REF!*2</f>
        <v>#REF!</v>
      </c>
      <c r="DH229" s="28" t="e">
        <f>#REF!</f>
        <v>#REF!</v>
      </c>
      <c r="DI229" s="28" t="e">
        <f>#REF!*2</f>
        <v>#REF!</v>
      </c>
      <c r="DJ229" s="28" t="e">
        <f>#REF!</f>
        <v>#REF!</v>
      </c>
      <c r="DK229" s="28" t="e">
        <f>#REF!*2</f>
        <v>#REF!</v>
      </c>
      <c r="DL229" s="28" t="e">
        <f>#REF!</f>
        <v>#REF!</v>
      </c>
      <c r="DM229" s="28" t="e">
        <f>#REF!*2</f>
        <v>#REF!</v>
      </c>
      <c r="DN229" s="27"/>
      <c r="DO229" s="26"/>
      <c r="DP229" s="26"/>
      <c r="DQ229" s="26"/>
      <c r="DR229" s="26"/>
      <c r="DS229" s="26"/>
      <c r="DT229" s="25"/>
    </row>
    <row r="230" spans="2:124" x14ac:dyDescent="0.3"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2"/>
      <c r="I230" s="3">
        <f t="shared" si="120"/>
        <v>0</v>
      </c>
      <c r="J230" s="3">
        <f t="shared" si="121"/>
        <v>0</v>
      </c>
      <c r="K230" s="3">
        <f t="shared" si="122"/>
        <v>0</v>
      </c>
      <c r="L230" s="3">
        <f t="shared" si="123"/>
        <v>0</v>
      </c>
      <c r="M230" s="3">
        <f t="shared" si="124"/>
        <v>0</v>
      </c>
      <c r="N230" s="3">
        <f t="shared" si="125"/>
        <v>0</v>
      </c>
      <c r="O230" s="32"/>
      <c r="P230" s="3" cm="1">
        <f t="array" ref="P230">SUMPRODUCT(--(MOD(B230:G230,2)=1))</f>
        <v>0</v>
      </c>
      <c r="Q230" s="3">
        <f t="shared" si="126"/>
        <v>6</v>
      </c>
      <c r="R230" s="34"/>
      <c r="S230" s="3">
        <f t="shared" si="127"/>
        <v>0</v>
      </c>
      <c r="T230" s="3">
        <f t="shared" si="128"/>
        <v>6</v>
      </c>
      <c r="U230" s="34"/>
      <c r="V230" s="3" cm="1">
        <f t="array" ref="V230">SUMPRODUCT(--(MOD(B230:G230,10)&gt;=1), --(MOD(B230:G230,10)&lt;=5))</f>
        <v>0</v>
      </c>
      <c r="W230" s="3">
        <f t="shared" si="129"/>
        <v>6</v>
      </c>
      <c r="X230" s="34"/>
      <c r="Y230" s="3" cm="1">
        <f t="array" ref="Y230">IFERROR(COUNT(_xlfn._xlws.FILTER(B230:G230, ISNUMBER(MATCH(B230:G230, {2,3,5,7,11,13,17,19,23,29,31,37,41,43}, 0)))), 0)</f>
        <v>0</v>
      </c>
      <c r="Z230" s="3" cm="1">
        <f t="array" ref="Z230">IFERROR(COUNT(_xlfn._xlws.FILTER(B230:G230, ISNUMBER(MATCH(B230:G230, {1,4,8,10,14,16,20,22,25,26,28,32,34,35,38,40,44}, 0)))), 0)</f>
        <v>0</v>
      </c>
      <c r="AA230" s="3" cm="1">
        <f t="array" ref="AA230">IFERROR(COUNT(_xlfn._xlws.FILTER(B230:G230, ISNUMBER(MATCH(B230:G230, {6,9,12,15,18,21,24,27,30,33,36,39,42,45}, 0)))), 0)</f>
        <v>0</v>
      </c>
      <c r="AB230" s="30"/>
      <c r="AC230" s="26" cm="1">
        <f t="array" ref="AC230">_xlfn.IFS(
   OR(B230="",ISBLANK(B230),B230=0),0,
   ISNUMBER(MATCH(B230,{2,3,5,7,11,13,17,19,23,29,31,37,41,43},0)),"소",
   AND(ISNUMBER(B230),MOD(B230,3)=0),"배",
   AND(ISNUMBER(B230),B230&gt;0),"자"
)</f>
        <v>0</v>
      </c>
      <c r="AD230" s="26" cm="1">
        <f t="array" ref="AD230">_xlfn.IFS(
   OR(C230="",ISBLANK(C230),C230=0),0,
   ISNUMBER(MATCH(C230,{2,3,5,7,11,13,17,19,23,29,31,37,41,43},0)),"소",
   AND(ISNUMBER(C230),MOD(C230,3)=0),"배",
   AND(ISNUMBER(C230),C230&gt;0),"자"
)</f>
        <v>0</v>
      </c>
      <c r="AE230" s="26" cm="1">
        <f t="array" ref="AE230">_xlfn.IFS(
   OR(D230="",ISBLANK(D230),D230=0),0,
   ISNUMBER(MATCH(D230,{2,3,5,7,11,13,17,19,23,29,31,37,41,43},0)),"소",
   AND(ISNUMBER(D230),MOD(D230,3)=0),"배",
   AND(ISNUMBER(D230),D230&gt;0),"자"
)</f>
        <v>0</v>
      </c>
      <c r="AF230" s="26" cm="1">
        <f t="array" ref="AF230">_xlfn.IFS(
   OR(E230="",ISBLANK(E230),E230=0),0,
   ISNUMBER(MATCH(E230,{2,3,5,7,11,13,17,19,23,29,31,37,41,43},0)),"소",
   AND(ISNUMBER(E230),MOD(E230,3)=0),"배",
   AND(ISNUMBER(E230),E230&gt;0),"자"
)</f>
        <v>0</v>
      </c>
      <c r="AG230" s="26" cm="1">
        <f t="array" ref="AG230">_xlfn.IFS(
   OR(F230="",ISBLANK(F230),F230=0),0,
   ISNUMBER(MATCH(F230,{2,3,5,7,11,13,17,19,23,29,31,37,41,43},0)),"소",
   AND(ISNUMBER(F230),MOD(F230,3)=0),"배",
   AND(ISNUMBER(F230),F230&gt;0),"자"
)</f>
        <v>0</v>
      </c>
      <c r="AH230" s="26" cm="1">
        <f t="array" ref="AH230">_xlfn.IFS(
   OR(G230="",ISBLANK(G230),G230=0),0,
   ISNUMBER(MATCH(G230,{2,3,5,7,11,13,17,19,23,29,31,37,41,43},0)),"소",
   AND(ISNUMBER(G230),MOD(G230,3)=0),"배",
   AND(ISNUMBER(G230),G230&gt;0),"자"
)</f>
        <v>0</v>
      </c>
      <c r="AI230" s="30"/>
      <c r="AJ230" s="3">
        <f t="shared" si="130"/>
        <v>0</v>
      </c>
      <c r="AK230" s="3">
        <f t="shared" si="131"/>
        <v>0</v>
      </c>
      <c r="AL230" s="3">
        <f t="shared" si="132"/>
        <v>6</v>
      </c>
      <c r="AM230" s="33"/>
      <c r="AN230" s="3">
        <f t="shared" si="133"/>
        <v>0</v>
      </c>
      <c r="AO230" s="3">
        <f t="shared" si="134"/>
        <v>0</v>
      </c>
      <c r="AP230" s="3">
        <f t="shared" si="135"/>
        <v>0</v>
      </c>
      <c r="AQ230" s="3">
        <f t="shared" si="136"/>
        <v>0</v>
      </c>
      <c r="AR230" s="3">
        <f t="shared" si="137"/>
        <v>0</v>
      </c>
      <c r="AS230" s="28" t="e">
        <f>#REF!</f>
        <v>#REF!</v>
      </c>
      <c r="AT230" s="28" t="e">
        <f>#REF!*2</f>
        <v>#REF!</v>
      </c>
      <c r="AU230" s="28" t="e">
        <f>#REF!</f>
        <v>#REF!</v>
      </c>
      <c r="AV230" s="28" t="e">
        <f>#REF!*2</f>
        <v>#REF!</v>
      </c>
      <c r="AW230" s="28" t="e">
        <f>#REF!</f>
        <v>#REF!</v>
      </c>
      <c r="AX230" s="28" t="e">
        <f>#REF!*2</f>
        <v>#REF!</v>
      </c>
      <c r="AY230" s="28" t="e">
        <f>#REF!</f>
        <v>#REF!</v>
      </c>
      <c r="AZ230" s="28" t="e">
        <f>#REF!*2</f>
        <v>#REF!</v>
      </c>
      <c r="BA230" s="28" t="e">
        <f>#REF!</f>
        <v>#REF!</v>
      </c>
      <c r="BB230" s="28" t="e">
        <f>#REF!*2</f>
        <v>#REF!</v>
      </c>
      <c r="BC230" s="28" t="e">
        <f>#REF!</f>
        <v>#REF!</v>
      </c>
      <c r="BD230" s="28" t="e">
        <f>#REF!*2</f>
        <v>#REF!</v>
      </c>
      <c r="BE230" s="9" t="e">
        <f>#REF!-#REF!</f>
        <v>#REF!</v>
      </c>
      <c r="BF230" s="9" t="e">
        <f>#REF!-#REF!</f>
        <v>#REF!</v>
      </c>
      <c r="BG230" s="9" t="e">
        <f>#REF!-#REF!</f>
        <v>#REF!</v>
      </c>
      <c r="BH230" s="9" t="e">
        <f>#REF!-#REF!</f>
        <v>#REF!</v>
      </c>
      <c r="BI230" s="9" t="e">
        <f>#REF!-#REF!</f>
        <v>#REF!</v>
      </c>
      <c r="BJ230" s="33"/>
      <c r="BK230" s="3">
        <f t="shared" si="138"/>
        <v>0</v>
      </c>
      <c r="BL230" s="3">
        <f t="shared" si="139"/>
        <v>0</v>
      </c>
      <c r="BM230" s="3">
        <f t="shared" si="140"/>
        <v>0</v>
      </c>
      <c r="BN230" s="3">
        <f t="shared" si="141"/>
        <v>0</v>
      </c>
      <c r="BO230" s="3">
        <f t="shared" si="142"/>
        <v>0</v>
      </c>
      <c r="BP230" s="28" t="e">
        <f>#REF!</f>
        <v>#REF!</v>
      </c>
      <c r="BQ230" s="28" t="e">
        <f>#REF!*2</f>
        <v>#REF!</v>
      </c>
      <c r="BR230" s="28" t="e">
        <f>#REF!</f>
        <v>#REF!</v>
      </c>
      <c r="BS230" s="28" t="e">
        <f>#REF!*2</f>
        <v>#REF!</v>
      </c>
      <c r="BT230" s="28" t="e">
        <f>#REF!</f>
        <v>#REF!</v>
      </c>
      <c r="BU230" s="28" t="e">
        <f>#REF!*2</f>
        <v>#REF!</v>
      </c>
      <c r="BV230" s="28" t="e">
        <f>#REF!</f>
        <v>#REF!</v>
      </c>
      <c r="BW230" s="28" t="e">
        <f>#REF!*2</f>
        <v>#REF!</v>
      </c>
      <c r="BX230" s="28" t="e">
        <f>#REF!</f>
        <v>#REF!</v>
      </c>
      <c r="BY230" s="28" t="e">
        <f>#REF!*2</f>
        <v>#REF!</v>
      </c>
      <c r="BZ230" s="28" t="e">
        <f>#REF!</f>
        <v>#REF!</v>
      </c>
      <c r="CA230" s="28" t="e">
        <f>#REF!*2</f>
        <v>#REF!</v>
      </c>
      <c r="CB230" s="9">
        <f t="shared" si="143"/>
        <v>0</v>
      </c>
      <c r="CC230" s="9">
        <f t="shared" si="144"/>
        <v>0</v>
      </c>
      <c r="CD230" s="9">
        <f t="shared" si="145"/>
        <v>0</v>
      </c>
      <c r="CE230" s="9">
        <f t="shared" si="146"/>
        <v>0</v>
      </c>
      <c r="CF230" s="9">
        <f t="shared" si="147"/>
        <v>0</v>
      </c>
      <c r="CG230" s="33"/>
      <c r="CH230" s="3">
        <f t="shared" si="148"/>
        <v>0</v>
      </c>
      <c r="CI230" s="3">
        <f t="shared" si="149"/>
        <v>0</v>
      </c>
      <c r="CJ230" s="3">
        <f t="shared" si="150"/>
        <v>0</v>
      </c>
      <c r="CK230" s="3">
        <f t="shared" si="151"/>
        <v>0</v>
      </c>
      <c r="CL230" s="3">
        <f t="shared" si="152"/>
        <v>0</v>
      </c>
      <c r="CM230" s="32"/>
      <c r="CN230" s="3">
        <f t="shared" si="153"/>
        <v>0</v>
      </c>
      <c r="CO230" s="3">
        <f t="shared" si="154"/>
        <v>0</v>
      </c>
      <c r="CP230" s="3">
        <f t="shared" si="155"/>
        <v>0</v>
      </c>
      <c r="CQ230" s="3">
        <f t="shared" si="156"/>
        <v>0</v>
      </c>
      <c r="CR230" s="3">
        <f t="shared" si="157"/>
        <v>0</v>
      </c>
      <c r="CS230" s="31"/>
      <c r="CT230" s="3" cm="1">
        <f t="array" ref="CT230">SUMPRODUCT(--(MOD(CH230:CL230,2)=1))</f>
        <v>0</v>
      </c>
      <c r="CU230" s="3">
        <f t="shared" si="158"/>
        <v>5</v>
      </c>
      <c r="CV230" s="30"/>
      <c r="CW230" s="3" cm="1">
        <f t="array" ref="CW230">SUMPRODUCT(--(MOD(CH230:CL230,10)&gt;=1), --(MOD(CH230:CL230,10)&lt;=5))</f>
        <v>0</v>
      </c>
      <c r="CX230" s="3">
        <f t="shared" si="159"/>
        <v>5</v>
      </c>
      <c r="CY230" s="30"/>
      <c r="CZ230" s="3" cm="1">
        <f t="array" ref="CZ230">IFERROR(COUNT(_xlfn._xlws.FILTER(CH230:CL230, ISNUMBER(MATCH(CH230:CL230, {2,3,5,7,11,13,17,19,23,29,31,37,41,43}, 0)))), 0)</f>
        <v>0</v>
      </c>
      <c r="DA230" s="3" cm="1">
        <f t="array" ref="DA230">IFERROR(COUNT(_xlfn._xlws.FILTER(CH230:CL230, ISNUMBER(MATCH(CH230:CL230, {1,4,8,10,14,16,20,22,25,26,28,32,34,35,38,40,44}, 0)))), 0)</f>
        <v>0</v>
      </c>
      <c r="DB230" s="3" cm="1">
        <f t="array" ref="DB230">IFERROR(COUNT(_xlfn._xlws.FILTER(CH230:CL230, ISNUMBER(MATCH(CH230:CL230, {6,9,12,15,18,21,24,27,30,33,36,39,42,45}, 0)))), 0)</f>
        <v>0</v>
      </c>
      <c r="DC230" s="29"/>
      <c r="DD230" s="28" t="e">
        <f>#REF!</f>
        <v>#REF!</v>
      </c>
      <c r="DE230" s="28" t="e">
        <f>#REF!*2</f>
        <v>#REF!</v>
      </c>
      <c r="DF230" s="28" t="e">
        <f>#REF!</f>
        <v>#REF!</v>
      </c>
      <c r="DG230" s="28" t="e">
        <f>#REF!*2</f>
        <v>#REF!</v>
      </c>
      <c r="DH230" s="28" t="e">
        <f>#REF!</f>
        <v>#REF!</v>
      </c>
      <c r="DI230" s="28" t="e">
        <f>#REF!*2</f>
        <v>#REF!</v>
      </c>
      <c r="DJ230" s="28" t="e">
        <f>#REF!</f>
        <v>#REF!</v>
      </c>
      <c r="DK230" s="28" t="e">
        <f>#REF!*2</f>
        <v>#REF!</v>
      </c>
      <c r="DL230" s="28" t="e">
        <f>#REF!</f>
        <v>#REF!</v>
      </c>
      <c r="DM230" s="28" t="e">
        <f>#REF!*2</f>
        <v>#REF!</v>
      </c>
      <c r="DN230" s="27"/>
      <c r="DO230" s="26"/>
      <c r="DP230" s="26"/>
      <c r="DQ230" s="26"/>
      <c r="DR230" s="26"/>
      <c r="DS230" s="26"/>
      <c r="DT230" s="25"/>
    </row>
    <row r="231" spans="2:124" x14ac:dyDescent="0.3"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2"/>
      <c r="I231" s="3">
        <f t="shared" si="120"/>
        <v>0</v>
      </c>
      <c r="J231" s="3">
        <f t="shared" si="121"/>
        <v>0</v>
      </c>
      <c r="K231" s="3">
        <f t="shared" si="122"/>
        <v>0</v>
      </c>
      <c r="L231" s="3">
        <f t="shared" si="123"/>
        <v>0</v>
      </c>
      <c r="M231" s="3">
        <f t="shared" si="124"/>
        <v>0</v>
      </c>
      <c r="N231" s="3">
        <f t="shared" si="125"/>
        <v>0</v>
      </c>
      <c r="O231" s="32"/>
      <c r="P231" s="3" cm="1">
        <f t="array" ref="P231">SUMPRODUCT(--(MOD(B231:G231,2)=1))</f>
        <v>0</v>
      </c>
      <c r="Q231" s="3">
        <f t="shared" si="126"/>
        <v>6</v>
      </c>
      <c r="R231" s="34"/>
      <c r="S231" s="3">
        <f t="shared" si="127"/>
        <v>0</v>
      </c>
      <c r="T231" s="3">
        <f t="shared" si="128"/>
        <v>6</v>
      </c>
      <c r="U231" s="34"/>
      <c r="V231" s="3" cm="1">
        <f t="array" ref="V231">SUMPRODUCT(--(MOD(B231:G231,10)&gt;=1), --(MOD(B231:G231,10)&lt;=5))</f>
        <v>0</v>
      </c>
      <c r="W231" s="3">
        <f t="shared" si="129"/>
        <v>6</v>
      </c>
      <c r="X231" s="34"/>
      <c r="Y231" s="3" cm="1">
        <f t="array" ref="Y231">IFERROR(COUNT(_xlfn._xlws.FILTER(B231:G231, ISNUMBER(MATCH(B231:G231, {2,3,5,7,11,13,17,19,23,29,31,37,41,43}, 0)))), 0)</f>
        <v>0</v>
      </c>
      <c r="Z231" s="3" cm="1">
        <f t="array" ref="Z231">IFERROR(COUNT(_xlfn._xlws.FILTER(B231:G231, ISNUMBER(MATCH(B231:G231, {1,4,8,10,14,16,20,22,25,26,28,32,34,35,38,40,44}, 0)))), 0)</f>
        <v>0</v>
      </c>
      <c r="AA231" s="3" cm="1">
        <f t="array" ref="AA231">IFERROR(COUNT(_xlfn._xlws.FILTER(B231:G231, ISNUMBER(MATCH(B231:G231, {6,9,12,15,18,21,24,27,30,33,36,39,42,45}, 0)))), 0)</f>
        <v>0</v>
      </c>
      <c r="AB231" s="30"/>
      <c r="AC231" s="26" cm="1">
        <f t="array" ref="AC231">_xlfn.IFS(
   OR(B231="",ISBLANK(B231),B231=0),0,
   ISNUMBER(MATCH(B231,{2,3,5,7,11,13,17,19,23,29,31,37,41,43},0)),"소",
   AND(ISNUMBER(B231),MOD(B231,3)=0),"배",
   AND(ISNUMBER(B231),B231&gt;0),"자"
)</f>
        <v>0</v>
      </c>
      <c r="AD231" s="26" cm="1">
        <f t="array" ref="AD231">_xlfn.IFS(
   OR(C231="",ISBLANK(C231),C231=0),0,
   ISNUMBER(MATCH(C231,{2,3,5,7,11,13,17,19,23,29,31,37,41,43},0)),"소",
   AND(ISNUMBER(C231),MOD(C231,3)=0),"배",
   AND(ISNUMBER(C231),C231&gt;0),"자"
)</f>
        <v>0</v>
      </c>
      <c r="AE231" s="26" cm="1">
        <f t="array" ref="AE231">_xlfn.IFS(
   OR(D231="",ISBLANK(D231),D231=0),0,
   ISNUMBER(MATCH(D231,{2,3,5,7,11,13,17,19,23,29,31,37,41,43},0)),"소",
   AND(ISNUMBER(D231),MOD(D231,3)=0),"배",
   AND(ISNUMBER(D231),D231&gt;0),"자"
)</f>
        <v>0</v>
      </c>
      <c r="AF231" s="26" cm="1">
        <f t="array" ref="AF231">_xlfn.IFS(
   OR(E231="",ISBLANK(E231),E231=0),0,
   ISNUMBER(MATCH(E231,{2,3,5,7,11,13,17,19,23,29,31,37,41,43},0)),"소",
   AND(ISNUMBER(E231),MOD(E231,3)=0),"배",
   AND(ISNUMBER(E231),E231&gt;0),"자"
)</f>
        <v>0</v>
      </c>
      <c r="AG231" s="26" cm="1">
        <f t="array" ref="AG231">_xlfn.IFS(
   OR(F231="",ISBLANK(F231),F231=0),0,
   ISNUMBER(MATCH(F231,{2,3,5,7,11,13,17,19,23,29,31,37,41,43},0)),"소",
   AND(ISNUMBER(F231),MOD(F231,3)=0),"배",
   AND(ISNUMBER(F231),F231&gt;0),"자"
)</f>
        <v>0</v>
      </c>
      <c r="AH231" s="26" cm="1">
        <f t="array" ref="AH231">_xlfn.IFS(
   OR(G231="",ISBLANK(G231),G231=0),0,
   ISNUMBER(MATCH(G231,{2,3,5,7,11,13,17,19,23,29,31,37,41,43},0)),"소",
   AND(ISNUMBER(G231),MOD(G231,3)=0),"배",
   AND(ISNUMBER(G231),G231&gt;0),"자"
)</f>
        <v>0</v>
      </c>
      <c r="AI231" s="30"/>
      <c r="AJ231" s="3">
        <f t="shared" si="130"/>
        <v>0</v>
      </c>
      <c r="AK231" s="3">
        <f t="shared" si="131"/>
        <v>0</v>
      </c>
      <c r="AL231" s="3">
        <f t="shared" si="132"/>
        <v>6</v>
      </c>
      <c r="AM231" s="33"/>
      <c r="AN231" s="3">
        <f t="shared" si="133"/>
        <v>0</v>
      </c>
      <c r="AO231" s="3">
        <f t="shared" si="134"/>
        <v>0</v>
      </c>
      <c r="AP231" s="3">
        <f t="shared" si="135"/>
        <v>0</v>
      </c>
      <c r="AQ231" s="3">
        <f t="shared" si="136"/>
        <v>0</v>
      </c>
      <c r="AR231" s="3">
        <f t="shared" si="137"/>
        <v>0</v>
      </c>
      <c r="AS231" s="28" t="e">
        <f>#REF!</f>
        <v>#REF!</v>
      </c>
      <c r="AT231" s="28" t="e">
        <f>#REF!*2</f>
        <v>#REF!</v>
      </c>
      <c r="AU231" s="28" t="e">
        <f>#REF!</f>
        <v>#REF!</v>
      </c>
      <c r="AV231" s="28" t="e">
        <f>#REF!*2</f>
        <v>#REF!</v>
      </c>
      <c r="AW231" s="28" t="e">
        <f>#REF!</f>
        <v>#REF!</v>
      </c>
      <c r="AX231" s="28" t="e">
        <f>#REF!*2</f>
        <v>#REF!</v>
      </c>
      <c r="AY231" s="28" t="e">
        <f>#REF!</f>
        <v>#REF!</v>
      </c>
      <c r="AZ231" s="28" t="e">
        <f>#REF!*2</f>
        <v>#REF!</v>
      </c>
      <c r="BA231" s="28" t="e">
        <f>#REF!</f>
        <v>#REF!</v>
      </c>
      <c r="BB231" s="28" t="e">
        <f>#REF!*2</f>
        <v>#REF!</v>
      </c>
      <c r="BC231" s="28" t="e">
        <f>#REF!</f>
        <v>#REF!</v>
      </c>
      <c r="BD231" s="28" t="e">
        <f>#REF!*2</f>
        <v>#REF!</v>
      </c>
      <c r="BE231" s="9" t="e">
        <f>#REF!-#REF!</f>
        <v>#REF!</v>
      </c>
      <c r="BF231" s="9" t="e">
        <f>#REF!-#REF!</f>
        <v>#REF!</v>
      </c>
      <c r="BG231" s="9" t="e">
        <f>#REF!-#REF!</f>
        <v>#REF!</v>
      </c>
      <c r="BH231" s="9" t="e">
        <f>#REF!-#REF!</f>
        <v>#REF!</v>
      </c>
      <c r="BI231" s="9" t="e">
        <f>#REF!-#REF!</f>
        <v>#REF!</v>
      </c>
      <c r="BJ231" s="33"/>
      <c r="BK231" s="3">
        <f t="shared" si="138"/>
        <v>0</v>
      </c>
      <c r="BL231" s="3">
        <f t="shared" si="139"/>
        <v>0</v>
      </c>
      <c r="BM231" s="3">
        <f t="shared" si="140"/>
        <v>0</v>
      </c>
      <c r="BN231" s="3">
        <f t="shared" si="141"/>
        <v>0</v>
      </c>
      <c r="BO231" s="3">
        <f t="shared" si="142"/>
        <v>0</v>
      </c>
      <c r="BP231" s="28" t="e">
        <f>#REF!</f>
        <v>#REF!</v>
      </c>
      <c r="BQ231" s="28" t="e">
        <f>#REF!*2</f>
        <v>#REF!</v>
      </c>
      <c r="BR231" s="28" t="e">
        <f>#REF!</f>
        <v>#REF!</v>
      </c>
      <c r="BS231" s="28" t="e">
        <f>#REF!*2</f>
        <v>#REF!</v>
      </c>
      <c r="BT231" s="28" t="e">
        <f>#REF!</f>
        <v>#REF!</v>
      </c>
      <c r="BU231" s="28" t="e">
        <f>#REF!*2</f>
        <v>#REF!</v>
      </c>
      <c r="BV231" s="28" t="e">
        <f>#REF!</f>
        <v>#REF!</v>
      </c>
      <c r="BW231" s="28" t="e">
        <f>#REF!*2</f>
        <v>#REF!</v>
      </c>
      <c r="BX231" s="28" t="e">
        <f>#REF!</f>
        <v>#REF!</v>
      </c>
      <c r="BY231" s="28" t="e">
        <f>#REF!*2</f>
        <v>#REF!</v>
      </c>
      <c r="BZ231" s="28" t="e">
        <f>#REF!</f>
        <v>#REF!</v>
      </c>
      <c r="CA231" s="28" t="e">
        <f>#REF!*2</f>
        <v>#REF!</v>
      </c>
      <c r="CB231" s="9">
        <f t="shared" si="143"/>
        <v>0</v>
      </c>
      <c r="CC231" s="9">
        <f t="shared" si="144"/>
        <v>0</v>
      </c>
      <c r="CD231" s="9">
        <f t="shared" si="145"/>
        <v>0</v>
      </c>
      <c r="CE231" s="9">
        <f t="shared" si="146"/>
        <v>0</v>
      </c>
      <c r="CF231" s="9">
        <f t="shared" si="147"/>
        <v>0</v>
      </c>
      <c r="CG231" s="33"/>
      <c r="CH231" s="3">
        <f t="shared" si="148"/>
        <v>0</v>
      </c>
      <c r="CI231" s="3">
        <f t="shared" si="149"/>
        <v>0</v>
      </c>
      <c r="CJ231" s="3">
        <f t="shared" si="150"/>
        <v>0</v>
      </c>
      <c r="CK231" s="3">
        <f t="shared" si="151"/>
        <v>0</v>
      </c>
      <c r="CL231" s="3">
        <f t="shared" si="152"/>
        <v>0</v>
      </c>
      <c r="CM231" s="32"/>
      <c r="CN231" s="3">
        <f t="shared" si="153"/>
        <v>0</v>
      </c>
      <c r="CO231" s="3">
        <f t="shared" si="154"/>
        <v>0</v>
      </c>
      <c r="CP231" s="3">
        <f t="shared" si="155"/>
        <v>0</v>
      </c>
      <c r="CQ231" s="3">
        <f t="shared" si="156"/>
        <v>0</v>
      </c>
      <c r="CR231" s="3">
        <f t="shared" si="157"/>
        <v>0</v>
      </c>
      <c r="CS231" s="31"/>
      <c r="CT231" s="3" cm="1">
        <f t="array" ref="CT231">SUMPRODUCT(--(MOD(CH231:CL231,2)=1))</f>
        <v>0</v>
      </c>
      <c r="CU231" s="3">
        <f t="shared" si="158"/>
        <v>5</v>
      </c>
      <c r="CV231" s="30"/>
      <c r="CW231" s="3" cm="1">
        <f t="array" ref="CW231">SUMPRODUCT(--(MOD(CH231:CL231,10)&gt;=1), --(MOD(CH231:CL231,10)&lt;=5))</f>
        <v>0</v>
      </c>
      <c r="CX231" s="3">
        <f t="shared" si="159"/>
        <v>5</v>
      </c>
      <c r="CY231" s="30"/>
      <c r="CZ231" s="3" cm="1">
        <f t="array" ref="CZ231">IFERROR(COUNT(_xlfn._xlws.FILTER(CH231:CL231, ISNUMBER(MATCH(CH231:CL231, {2,3,5,7,11,13,17,19,23,29,31,37,41,43}, 0)))), 0)</f>
        <v>0</v>
      </c>
      <c r="DA231" s="3" cm="1">
        <f t="array" ref="DA231">IFERROR(COUNT(_xlfn._xlws.FILTER(CH231:CL231, ISNUMBER(MATCH(CH231:CL231, {1,4,8,10,14,16,20,22,25,26,28,32,34,35,38,40,44}, 0)))), 0)</f>
        <v>0</v>
      </c>
      <c r="DB231" s="3" cm="1">
        <f t="array" ref="DB231">IFERROR(COUNT(_xlfn._xlws.FILTER(CH231:CL231, ISNUMBER(MATCH(CH231:CL231, {6,9,12,15,18,21,24,27,30,33,36,39,42,45}, 0)))), 0)</f>
        <v>0</v>
      </c>
      <c r="DC231" s="29"/>
      <c r="DD231" s="28" t="e">
        <f>#REF!</f>
        <v>#REF!</v>
      </c>
      <c r="DE231" s="28" t="e">
        <f>#REF!*2</f>
        <v>#REF!</v>
      </c>
      <c r="DF231" s="28" t="e">
        <f>#REF!</f>
        <v>#REF!</v>
      </c>
      <c r="DG231" s="28" t="e">
        <f>#REF!*2</f>
        <v>#REF!</v>
      </c>
      <c r="DH231" s="28" t="e">
        <f>#REF!</f>
        <v>#REF!</v>
      </c>
      <c r="DI231" s="28" t="e">
        <f>#REF!*2</f>
        <v>#REF!</v>
      </c>
      <c r="DJ231" s="28" t="e">
        <f>#REF!</f>
        <v>#REF!</v>
      </c>
      <c r="DK231" s="28" t="e">
        <f>#REF!*2</f>
        <v>#REF!</v>
      </c>
      <c r="DL231" s="28" t="e">
        <f>#REF!</f>
        <v>#REF!</v>
      </c>
      <c r="DM231" s="28" t="e">
        <f>#REF!*2</f>
        <v>#REF!</v>
      </c>
      <c r="DN231" s="27"/>
      <c r="DO231" s="26"/>
      <c r="DP231" s="26"/>
      <c r="DQ231" s="26"/>
      <c r="DR231" s="26"/>
      <c r="DS231" s="26"/>
      <c r="DT231" s="25"/>
    </row>
    <row r="232" spans="2:124" x14ac:dyDescent="0.3"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2"/>
      <c r="I232" s="3">
        <f t="shared" si="120"/>
        <v>0</v>
      </c>
      <c r="J232" s="3">
        <f t="shared" si="121"/>
        <v>0</v>
      </c>
      <c r="K232" s="3">
        <f t="shared" si="122"/>
        <v>0</v>
      </c>
      <c r="L232" s="3">
        <f t="shared" si="123"/>
        <v>0</v>
      </c>
      <c r="M232" s="3">
        <f t="shared" si="124"/>
        <v>0</v>
      </c>
      <c r="N232" s="3">
        <f t="shared" si="125"/>
        <v>0</v>
      </c>
      <c r="O232" s="32"/>
      <c r="P232" s="3" cm="1">
        <f t="array" ref="P232">SUMPRODUCT(--(MOD(B232:G232,2)=1))</f>
        <v>0</v>
      </c>
      <c r="Q232" s="3">
        <f t="shared" si="126"/>
        <v>6</v>
      </c>
      <c r="R232" s="34"/>
      <c r="S232" s="3">
        <f t="shared" si="127"/>
        <v>0</v>
      </c>
      <c r="T232" s="3">
        <f t="shared" si="128"/>
        <v>6</v>
      </c>
      <c r="U232" s="34"/>
      <c r="V232" s="3" cm="1">
        <f t="array" ref="V232">SUMPRODUCT(--(MOD(B232:G232,10)&gt;=1), --(MOD(B232:G232,10)&lt;=5))</f>
        <v>0</v>
      </c>
      <c r="W232" s="3">
        <f t="shared" si="129"/>
        <v>6</v>
      </c>
      <c r="X232" s="34"/>
      <c r="Y232" s="3" cm="1">
        <f t="array" ref="Y232">IFERROR(COUNT(_xlfn._xlws.FILTER(B232:G232, ISNUMBER(MATCH(B232:G232, {2,3,5,7,11,13,17,19,23,29,31,37,41,43}, 0)))), 0)</f>
        <v>0</v>
      </c>
      <c r="Z232" s="3" cm="1">
        <f t="array" ref="Z232">IFERROR(COUNT(_xlfn._xlws.FILTER(B232:G232, ISNUMBER(MATCH(B232:G232, {1,4,8,10,14,16,20,22,25,26,28,32,34,35,38,40,44}, 0)))), 0)</f>
        <v>0</v>
      </c>
      <c r="AA232" s="3" cm="1">
        <f t="array" ref="AA232">IFERROR(COUNT(_xlfn._xlws.FILTER(B232:G232, ISNUMBER(MATCH(B232:G232, {6,9,12,15,18,21,24,27,30,33,36,39,42,45}, 0)))), 0)</f>
        <v>0</v>
      </c>
      <c r="AB232" s="30"/>
      <c r="AC232" s="26" cm="1">
        <f t="array" ref="AC232">_xlfn.IFS(
   OR(B232="",ISBLANK(B232),B232=0),0,
   ISNUMBER(MATCH(B232,{2,3,5,7,11,13,17,19,23,29,31,37,41,43},0)),"소",
   AND(ISNUMBER(B232),MOD(B232,3)=0),"배",
   AND(ISNUMBER(B232),B232&gt;0),"자"
)</f>
        <v>0</v>
      </c>
      <c r="AD232" s="26" cm="1">
        <f t="array" ref="AD232">_xlfn.IFS(
   OR(C232="",ISBLANK(C232),C232=0),0,
   ISNUMBER(MATCH(C232,{2,3,5,7,11,13,17,19,23,29,31,37,41,43},0)),"소",
   AND(ISNUMBER(C232),MOD(C232,3)=0),"배",
   AND(ISNUMBER(C232),C232&gt;0),"자"
)</f>
        <v>0</v>
      </c>
      <c r="AE232" s="26" cm="1">
        <f t="array" ref="AE232">_xlfn.IFS(
   OR(D232="",ISBLANK(D232),D232=0),0,
   ISNUMBER(MATCH(D232,{2,3,5,7,11,13,17,19,23,29,31,37,41,43},0)),"소",
   AND(ISNUMBER(D232),MOD(D232,3)=0),"배",
   AND(ISNUMBER(D232),D232&gt;0),"자"
)</f>
        <v>0</v>
      </c>
      <c r="AF232" s="26" cm="1">
        <f t="array" ref="AF232">_xlfn.IFS(
   OR(E232="",ISBLANK(E232),E232=0),0,
   ISNUMBER(MATCH(E232,{2,3,5,7,11,13,17,19,23,29,31,37,41,43},0)),"소",
   AND(ISNUMBER(E232),MOD(E232,3)=0),"배",
   AND(ISNUMBER(E232),E232&gt;0),"자"
)</f>
        <v>0</v>
      </c>
      <c r="AG232" s="26" cm="1">
        <f t="array" ref="AG232">_xlfn.IFS(
   OR(F232="",ISBLANK(F232),F232=0),0,
   ISNUMBER(MATCH(F232,{2,3,5,7,11,13,17,19,23,29,31,37,41,43},0)),"소",
   AND(ISNUMBER(F232),MOD(F232,3)=0),"배",
   AND(ISNUMBER(F232),F232&gt;0),"자"
)</f>
        <v>0</v>
      </c>
      <c r="AH232" s="26" cm="1">
        <f t="array" ref="AH232">_xlfn.IFS(
   OR(G232="",ISBLANK(G232),G232=0),0,
   ISNUMBER(MATCH(G232,{2,3,5,7,11,13,17,19,23,29,31,37,41,43},0)),"소",
   AND(ISNUMBER(G232),MOD(G232,3)=0),"배",
   AND(ISNUMBER(G232),G232&gt;0),"자"
)</f>
        <v>0</v>
      </c>
      <c r="AI232" s="30"/>
      <c r="AJ232" s="3">
        <f t="shared" si="130"/>
        <v>0</v>
      </c>
      <c r="AK232" s="3">
        <f t="shared" si="131"/>
        <v>0</v>
      </c>
      <c r="AL232" s="3">
        <f t="shared" si="132"/>
        <v>6</v>
      </c>
      <c r="AM232" s="33"/>
      <c r="AN232" s="3">
        <f t="shared" si="133"/>
        <v>0</v>
      </c>
      <c r="AO232" s="3">
        <f t="shared" si="134"/>
        <v>0</v>
      </c>
      <c r="AP232" s="3">
        <f t="shared" si="135"/>
        <v>0</v>
      </c>
      <c r="AQ232" s="3">
        <f t="shared" si="136"/>
        <v>0</v>
      </c>
      <c r="AR232" s="3">
        <f t="shared" si="137"/>
        <v>0</v>
      </c>
      <c r="AS232" s="28" t="e">
        <f>#REF!</f>
        <v>#REF!</v>
      </c>
      <c r="AT232" s="28" t="e">
        <f>#REF!*2</f>
        <v>#REF!</v>
      </c>
      <c r="AU232" s="28" t="e">
        <f>#REF!</f>
        <v>#REF!</v>
      </c>
      <c r="AV232" s="28" t="e">
        <f>#REF!*2</f>
        <v>#REF!</v>
      </c>
      <c r="AW232" s="28" t="e">
        <f>#REF!</f>
        <v>#REF!</v>
      </c>
      <c r="AX232" s="28" t="e">
        <f>#REF!*2</f>
        <v>#REF!</v>
      </c>
      <c r="AY232" s="28" t="e">
        <f>#REF!</f>
        <v>#REF!</v>
      </c>
      <c r="AZ232" s="28" t="e">
        <f>#REF!*2</f>
        <v>#REF!</v>
      </c>
      <c r="BA232" s="28" t="e">
        <f>#REF!</f>
        <v>#REF!</v>
      </c>
      <c r="BB232" s="28" t="e">
        <f>#REF!*2</f>
        <v>#REF!</v>
      </c>
      <c r="BC232" s="28" t="e">
        <f>#REF!</f>
        <v>#REF!</v>
      </c>
      <c r="BD232" s="28" t="e">
        <f>#REF!*2</f>
        <v>#REF!</v>
      </c>
      <c r="BE232" s="9" t="e">
        <f>#REF!-#REF!</f>
        <v>#REF!</v>
      </c>
      <c r="BF232" s="9" t="e">
        <f>#REF!-#REF!</f>
        <v>#REF!</v>
      </c>
      <c r="BG232" s="9" t="e">
        <f>#REF!-#REF!</f>
        <v>#REF!</v>
      </c>
      <c r="BH232" s="9" t="e">
        <f>#REF!-#REF!</f>
        <v>#REF!</v>
      </c>
      <c r="BI232" s="9" t="e">
        <f>#REF!-#REF!</f>
        <v>#REF!</v>
      </c>
      <c r="BJ232" s="33"/>
      <c r="BK232" s="3">
        <f t="shared" si="138"/>
        <v>0</v>
      </c>
      <c r="BL232" s="3">
        <f t="shared" si="139"/>
        <v>0</v>
      </c>
      <c r="BM232" s="3">
        <f t="shared" si="140"/>
        <v>0</v>
      </c>
      <c r="BN232" s="3">
        <f t="shared" si="141"/>
        <v>0</v>
      </c>
      <c r="BO232" s="3">
        <f t="shared" si="142"/>
        <v>0</v>
      </c>
      <c r="BP232" s="28" t="e">
        <f>#REF!</f>
        <v>#REF!</v>
      </c>
      <c r="BQ232" s="28" t="e">
        <f>#REF!*2</f>
        <v>#REF!</v>
      </c>
      <c r="BR232" s="28" t="e">
        <f>#REF!</f>
        <v>#REF!</v>
      </c>
      <c r="BS232" s="28" t="e">
        <f>#REF!*2</f>
        <v>#REF!</v>
      </c>
      <c r="BT232" s="28" t="e">
        <f>#REF!</f>
        <v>#REF!</v>
      </c>
      <c r="BU232" s="28" t="e">
        <f>#REF!*2</f>
        <v>#REF!</v>
      </c>
      <c r="BV232" s="28" t="e">
        <f>#REF!</f>
        <v>#REF!</v>
      </c>
      <c r="BW232" s="28" t="e">
        <f>#REF!*2</f>
        <v>#REF!</v>
      </c>
      <c r="BX232" s="28" t="e">
        <f>#REF!</f>
        <v>#REF!</v>
      </c>
      <c r="BY232" s="28" t="e">
        <f>#REF!*2</f>
        <v>#REF!</v>
      </c>
      <c r="BZ232" s="28" t="e">
        <f>#REF!</f>
        <v>#REF!</v>
      </c>
      <c r="CA232" s="28" t="e">
        <f>#REF!*2</f>
        <v>#REF!</v>
      </c>
      <c r="CB232" s="9">
        <f t="shared" si="143"/>
        <v>0</v>
      </c>
      <c r="CC232" s="9">
        <f t="shared" si="144"/>
        <v>0</v>
      </c>
      <c r="CD232" s="9">
        <f t="shared" si="145"/>
        <v>0</v>
      </c>
      <c r="CE232" s="9">
        <f t="shared" si="146"/>
        <v>0</v>
      </c>
      <c r="CF232" s="9">
        <f t="shared" si="147"/>
        <v>0</v>
      </c>
      <c r="CG232" s="33"/>
      <c r="CH232" s="3">
        <f t="shared" si="148"/>
        <v>0</v>
      </c>
      <c r="CI232" s="3">
        <f t="shared" si="149"/>
        <v>0</v>
      </c>
      <c r="CJ232" s="3">
        <f t="shared" si="150"/>
        <v>0</v>
      </c>
      <c r="CK232" s="3">
        <f t="shared" si="151"/>
        <v>0</v>
      </c>
      <c r="CL232" s="3">
        <f t="shared" si="152"/>
        <v>0</v>
      </c>
      <c r="CM232" s="32"/>
      <c r="CN232" s="3">
        <f t="shared" si="153"/>
        <v>0</v>
      </c>
      <c r="CO232" s="3">
        <f t="shared" si="154"/>
        <v>0</v>
      </c>
      <c r="CP232" s="3">
        <f t="shared" si="155"/>
        <v>0</v>
      </c>
      <c r="CQ232" s="3">
        <f t="shared" si="156"/>
        <v>0</v>
      </c>
      <c r="CR232" s="3">
        <f t="shared" si="157"/>
        <v>0</v>
      </c>
      <c r="CS232" s="31"/>
      <c r="CT232" s="3" cm="1">
        <f t="array" ref="CT232">SUMPRODUCT(--(MOD(CH232:CL232,2)=1))</f>
        <v>0</v>
      </c>
      <c r="CU232" s="3">
        <f t="shared" si="158"/>
        <v>5</v>
      </c>
      <c r="CV232" s="30"/>
      <c r="CW232" s="3" cm="1">
        <f t="array" ref="CW232">SUMPRODUCT(--(MOD(CH232:CL232,10)&gt;=1), --(MOD(CH232:CL232,10)&lt;=5))</f>
        <v>0</v>
      </c>
      <c r="CX232" s="3">
        <f t="shared" si="159"/>
        <v>5</v>
      </c>
      <c r="CY232" s="30"/>
      <c r="CZ232" s="3" cm="1">
        <f t="array" ref="CZ232">IFERROR(COUNT(_xlfn._xlws.FILTER(CH232:CL232, ISNUMBER(MATCH(CH232:CL232, {2,3,5,7,11,13,17,19,23,29,31,37,41,43}, 0)))), 0)</f>
        <v>0</v>
      </c>
      <c r="DA232" s="3" cm="1">
        <f t="array" ref="DA232">IFERROR(COUNT(_xlfn._xlws.FILTER(CH232:CL232, ISNUMBER(MATCH(CH232:CL232, {1,4,8,10,14,16,20,22,25,26,28,32,34,35,38,40,44}, 0)))), 0)</f>
        <v>0</v>
      </c>
      <c r="DB232" s="3" cm="1">
        <f t="array" ref="DB232">IFERROR(COUNT(_xlfn._xlws.FILTER(CH232:CL232, ISNUMBER(MATCH(CH232:CL232, {6,9,12,15,18,21,24,27,30,33,36,39,42,45}, 0)))), 0)</f>
        <v>0</v>
      </c>
      <c r="DC232" s="29"/>
      <c r="DD232" s="28" t="e">
        <f>#REF!</f>
        <v>#REF!</v>
      </c>
      <c r="DE232" s="28" t="e">
        <f>#REF!*2</f>
        <v>#REF!</v>
      </c>
      <c r="DF232" s="28" t="e">
        <f>#REF!</f>
        <v>#REF!</v>
      </c>
      <c r="DG232" s="28" t="e">
        <f>#REF!*2</f>
        <v>#REF!</v>
      </c>
      <c r="DH232" s="28" t="e">
        <f>#REF!</f>
        <v>#REF!</v>
      </c>
      <c r="DI232" s="28" t="e">
        <f>#REF!*2</f>
        <v>#REF!</v>
      </c>
      <c r="DJ232" s="28" t="e">
        <f>#REF!</f>
        <v>#REF!</v>
      </c>
      <c r="DK232" s="28" t="e">
        <f>#REF!*2</f>
        <v>#REF!</v>
      </c>
      <c r="DL232" s="28" t="e">
        <f>#REF!</f>
        <v>#REF!</v>
      </c>
      <c r="DM232" s="28" t="e">
        <f>#REF!*2</f>
        <v>#REF!</v>
      </c>
      <c r="DN232" s="27"/>
      <c r="DO232" s="26"/>
      <c r="DP232" s="26"/>
      <c r="DQ232" s="26"/>
      <c r="DR232" s="26"/>
      <c r="DS232" s="26"/>
      <c r="DT232" s="25"/>
    </row>
    <row r="233" spans="2:124" x14ac:dyDescent="0.3"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2"/>
      <c r="I233" s="3">
        <f t="shared" si="120"/>
        <v>0</v>
      </c>
      <c r="J233" s="3">
        <f t="shared" si="121"/>
        <v>0</v>
      </c>
      <c r="K233" s="3">
        <f t="shared" si="122"/>
        <v>0</v>
      </c>
      <c r="L233" s="3">
        <f t="shared" si="123"/>
        <v>0</v>
      </c>
      <c r="M233" s="3">
        <f t="shared" si="124"/>
        <v>0</v>
      </c>
      <c r="N233" s="3">
        <f t="shared" si="125"/>
        <v>0</v>
      </c>
      <c r="O233" s="32"/>
      <c r="P233" s="3" cm="1">
        <f t="array" ref="P233">SUMPRODUCT(--(MOD(B233:G233,2)=1))</f>
        <v>0</v>
      </c>
      <c r="Q233" s="3">
        <f t="shared" si="126"/>
        <v>6</v>
      </c>
      <c r="R233" s="34"/>
      <c r="S233" s="3">
        <f t="shared" si="127"/>
        <v>0</v>
      </c>
      <c r="T233" s="3">
        <f t="shared" si="128"/>
        <v>6</v>
      </c>
      <c r="U233" s="34"/>
      <c r="V233" s="3" cm="1">
        <f t="array" ref="V233">SUMPRODUCT(--(MOD(B233:G233,10)&gt;=1), --(MOD(B233:G233,10)&lt;=5))</f>
        <v>0</v>
      </c>
      <c r="W233" s="3">
        <f t="shared" si="129"/>
        <v>6</v>
      </c>
      <c r="X233" s="34"/>
      <c r="Y233" s="3" cm="1">
        <f t="array" ref="Y233">IFERROR(COUNT(_xlfn._xlws.FILTER(B233:G233, ISNUMBER(MATCH(B233:G233, {2,3,5,7,11,13,17,19,23,29,31,37,41,43}, 0)))), 0)</f>
        <v>0</v>
      </c>
      <c r="Z233" s="3" cm="1">
        <f t="array" ref="Z233">IFERROR(COUNT(_xlfn._xlws.FILTER(B233:G233, ISNUMBER(MATCH(B233:G233, {1,4,8,10,14,16,20,22,25,26,28,32,34,35,38,40,44}, 0)))), 0)</f>
        <v>0</v>
      </c>
      <c r="AA233" s="3" cm="1">
        <f t="array" ref="AA233">IFERROR(COUNT(_xlfn._xlws.FILTER(B233:G233, ISNUMBER(MATCH(B233:G233, {6,9,12,15,18,21,24,27,30,33,36,39,42,45}, 0)))), 0)</f>
        <v>0</v>
      </c>
      <c r="AB233" s="30"/>
      <c r="AC233" s="26" cm="1">
        <f t="array" ref="AC233">_xlfn.IFS(
   OR(B233="",ISBLANK(B233),B233=0),0,
   ISNUMBER(MATCH(B233,{2,3,5,7,11,13,17,19,23,29,31,37,41,43},0)),"소",
   AND(ISNUMBER(B233),MOD(B233,3)=0),"배",
   AND(ISNUMBER(B233),B233&gt;0),"자"
)</f>
        <v>0</v>
      </c>
      <c r="AD233" s="26" cm="1">
        <f t="array" ref="AD233">_xlfn.IFS(
   OR(C233="",ISBLANK(C233),C233=0),0,
   ISNUMBER(MATCH(C233,{2,3,5,7,11,13,17,19,23,29,31,37,41,43},0)),"소",
   AND(ISNUMBER(C233),MOD(C233,3)=0),"배",
   AND(ISNUMBER(C233),C233&gt;0),"자"
)</f>
        <v>0</v>
      </c>
      <c r="AE233" s="26" cm="1">
        <f t="array" ref="AE233">_xlfn.IFS(
   OR(D233="",ISBLANK(D233),D233=0),0,
   ISNUMBER(MATCH(D233,{2,3,5,7,11,13,17,19,23,29,31,37,41,43},0)),"소",
   AND(ISNUMBER(D233),MOD(D233,3)=0),"배",
   AND(ISNUMBER(D233),D233&gt;0),"자"
)</f>
        <v>0</v>
      </c>
      <c r="AF233" s="26" cm="1">
        <f t="array" ref="AF233">_xlfn.IFS(
   OR(E233="",ISBLANK(E233),E233=0),0,
   ISNUMBER(MATCH(E233,{2,3,5,7,11,13,17,19,23,29,31,37,41,43},0)),"소",
   AND(ISNUMBER(E233),MOD(E233,3)=0),"배",
   AND(ISNUMBER(E233),E233&gt;0),"자"
)</f>
        <v>0</v>
      </c>
      <c r="AG233" s="26" cm="1">
        <f t="array" ref="AG233">_xlfn.IFS(
   OR(F233="",ISBLANK(F233),F233=0),0,
   ISNUMBER(MATCH(F233,{2,3,5,7,11,13,17,19,23,29,31,37,41,43},0)),"소",
   AND(ISNUMBER(F233),MOD(F233,3)=0),"배",
   AND(ISNUMBER(F233),F233&gt;0),"자"
)</f>
        <v>0</v>
      </c>
      <c r="AH233" s="26" cm="1">
        <f t="array" ref="AH233">_xlfn.IFS(
   OR(G233="",ISBLANK(G233),G233=0),0,
   ISNUMBER(MATCH(G233,{2,3,5,7,11,13,17,19,23,29,31,37,41,43},0)),"소",
   AND(ISNUMBER(G233),MOD(G233,3)=0),"배",
   AND(ISNUMBER(G233),G233&gt;0),"자"
)</f>
        <v>0</v>
      </c>
      <c r="AI233" s="30"/>
      <c r="AJ233" s="3">
        <f t="shared" si="130"/>
        <v>0</v>
      </c>
      <c r="AK233" s="3">
        <f t="shared" si="131"/>
        <v>0</v>
      </c>
      <c r="AL233" s="3">
        <f t="shared" si="132"/>
        <v>6</v>
      </c>
      <c r="AM233" s="33"/>
      <c r="AN233" s="3">
        <f t="shared" si="133"/>
        <v>0</v>
      </c>
      <c r="AO233" s="3">
        <f t="shared" si="134"/>
        <v>0</v>
      </c>
      <c r="AP233" s="3">
        <f t="shared" si="135"/>
        <v>0</v>
      </c>
      <c r="AQ233" s="3">
        <f t="shared" si="136"/>
        <v>0</v>
      </c>
      <c r="AR233" s="3">
        <f t="shared" si="137"/>
        <v>0</v>
      </c>
      <c r="AS233" s="28" t="e">
        <f>#REF!</f>
        <v>#REF!</v>
      </c>
      <c r="AT233" s="28" t="e">
        <f>#REF!*2</f>
        <v>#REF!</v>
      </c>
      <c r="AU233" s="28" t="e">
        <f>#REF!</f>
        <v>#REF!</v>
      </c>
      <c r="AV233" s="28" t="e">
        <f>#REF!*2</f>
        <v>#REF!</v>
      </c>
      <c r="AW233" s="28" t="e">
        <f>#REF!</f>
        <v>#REF!</v>
      </c>
      <c r="AX233" s="28" t="e">
        <f>#REF!*2</f>
        <v>#REF!</v>
      </c>
      <c r="AY233" s="28" t="e">
        <f>#REF!</f>
        <v>#REF!</v>
      </c>
      <c r="AZ233" s="28" t="e">
        <f>#REF!*2</f>
        <v>#REF!</v>
      </c>
      <c r="BA233" s="28" t="e">
        <f>#REF!</f>
        <v>#REF!</v>
      </c>
      <c r="BB233" s="28" t="e">
        <f>#REF!*2</f>
        <v>#REF!</v>
      </c>
      <c r="BC233" s="28" t="e">
        <f>#REF!</f>
        <v>#REF!</v>
      </c>
      <c r="BD233" s="28" t="e">
        <f>#REF!*2</f>
        <v>#REF!</v>
      </c>
      <c r="BE233" s="9" t="e">
        <f>#REF!-#REF!</f>
        <v>#REF!</v>
      </c>
      <c r="BF233" s="9" t="e">
        <f>#REF!-#REF!</f>
        <v>#REF!</v>
      </c>
      <c r="BG233" s="9" t="e">
        <f>#REF!-#REF!</f>
        <v>#REF!</v>
      </c>
      <c r="BH233" s="9" t="e">
        <f>#REF!-#REF!</f>
        <v>#REF!</v>
      </c>
      <c r="BI233" s="9" t="e">
        <f>#REF!-#REF!</f>
        <v>#REF!</v>
      </c>
      <c r="BJ233" s="33"/>
      <c r="BK233" s="3">
        <f t="shared" si="138"/>
        <v>0</v>
      </c>
      <c r="BL233" s="3">
        <f t="shared" si="139"/>
        <v>0</v>
      </c>
      <c r="BM233" s="3">
        <f t="shared" si="140"/>
        <v>0</v>
      </c>
      <c r="BN233" s="3">
        <f t="shared" si="141"/>
        <v>0</v>
      </c>
      <c r="BO233" s="3">
        <f t="shared" si="142"/>
        <v>0</v>
      </c>
      <c r="BP233" s="28" t="e">
        <f>#REF!</f>
        <v>#REF!</v>
      </c>
      <c r="BQ233" s="28" t="e">
        <f>#REF!*2</f>
        <v>#REF!</v>
      </c>
      <c r="BR233" s="28" t="e">
        <f>#REF!</f>
        <v>#REF!</v>
      </c>
      <c r="BS233" s="28" t="e">
        <f>#REF!*2</f>
        <v>#REF!</v>
      </c>
      <c r="BT233" s="28" t="e">
        <f>#REF!</f>
        <v>#REF!</v>
      </c>
      <c r="BU233" s="28" t="e">
        <f>#REF!*2</f>
        <v>#REF!</v>
      </c>
      <c r="BV233" s="28" t="e">
        <f>#REF!</f>
        <v>#REF!</v>
      </c>
      <c r="BW233" s="28" t="e">
        <f>#REF!*2</f>
        <v>#REF!</v>
      </c>
      <c r="BX233" s="28" t="e">
        <f>#REF!</f>
        <v>#REF!</v>
      </c>
      <c r="BY233" s="28" t="e">
        <f>#REF!*2</f>
        <v>#REF!</v>
      </c>
      <c r="BZ233" s="28" t="e">
        <f>#REF!</f>
        <v>#REF!</v>
      </c>
      <c r="CA233" s="28" t="e">
        <f>#REF!*2</f>
        <v>#REF!</v>
      </c>
      <c r="CB233" s="9">
        <f t="shared" si="143"/>
        <v>0</v>
      </c>
      <c r="CC233" s="9">
        <f t="shared" si="144"/>
        <v>0</v>
      </c>
      <c r="CD233" s="9">
        <f t="shared" si="145"/>
        <v>0</v>
      </c>
      <c r="CE233" s="9">
        <f t="shared" si="146"/>
        <v>0</v>
      </c>
      <c r="CF233" s="9">
        <f t="shared" si="147"/>
        <v>0</v>
      </c>
      <c r="CG233" s="33"/>
      <c r="CH233" s="3">
        <f t="shared" si="148"/>
        <v>0</v>
      </c>
      <c r="CI233" s="3">
        <f t="shared" si="149"/>
        <v>0</v>
      </c>
      <c r="CJ233" s="3">
        <f t="shared" si="150"/>
        <v>0</v>
      </c>
      <c r="CK233" s="3">
        <f t="shared" si="151"/>
        <v>0</v>
      </c>
      <c r="CL233" s="3">
        <f t="shared" si="152"/>
        <v>0</v>
      </c>
      <c r="CM233" s="32"/>
      <c r="CN233" s="3">
        <f t="shared" si="153"/>
        <v>0</v>
      </c>
      <c r="CO233" s="3">
        <f t="shared" si="154"/>
        <v>0</v>
      </c>
      <c r="CP233" s="3">
        <f t="shared" si="155"/>
        <v>0</v>
      </c>
      <c r="CQ233" s="3">
        <f t="shared" si="156"/>
        <v>0</v>
      </c>
      <c r="CR233" s="3">
        <f t="shared" si="157"/>
        <v>0</v>
      </c>
      <c r="CS233" s="31"/>
      <c r="CT233" s="3" cm="1">
        <f t="array" ref="CT233">SUMPRODUCT(--(MOD(CH233:CL233,2)=1))</f>
        <v>0</v>
      </c>
      <c r="CU233" s="3">
        <f t="shared" si="158"/>
        <v>5</v>
      </c>
      <c r="CV233" s="30"/>
      <c r="CW233" s="3" cm="1">
        <f t="array" ref="CW233">SUMPRODUCT(--(MOD(CH233:CL233,10)&gt;=1), --(MOD(CH233:CL233,10)&lt;=5))</f>
        <v>0</v>
      </c>
      <c r="CX233" s="3">
        <f t="shared" si="159"/>
        <v>5</v>
      </c>
      <c r="CY233" s="30"/>
      <c r="CZ233" s="3" cm="1">
        <f t="array" ref="CZ233">IFERROR(COUNT(_xlfn._xlws.FILTER(CH233:CL233, ISNUMBER(MATCH(CH233:CL233, {2,3,5,7,11,13,17,19,23,29,31,37,41,43}, 0)))), 0)</f>
        <v>0</v>
      </c>
      <c r="DA233" s="3" cm="1">
        <f t="array" ref="DA233">IFERROR(COUNT(_xlfn._xlws.FILTER(CH233:CL233, ISNUMBER(MATCH(CH233:CL233, {1,4,8,10,14,16,20,22,25,26,28,32,34,35,38,40,44}, 0)))), 0)</f>
        <v>0</v>
      </c>
      <c r="DB233" s="3" cm="1">
        <f t="array" ref="DB233">IFERROR(COUNT(_xlfn._xlws.FILTER(CH233:CL233, ISNUMBER(MATCH(CH233:CL233, {6,9,12,15,18,21,24,27,30,33,36,39,42,45}, 0)))), 0)</f>
        <v>0</v>
      </c>
      <c r="DC233" s="29"/>
      <c r="DD233" s="28" t="e">
        <f>#REF!</f>
        <v>#REF!</v>
      </c>
      <c r="DE233" s="28" t="e">
        <f>#REF!*2</f>
        <v>#REF!</v>
      </c>
      <c r="DF233" s="28" t="e">
        <f>#REF!</f>
        <v>#REF!</v>
      </c>
      <c r="DG233" s="28" t="e">
        <f>#REF!*2</f>
        <v>#REF!</v>
      </c>
      <c r="DH233" s="28" t="e">
        <f>#REF!</f>
        <v>#REF!</v>
      </c>
      <c r="DI233" s="28" t="e">
        <f>#REF!*2</f>
        <v>#REF!</v>
      </c>
      <c r="DJ233" s="28" t="e">
        <f>#REF!</f>
        <v>#REF!</v>
      </c>
      <c r="DK233" s="28" t="e">
        <f>#REF!*2</f>
        <v>#REF!</v>
      </c>
      <c r="DL233" s="28" t="e">
        <f>#REF!</f>
        <v>#REF!</v>
      </c>
      <c r="DM233" s="28" t="e">
        <f>#REF!*2</f>
        <v>#REF!</v>
      </c>
      <c r="DN233" s="27"/>
      <c r="DO233" s="26"/>
      <c r="DP233" s="26"/>
      <c r="DQ233" s="26"/>
      <c r="DR233" s="26"/>
      <c r="DS233" s="26"/>
      <c r="DT233" s="25"/>
    </row>
    <row r="234" spans="2:124" x14ac:dyDescent="0.3"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2"/>
      <c r="I234" s="3">
        <f t="shared" si="120"/>
        <v>0</v>
      </c>
      <c r="J234" s="3">
        <f t="shared" si="121"/>
        <v>0</v>
      </c>
      <c r="K234" s="3">
        <f t="shared" si="122"/>
        <v>0</v>
      </c>
      <c r="L234" s="3">
        <f t="shared" si="123"/>
        <v>0</v>
      </c>
      <c r="M234" s="3">
        <f t="shared" si="124"/>
        <v>0</v>
      </c>
      <c r="N234" s="3">
        <f t="shared" si="125"/>
        <v>0</v>
      </c>
      <c r="O234" s="32"/>
      <c r="P234" s="3" cm="1">
        <f t="array" ref="P234">SUMPRODUCT(--(MOD(B234:G234,2)=1))</f>
        <v>0</v>
      </c>
      <c r="Q234" s="3">
        <f t="shared" si="126"/>
        <v>6</v>
      </c>
      <c r="R234" s="34"/>
      <c r="S234" s="3">
        <f t="shared" si="127"/>
        <v>0</v>
      </c>
      <c r="T234" s="3">
        <f t="shared" si="128"/>
        <v>6</v>
      </c>
      <c r="U234" s="34"/>
      <c r="V234" s="3" cm="1">
        <f t="array" ref="V234">SUMPRODUCT(--(MOD(B234:G234,10)&gt;=1), --(MOD(B234:G234,10)&lt;=5))</f>
        <v>0</v>
      </c>
      <c r="W234" s="3">
        <f t="shared" si="129"/>
        <v>6</v>
      </c>
      <c r="X234" s="34"/>
      <c r="Y234" s="3" cm="1">
        <f t="array" ref="Y234">IFERROR(COUNT(_xlfn._xlws.FILTER(B234:G234, ISNUMBER(MATCH(B234:G234, {2,3,5,7,11,13,17,19,23,29,31,37,41,43}, 0)))), 0)</f>
        <v>0</v>
      </c>
      <c r="Z234" s="3" cm="1">
        <f t="array" ref="Z234">IFERROR(COUNT(_xlfn._xlws.FILTER(B234:G234, ISNUMBER(MATCH(B234:G234, {1,4,8,10,14,16,20,22,25,26,28,32,34,35,38,40,44}, 0)))), 0)</f>
        <v>0</v>
      </c>
      <c r="AA234" s="3" cm="1">
        <f t="array" ref="AA234">IFERROR(COUNT(_xlfn._xlws.FILTER(B234:G234, ISNUMBER(MATCH(B234:G234, {6,9,12,15,18,21,24,27,30,33,36,39,42,45}, 0)))), 0)</f>
        <v>0</v>
      </c>
      <c r="AB234" s="30"/>
      <c r="AC234" s="26" cm="1">
        <f t="array" ref="AC234">_xlfn.IFS(
   OR(B234="",ISBLANK(B234),B234=0),0,
   ISNUMBER(MATCH(B234,{2,3,5,7,11,13,17,19,23,29,31,37,41,43},0)),"소",
   AND(ISNUMBER(B234),MOD(B234,3)=0),"배",
   AND(ISNUMBER(B234),B234&gt;0),"자"
)</f>
        <v>0</v>
      </c>
      <c r="AD234" s="26" cm="1">
        <f t="array" ref="AD234">_xlfn.IFS(
   OR(C234="",ISBLANK(C234),C234=0),0,
   ISNUMBER(MATCH(C234,{2,3,5,7,11,13,17,19,23,29,31,37,41,43},0)),"소",
   AND(ISNUMBER(C234),MOD(C234,3)=0),"배",
   AND(ISNUMBER(C234),C234&gt;0),"자"
)</f>
        <v>0</v>
      </c>
      <c r="AE234" s="26" cm="1">
        <f t="array" ref="AE234">_xlfn.IFS(
   OR(D234="",ISBLANK(D234),D234=0),0,
   ISNUMBER(MATCH(D234,{2,3,5,7,11,13,17,19,23,29,31,37,41,43},0)),"소",
   AND(ISNUMBER(D234),MOD(D234,3)=0),"배",
   AND(ISNUMBER(D234),D234&gt;0),"자"
)</f>
        <v>0</v>
      </c>
      <c r="AF234" s="26" cm="1">
        <f t="array" ref="AF234">_xlfn.IFS(
   OR(E234="",ISBLANK(E234),E234=0),0,
   ISNUMBER(MATCH(E234,{2,3,5,7,11,13,17,19,23,29,31,37,41,43},0)),"소",
   AND(ISNUMBER(E234),MOD(E234,3)=0),"배",
   AND(ISNUMBER(E234),E234&gt;0),"자"
)</f>
        <v>0</v>
      </c>
      <c r="AG234" s="26" cm="1">
        <f t="array" ref="AG234">_xlfn.IFS(
   OR(F234="",ISBLANK(F234),F234=0),0,
   ISNUMBER(MATCH(F234,{2,3,5,7,11,13,17,19,23,29,31,37,41,43},0)),"소",
   AND(ISNUMBER(F234),MOD(F234,3)=0),"배",
   AND(ISNUMBER(F234),F234&gt;0),"자"
)</f>
        <v>0</v>
      </c>
      <c r="AH234" s="26" cm="1">
        <f t="array" ref="AH234">_xlfn.IFS(
   OR(G234="",ISBLANK(G234),G234=0),0,
   ISNUMBER(MATCH(G234,{2,3,5,7,11,13,17,19,23,29,31,37,41,43},0)),"소",
   AND(ISNUMBER(G234),MOD(G234,3)=0),"배",
   AND(ISNUMBER(G234),G234&gt;0),"자"
)</f>
        <v>0</v>
      </c>
      <c r="AI234" s="30"/>
      <c r="AJ234" s="3">
        <f t="shared" si="130"/>
        <v>0</v>
      </c>
      <c r="AK234" s="3">
        <f t="shared" si="131"/>
        <v>0</v>
      </c>
      <c r="AL234" s="3">
        <f t="shared" si="132"/>
        <v>6</v>
      </c>
      <c r="AM234" s="33"/>
      <c r="AN234" s="3">
        <f t="shared" si="133"/>
        <v>0</v>
      </c>
      <c r="AO234" s="3">
        <f t="shared" si="134"/>
        <v>0</v>
      </c>
      <c r="AP234" s="3">
        <f t="shared" si="135"/>
        <v>0</v>
      </c>
      <c r="AQ234" s="3">
        <f t="shared" si="136"/>
        <v>0</v>
      </c>
      <c r="AR234" s="3">
        <f t="shared" si="137"/>
        <v>0</v>
      </c>
      <c r="AS234" s="28" t="e">
        <f>#REF!</f>
        <v>#REF!</v>
      </c>
      <c r="AT234" s="28" t="e">
        <f>#REF!*2</f>
        <v>#REF!</v>
      </c>
      <c r="AU234" s="28" t="e">
        <f>#REF!</f>
        <v>#REF!</v>
      </c>
      <c r="AV234" s="28" t="e">
        <f>#REF!*2</f>
        <v>#REF!</v>
      </c>
      <c r="AW234" s="28" t="e">
        <f>#REF!</f>
        <v>#REF!</v>
      </c>
      <c r="AX234" s="28" t="e">
        <f>#REF!*2</f>
        <v>#REF!</v>
      </c>
      <c r="AY234" s="28" t="e">
        <f>#REF!</f>
        <v>#REF!</v>
      </c>
      <c r="AZ234" s="28" t="e">
        <f>#REF!*2</f>
        <v>#REF!</v>
      </c>
      <c r="BA234" s="28" t="e">
        <f>#REF!</f>
        <v>#REF!</v>
      </c>
      <c r="BB234" s="28" t="e">
        <f>#REF!*2</f>
        <v>#REF!</v>
      </c>
      <c r="BC234" s="28" t="e">
        <f>#REF!</f>
        <v>#REF!</v>
      </c>
      <c r="BD234" s="28" t="e">
        <f>#REF!*2</f>
        <v>#REF!</v>
      </c>
      <c r="BE234" s="9" t="e">
        <f>#REF!-#REF!</f>
        <v>#REF!</v>
      </c>
      <c r="BF234" s="9" t="e">
        <f>#REF!-#REF!</f>
        <v>#REF!</v>
      </c>
      <c r="BG234" s="9" t="e">
        <f>#REF!-#REF!</f>
        <v>#REF!</v>
      </c>
      <c r="BH234" s="9" t="e">
        <f>#REF!-#REF!</f>
        <v>#REF!</v>
      </c>
      <c r="BI234" s="9" t="e">
        <f>#REF!-#REF!</f>
        <v>#REF!</v>
      </c>
      <c r="BJ234" s="33"/>
      <c r="BK234" s="3">
        <f t="shared" si="138"/>
        <v>0</v>
      </c>
      <c r="BL234" s="3">
        <f t="shared" si="139"/>
        <v>0</v>
      </c>
      <c r="BM234" s="3">
        <f t="shared" si="140"/>
        <v>0</v>
      </c>
      <c r="BN234" s="3">
        <f t="shared" si="141"/>
        <v>0</v>
      </c>
      <c r="BO234" s="3">
        <f t="shared" si="142"/>
        <v>0</v>
      </c>
      <c r="BP234" s="28" t="e">
        <f>#REF!</f>
        <v>#REF!</v>
      </c>
      <c r="BQ234" s="28" t="e">
        <f>#REF!*2</f>
        <v>#REF!</v>
      </c>
      <c r="BR234" s="28" t="e">
        <f>#REF!</f>
        <v>#REF!</v>
      </c>
      <c r="BS234" s="28" t="e">
        <f>#REF!*2</f>
        <v>#REF!</v>
      </c>
      <c r="BT234" s="28" t="e">
        <f>#REF!</f>
        <v>#REF!</v>
      </c>
      <c r="BU234" s="28" t="e">
        <f>#REF!*2</f>
        <v>#REF!</v>
      </c>
      <c r="BV234" s="28" t="e">
        <f>#REF!</f>
        <v>#REF!</v>
      </c>
      <c r="BW234" s="28" t="e">
        <f>#REF!*2</f>
        <v>#REF!</v>
      </c>
      <c r="BX234" s="28" t="e">
        <f>#REF!</f>
        <v>#REF!</v>
      </c>
      <c r="BY234" s="28" t="e">
        <f>#REF!*2</f>
        <v>#REF!</v>
      </c>
      <c r="BZ234" s="28" t="e">
        <f>#REF!</f>
        <v>#REF!</v>
      </c>
      <c r="CA234" s="28" t="e">
        <f>#REF!*2</f>
        <v>#REF!</v>
      </c>
      <c r="CB234" s="9">
        <f t="shared" si="143"/>
        <v>0</v>
      </c>
      <c r="CC234" s="9">
        <f t="shared" si="144"/>
        <v>0</v>
      </c>
      <c r="CD234" s="9">
        <f t="shared" si="145"/>
        <v>0</v>
      </c>
      <c r="CE234" s="9">
        <f t="shared" si="146"/>
        <v>0</v>
      </c>
      <c r="CF234" s="9">
        <f t="shared" si="147"/>
        <v>0</v>
      </c>
      <c r="CG234" s="33"/>
      <c r="CH234" s="3">
        <f t="shared" si="148"/>
        <v>0</v>
      </c>
      <c r="CI234" s="3">
        <f t="shared" si="149"/>
        <v>0</v>
      </c>
      <c r="CJ234" s="3">
        <f t="shared" si="150"/>
        <v>0</v>
      </c>
      <c r="CK234" s="3">
        <f t="shared" si="151"/>
        <v>0</v>
      </c>
      <c r="CL234" s="3">
        <f t="shared" si="152"/>
        <v>0</v>
      </c>
      <c r="CM234" s="32"/>
      <c r="CN234" s="3">
        <f t="shared" si="153"/>
        <v>0</v>
      </c>
      <c r="CO234" s="3">
        <f t="shared" si="154"/>
        <v>0</v>
      </c>
      <c r="CP234" s="3">
        <f t="shared" si="155"/>
        <v>0</v>
      </c>
      <c r="CQ234" s="3">
        <f t="shared" si="156"/>
        <v>0</v>
      </c>
      <c r="CR234" s="3">
        <f t="shared" si="157"/>
        <v>0</v>
      </c>
      <c r="CS234" s="31"/>
      <c r="CT234" s="3" cm="1">
        <f t="array" ref="CT234">SUMPRODUCT(--(MOD(CH234:CL234,2)=1))</f>
        <v>0</v>
      </c>
      <c r="CU234" s="3">
        <f t="shared" si="158"/>
        <v>5</v>
      </c>
      <c r="CV234" s="30"/>
      <c r="CW234" s="3" cm="1">
        <f t="array" ref="CW234">SUMPRODUCT(--(MOD(CH234:CL234,10)&gt;=1), --(MOD(CH234:CL234,10)&lt;=5))</f>
        <v>0</v>
      </c>
      <c r="CX234" s="3">
        <f t="shared" si="159"/>
        <v>5</v>
      </c>
      <c r="CY234" s="30"/>
      <c r="CZ234" s="3" cm="1">
        <f t="array" ref="CZ234">IFERROR(COUNT(_xlfn._xlws.FILTER(CH234:CL234, ISNUMBER(MATCH(CH234:CL234, {2,3,5,7,11,13,17,19,23,29,31,37,41,43}, 0)))), 0)</f>
        <v>0</v>
      </c>
      <c r="DA234" s="3" cm="1">
        <f t="array" ref="DA234">IFERROR(COUNT(_xlfn._xlws.FILTER(CH234:CL234, ISNUMBER(MATCH(CH234:CL234, {1,4,8,10,14,16,20,22,25,26,28,32,34,35,38,40,44}, 0)))), 0)</f>
        <v>0</v>
      </c>
      <c r="DB234" s="3" cm="1">
        <f t="array" ref="DB234">IFERROR(COUNT(_xlfn._xlws.FILTER(CH234:CL234, ISNUMBER(MATCH(CH234:CL234, {6,9,12,15,18,21,24,27,30,33,36,39,42,45}, 0)))), 0)</f>
        <v>0</v>
      </c>
      <c r="DC234" s="29"/>
      <c r="DD234" s="28" t="e">
        <f>#REF!</f>
        <v>#REF!</v>
      </c>
      <c r="DE234" s="28" t="e">
        <f>#REF!*2</f>
        <v>#REF!</v>
      </c>
      <c r="DF234" s="28" t="e">
        <f>#REF!</f>
        <v>#REF!</v>
      </c>
      <c r="DG234" s="28" t="e">
        <f>#REF!*2</f>
        <v>#REF!</v>
      </c>
      <c r="DH234" s="28" t="e">
        <f>#REF!</f>
        <v>#REF!</v>
      </c>
      <c r="DI234" s="28" t="e">
        <f>#REF!*2</f>
        <v>#REF!</v>
      </c>
      <c r="DJ234" s="28" t="e">
        <f>#REF!</f>
        <v>#REF!</v>
      </c>
      <c r="DK234" s="28" t="e">
        <f>#REF!*2</f>
        <v>#REF!</v>
      </c>
      <c r="DL234" s="28" t="e">
        <f>#REF!</f>
        <v>#REF!</v>
      </c>
      <c r="DM234" s="28" t="e">
        <f>#REF!*2</f>
        <v>#REF!</v>
      </c>
      <c r="DN234" s="27"/>
      <c r="DO234" s="26"/>
      <c r="DP234" s="26"/>
      <c r="DQ234" s="26"/>
      <c r="DR234" s="26"/>
      <c r="DS234" s="26"/>
      <c r="DT234" s="25"/>
    </row>
    <row r="235" spans="2:124" x14ac:dyDescent="0.3"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2"/>
      <c r="I235" s="3">
        <f t="shared" si="120"/>
        <v>0</v>
      </c>
      <c r="J235" s="3">
        <f t="shared" si="121"/>
        <v>0</v>
      </c>
      <c r="K235" s="3">
        <f t="shared" si="122"/>
        <v>0</v>
      </c>
      <c r="L235" s="3">
        <f t="shared" si="123"/>
        <v>0</v>
      </c>
      <c r="M235" s="3">
        <f t="shared" si="124"/>
        <v>0</v>
      </c>
      <c r="N235" s="3">
        <f t="shared" si="125"/>
        <v>0</v>
      </c>
      <c r="O235" s="32"/>
      <c r="P235" s="3" cm="1">
        <f t="array" ref="P235">SUMPRODUCT(--(MOD(B235:G235,2)=1))</f>
        <v>0</v>
      </c>
      <c r="Q235" s="3">
        <f t="shared" si="126"/>
        <v>6</v>
      </c>
      <c r="R235" s="34"/>
      <c r="S235" s="3">
        <f t="shared" si="127"/>
        <v>0</v>
      </c>
      <c r="T235" s="3">
        <f t="shared" si="128"/>
        <v>6</v>
      </c>
      <c r="U235" s="34"/>
      <c r="V235" s="3" cm="1">
        <f t="array" ref="V235">SUMPRODUCT(--(MOD(B235:G235,10)&gt;=1), --(MOD(B235:G235,10)&lt;=5))</f>
        <v>0</v>
      </c>
      <c r="W235" s="3">
        <f t="shared" si="129"/>
        <v>6</v>
      </c>
      <c r="X235" s="34"/>
      <c r="Y235" s="3" cm="1">
        <f t="array" ref="Y235">IFERROR(COUNT(_xlfn._xlws.FILTER(B235:G235, ISNUMBER(MATCH(B235:G235, {2,3,5,7,11,13,17,19,23,29,31,37,41,43}, 0)))), 0)</f>
        <v>0</v>
      </c>
      <c r="Z235" s="3" cm="1">
        <f t="array" ref="Z235">IFERROR(COUNT(_xlfn._xlws.FILTER(B235:G235, ISNUMBER(MATCH(B235:G235, {1,4,8,10,14,16,20,22,25,26,28,32,34,35,38,40,44}, 0)))), 0)</f>
        <v>0</v>
      </c>
      <c r="AA235" s="3" cm="1">
        <f t="array" ref="AA235">IFERROR(COUNT(_xlfn._xlws.FILTER(B235:G235, ISNUMBER(MATCH(B235:G235, {6,9,12,15,18,21,24,27,30,33,36,39,42,45}, 0)))), 0)</f>
        <v>0</v>
      </c>
      <c r="AB235" s="30"/>
      <c r="AC235" s="26" cm="1">
        <f t="array" ref="AC235">_xlfn.IFS(
   OR(B235="",ISBLANK(B235),B235=0),0,
   ISNUMBER(MATCH(B235,{2,3,5,7,11,13,17,19,23,29,31,37,41,43},0)),"소",
   AND(ISNUMBER(B235),MOD(B235,3)=0),"배",
   AND(ISNUMBER(B235),B235&gt;0),"자"
)</f>
        <v>0</v>
      </c>
      <c r="AD235" s="26" cm="1">
        <f t="array" ref="AD235">_xlfn.IFS(
   OR(C235="",ISBLANK(C235),C235=0),0,
   ISNUMBER(MATCH(C235,{2,3,5,7,11,13,17,19,23,29,31,37,41,43},0)),"소",
   AND(ISNUMBER(C235),MOD(C235,3)=0),"배",
   AND(ISNUMBER(C235),C235&gt;0),"자"
)</f>
        <v>0</v>
      </c>
      <c r="AE235" s="26" cm="1">
        <f t="array" ref="AE235">_xlfn.IFS(
   OR(D235="",ISBLANK(D235),D235=0),0,
   ISNUMBER(MATCH(D235,{2,3,5,7,11,13,17,19,23,29,31,37,41,43},0)),"소",
   AND(ISNUMBER(D235),MOD(D235,3)=0),"배",
   AND(ISNUMBER(D235),D235&gt;0),"자"
)</f>
        <v>0</v>
      </c>
      <c r="AF235" s="26" cm="1">
        <f t="array" ref="AF235">_xlfn.IFS(
   OR(E235="",ISBLANK(E235),E235=0),0,
   ISNUMBER(MATCH(E235,{2,3,5,7,11,13,17,19,23,29,31,37,41,43},0)),"소",
   AND(ISNUMBER(E235),MOD(E235,3)=0),"배",
   AND(ISNUMBER(E235),E235&gt;0),"자"
)</f>
        <v>0</v>
      </c>
      <c r="AG235" s="26" cm="1">
        <f t="array" ref="AG235">_xlfn.IFS(
   OR(F235="",ISBLANK(F235),F235=0),0,
   ISNUMBER(MATCH(F235,{2,3,5,7,11,13,17,19,23,29,31,37,41,43},0)),"소",
   AND(ISNUMBER(F235),MOD(F235,3)=0),"배",
   AND(ISNUMBER(F235),F235&gt;0),"자"
)</f>
        <v>0</v>
      </c>
      <c r="AH235" s="26" cm="1">
        <f t="array" ref="AH235">_xlfn.IFS(
   OR(G235="",ISBLANK(G235),G235=0),0,
   ISNUMBER(MATCH(G235,{2,3,5,7,11,13,17,19,23,29,31,37,41,43},0)),"소",
   AND(ISNUMBER(G235),MOD(G235,3)=0),"배",
   AND(ISNUMBER(G235),G235&gt;0),"자"
)</f>
        <v>0</v>
      </c>
      <c r="AI235" s="30"/>
      <c r="AJ235" s="3">
        <f t="shared" si="130"/>
        <v>0</v>
      </c>
      <c r="AK235" s="3">
        <f t="shared" si="131"/>
        <v>0</v>
      </c>
      <c r="AL235" s="3">
        <f t="shared" si="132"/>
        <v>6</v>
      </c>
      <c r="AM235" s="33"/>
      <c r="AN235" s="3">
        <f t="shared" si="133"/>
        <v>0</v>
      </c>
      <c r="AO235" s="3">
        <f t="shared" si="134"/>
        <v>0</v>
      </c>
      <c r="AP235" s="3">
        <f t="shared" si="135"/>
        <v>0</v>
      </c>
      <c r="AQ235" s="3">
        <f t="shared" si="136"/>
        <v>0</v>
      </c>
      <c r="AR235" s="3">
        <f t="shared" si="137"/>
        <v>0</v>
      </c>
      <c r="AS235" s="28" t="e">
        <f>#REF!</f>
        <v>#REF!</v>
      </c>
      <c r="AT235" s="28" t="e">
        <f>#REF!*2</f>
        <v>#REF!</v>
      </c>
      <c r="AU235" s="28" t="e">
        <f>#REF!</f>
        <v>#REF!</v>
      </c>
      <c r="AV235" s="28" t="e">
        <f>#REF!*2</f>
        <v>#REF!</v>
      </c>
      <c r="AW235" s="28" t="e">
        <f>#REF!</f>
        <v>#REF!</v>
      </c>
      <c r="AX235" s="28" t="e">
        <f>#REF!*2</f>
        <v>#REF!</v>
      </c>
      <c r="AY235" s="28" t="e">
        <f>#REF!</f>
        <v>#REF!</v>
      </c>
      <c r="AZ235" s="28" t="e">
        <f>#REF!*2</f>
        <v>#REF!</v>
      </c>
      <c r="BA235" s="28" t="e">
        <f>#REF!</f>
        <v>#REF!</v>
      </c>
      <c r="BB235" s="28" t="e">
        <f>#REF!*2</f>
        <v>#REF!</v>
      </c>
      <c r="BC235" s="28" t="e">
        <f>#REF!</f>
        <v>#REF!</v>
      </c>
      <c r="BD235" s="28" t="e">
        <f>#REF!*2</f>
        <v>#REF!</v>
      </c>
      <c r="BE235" s="9" t="e">
        <f>#REF!-#REF!</f>
        <v>#REF!</v>
      </c>
      <c r="BF235" s="9" t="e">
        <f>#REF!-#REF!</f>
        <v>#REF!</v>
      </c>
      <c r="BG235" s="9" t="e">
        <f>#REF!-#REF!</f>
        <v>#REF!</v>
      </c>
      <c r="BH235" s="9" t="e">
        <f>#REF!-#REF!</f>
        <v>#REF!</v>
      </c>
      <c r="BI235" s="9" t="e">
        <f>#REF!-#REF!</f>
        <v>#REF!</v>
      </c>
      <c r="BJ235" s="33"/>
      <c r="BK235" s="3">
        <f t="shared" si="138"/>
        <v>0</v>
      </c>
      <c r="BL235" s="3">
        <f t="shared" si="139"/>
        <v>0</v>
      </c>
      <c r="BM235" s="3">
        <f t="shared" si="140"/>
        <v>0</v>
      </c>
      <c r="BN235" s="3">
        <f t="shared" si="141"/>
        <v>0</v>
      </c>
      <c r="BO235" s="3">
        <f t="shared" si="142"/>
        <v>0</v>
      </c>
      <c r="BP235" s="28" t="e">
        <f>#REF!</f>
        <v>#REF!</v>
      </c>
      <c r="BQ235" s="28" t="e">
        <f>#REF!*2</f>
        <v>#REF!</v>
      </c>
      <c r="BR235" s="28" t="e">
        <f>#REF!</f>
        <v>#REF!</v>
      </c>
      <c r="BS235" s="28" t="e">
        <f>#REF!*2</f>
        <v>#REF!</v>
      </c>
      <c r="BT235" s="28" t="e">
        <f>#REF!</f>
        <v>#REF!</v>
      </c>
      <c r="BU235" s="28" t="e">
        <f>#REF!*2</f>
        <v>#REF!</v>
      </c>
      <c r="BV235" s="28" t="e">
        <f>#REF!</f>
        <v>#REF!</v>
      </c>
      <c r="BW235" s="28" t="e">
        <f>#REF!*2</f>
        <v>#REF!</v>
      </c>
      <c r="BX235" s="28" t="e">
        <f>#REF!</f>
        <v>#REF!</v>
      </c>
      <c r="BY235" s="28" t="e">
        <f>#REF!*2</f>
        <v>#REF!</v>
      </c>
      <c r="BZ235" s="28" t="e">
        <f>#REF!</f>
        <v>#REF!</v>
      </c>
      <c r="CA235" s="28" t="e">
        <f>#REF!*2</f>
        <v>#REF!</v>
      </c>
      <c r="CB235" s="9">
        <f t="shared" si="143"/>
        <v>0</v>
      </c>
      <c r="CC235" s="9">
        <f t="shared" si="144"/>
        <v>0</v>
      </c>
      <c r="CD235" s="9">
        <f t="shared" si="145"/>
        <v>0</v>
      </c>
      <c r="CE235" s="9">
        <f t="shared" si="146"/>
        <v>0</v>
      </c>
      <c r="CF235" s="9">
        <f t="shared" si="147"/>
        <v>0</v>
      </c>
      <c r="CG235" s="33"/>
      <c r="CH235" s="3">
        <f t="shared" si="148"/>
        <v>0</v>
      </c>
      <c r="CI235" s="3">
        <f t="shared" si="149"/>
        <v>0</v>
      </c>
      <c r="CJ235" s="3">
        <f t="shared" si="150"/>
        <v>0</v>
      </c>
      <c r="CK235" s="3">
        <f t="shared" si="151"/>
        <v>0</v>
      </c>
      <c r="CL235" s="3">
        <f t="shared" si="152"/>
        <v>0</v>
      </c>
      <c r="CM235" s="32"/>
      <c r="CN235" s="3">
        <f t="shared" si="153"/>
        <v>0</v>
      </c>
      <c r="CO235" s="3">
        <f t="shared" si="154"/>
        <v>0</v>
      </c>
      <c r="CP235" s="3">
        <f t="shared" si="155"/>
        <v>0</v>
      </c>
      <c r="CQ235" s="3">
        <f t="shared" si="156"/>
        <v>0</v>
      </c>
      <c r="CR235" s="3">
        <f t="shared" si="157"/>
        <v>0</v>
      </c>
      <c r="CS235" s="31"/>
      <c r="CT235" s="3" cm="1">
        <f t="array" ref="CT235">SUMPRODUCT(--(MOD(CH235:CL235,2)=1))</f>
        <v>0</v>
      </c>
      <c r="CU235" s="3">
        <f t="shared" si="158"/>
        <v>5</v>
      </c>
      <c r="CV235" s="30"/>
      <c r="CW235" s="3" cm="1">
        <f t="array" ref="CW235">SUMPRODUCT(--(MOD(CH235:CL235,10)&gt;=1), --(MOD(CH235:CL235,10)&lt;=5))</f>
        <v>0</v>
      </c>
      <c r="CX235" s="3">
        <f t="shared" si="159"/>
        <v>5</v>
      </c>
      <c r="CY235" s="30"/>
      <c r="CZ235" s="3" cm="1">
        <f t="array" ref="CZ235">IFERROR(COUNT(_xlfn._xlws.FILTER(CH235:CL235, ISNUMBER(MATCH(CH235:CL235, {2,3,5,7,11,13,17,19,23,29,31,37,41,43}, 0)))), 0)</f>
        <v>0</v>
      </c>
      <c r="DA235" s="3" cm="1">
        <f t="array" ref="DA235">IFERROR(COUNT(_xlfn._xlws.FILTER(CH235:CL235, ISNUMBER(MATCH(CH235:CL235, {1,4,8,10,14,16,20,22,25,26,28,32,34,35,38,40,44}, 0)))), 0)</f>
        <v>0</v>
      </c>
      <c r="DB235" s="3" cm="1">
        <f t="array" ref="DB235">IFERROR(COUNT(_xlfn._xlws.FILTER(CH235:CL235, ISNUMBER(MATCH(CH235:CL235, {6,9,12,15,18,21,24,27,30,33,36,39,42,45}, 0)))), 0)</f>
        <v>0</v>
      </c>
      <c r="DC235" s="29"/>
      <c r="DD235" s="28" t="e">
        <f>#REF!</f>
        <v>#REF!</v>
      </c>
      <c r="DE235" s="28" t="e">
        <f>#REF!*2</f>
        <v>#REF!</v>
      </c>
      <c r="DF235" s="28" t="e">
        <f>#REF!</f>
        <v>#REF!</v>
      </c>
      <c r="DG235" s="28" t="e">
        <f>#REF!*2</f>
        <v>#REF!</v>
      </c>
      <c r="DH235" s="28" t="e">
        <f>#REF!</f>
        <v>#REF!</v>
      </c>
      <c r="DI235" s="28" t="e">
        <f>#REF!*2</f>
        <v>#REF!</v>
      </c>
      <c r="DJ235" s="28" t="e">
        <f>#REF!</f>
        <v>#REF!</v>
      </c>
      <c r="DK235" s="28" t="e">
        <f>#REF!*2</f>
        <v>#REF!</v>
      </c>
      <c r="DL235" s="28" t="e">
        <f>#REF!</f>
        <v>#REF!</v>
      </c>
      <c r="DM235" s="28" t="e">
        <f>#REF!*2</f>
        <v>#REF!</v>
      </c>
      <c r="DN235" s="27"/>
      <c r="DO235" s="26"/>
      <c r="DP235" s="26"/>
      <c r="DQ235" s="26"/>
      <c r="DR235" s="26"/>
      <c r="DS235" s="26"/>
      <c r="DT235" s="25"/>
    </row>
    <row r="236" spans="2:124" x14ac:dyDescent="0.3"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2"/>
      <c r="I236" s="3">
        <f t="shared" si="120"/>
        <v>0</v>
      </c>
      <c r="J236" s="3">
        <f t="shared" si="121"/>
        <v>0</v>
      </c>
      <c r="K236" s="3">
        <f t="shared" si="122"/>
        <v>0</v>
      </c>
      <c r="L236" s="3">
        <f t="shared" si="123"/>
        <v>0</v>
      </c>
      <c r="M236" s="3">
        <f t="shared" si="124"/>
        <v>0</v>
      </c>
      <c r="N236" s="3">
        <f t="shared" si="125"/>
        <v>0</v>
      </c>
      <c r="O236" s="32"/>
      <c r="P236" s="3" cm="1">
        <f t="array" ref="P236">SUMPRODUCT(--(MOD(B236:G236,2)=1))</f>
        <v>0</v>
      </c>
      <c r="Q236" s="3">
        <f t="shared" si="126"/>
        <v>6</v>
      </c>
      <c r="R236" s="34"/>
      <c r="S236" s="3">
        <f t="shared" si="127"/>
        <v>0</v>
      </c>
      <c r="T236" s="3">
        <f t="shared" si="128"/>
        <v>6</v>
      </c>
      <c r="U236" s="34"/>
      <c r="V236" s="3" cm="1">
        <f t="array" ref="V236">SUMPRODUCT(--(MOD(B236:G236,10)&gt;=1), --(MOD(B236:G236,10)&lt;=5))</f>
        <v>0</v>
      </c>
      <c r="W236" s="3">
        <f t="shared" si="129"/>
        <v>6</v>
      </c>
      <c r="X236" s="34"/>
      <c r="Y236" s="3" cm="1">
        <f t="array" ref="Y236">IFERROR(COUNT(_xlfn._xlws.FILTER(B236:G236, ISNUMBER(MATCH(B236:G236, {2,3,5,7,11,13,17,19,23,29,31,37,41,43}, 0)))), 0)</f>
        <v>0</v>
      </c>
      <c r="Z236" s="3" cm="1">
        <f t="array" ref="Z236">IFERROR(COUNT(_xlfn._xlws.FILTER(B236:G236, ISNUMBER(MATCH(B236:G236, {1,4,8,10,14,16,20,22,25,26,28,32,34,35,38,40,44}, 0)))), 0)</f>
        <v>0</v>
      </c>
      <c r="AA236" s="3" cm="1">
        <f t="array" ref="AA236">IFERROR(COUNT(_xlfn._xlws.FILTER(B236:G236, ISNUMBER(MATCH(B236:G236, {6,9,12,15,18,21,24,27,30,33,36,39,42,45}, 0)))), 0)</f>
        <v>0</v>
      </c>
      <c r="AB236" s="30"/>
      <c r="AC236" s="26" cm="1">
        <f t="array" ref="AC236">_xlfn.IFS(
   OR(B236="",ISBLANK(B236),B236=0),0,
   ISNUMBER(MATCH(B236,{2,3,5,7,11,13,17,19,23,29,31,37,41,43},0)),"소",
   AND(ISNUMBER(B236),MOD(B236,3)=0),"배",
   AND(ISNUMBER(B236),B236&gt;0),"자"
)</f>
        <v>0</v>
      </c>
      <c r="AD236" s="26" cm="1">
        <f t="array" ref="AD236">_xlfn.IFS(
   OR(C236="",ISBLANK(C236),C236=0),0,
   ISNUMBER(MATCH(C236,{2,3,5,7,11,13,17,19,23,29,31,37,41,43},0)),"소",
   AND(ISNUMBER(C236),MOD(C236,3)=0),"배",
   AND(ISNUMBER(C236),C236&gt;0),"자"
)</f>
        <v>0</v>
      </c>
      <c r="AE236" s="26" cm="1">
        <f t="array" ref="AE236">_xlfn.IFS(
   OR(D236="",ISBLANK(D236),D236=0),0,
   ISNUMBER(MATCH(D236,{2,3,5,7,11,13,17,19,23,29,31,37,41,43},0)),"소",
   AND(ISNUMBER(D236),MOD(D236,3)=0),"배",
   AND(ISNUMBER(D236),D236&gt;0),"자"
)</f>
        <v>0</v>
      </c>
      <c r="AF236" s="26" cm="1">
        <f t="array" ref="AF236">_xlfn.IFS(
   OR(E236="",ISBLANK(E236),E236=0),0,
   ISNUMBER(MATCH(E236,{2,3,5,7,11,13,17,19,23,29,31,37,41,43},0)),"소",
   AND(ISNUMBER(E236),MOD(E236,3)=0),"배",
   AND(ISNUMBER(E236),E236&gt;0),"자"
)</f>
        <v>0</v>
      </c>
      <c r="AG236" s="26" cm="1">
        <f t="array" ref="AG236">_xlfn.IFS(
   OR(F236="",ISBLANK(F236),F236=0),0,
   ISNUMBER(MATCH(F236,{2,3,5,7,11,13,17,19,23,29,31,37,41,43},0)),"소",
   AND(ISNUMBER(F236),MOD(F236,3)=0),"배",
   AND(ISNUMBER(F236),F236&gt;0),"자"
)</f>
        <v>0</v>
      </c>
      <c r="AH236" s="26" cm="1">
        <f t="array" ref="AH236">_xlfn.IFS(
   OR(G236="",ISBLANK(G236),G236=0),0,
   ISNUMBER(MATCH(G236,{2,3,5,7,11,13,17,19,23,29,31,37,41,43},0)),"소",
   AND(ISNUMBER(G236),MOD(G236,3)=0),"배",
   AND(ISNUMBER(G236),G236&gt;0),"자"
)</f>
        <v>0</v>
      </c>
      <c r="AI236" s="30"/>
      <c r="AJ236" s="3">
        <f t="shared" si="130"/>
        <v>0</v>
      </c>
      <c r="AK236" s="3">
        <f t="shared" si="131"/>
        <v>0</v>
      </c>
      <c r="AL236" s="3">
        <f t="shared" si="132"/>
        <v>6</v>
      </c>
      <c r="AM236" s="33"/>
      <c r="AN236" s="3">
        <f t="shared" si="133"/>
        <v>0</v>
      </c>
      <c r="AO236" s="3">
        <f t="shared" si="134"/>
        <v>0</v>
      </c>
      <c r="AP236" s="3">
        <f t="shared" si="135"/>
        <v>0</v>
      </c>
      <c r="AQ236" s="3">
        <f t="shared" si="136"/>
        <v>0</v>
      </c>
      <c r="AR236" s="3">
        <f t="shared" si="137"/>
        <v>0</v>
      </c>
      <c r="AS236" s="28" t="e">
        <f>#REF!</f>
        <v>#REF!</v>
      </c>
      <c r="AT236" s="28" t="e">
        <f>#REF!*2</f>
        <v>#REF!</v>
      </c>
      <c r="AU236" s="28" t="e">
        <f>#REF!</f>
        <v>#REF!</v>
      </c>
      <c r="AV236" s="28" t="e">
        <f>#REF!*2</f>
        <v>#REF!</v>
      </c>
      <c r="AW236" s="28" t="e">
        <f>#REF!</f>
        <v>#REF!</v>
      </c>
      <c r="AX236" s="28" t="e">
        <f>#REF!*2</f>
        <v>#REF!</v>
      </c>
      <c r="AY236" s="28" t="e">
        <f>#REF!</f>
        <v>#REF!</v>
      </c>
      <c r="AZ236" s="28" t="e">
        <f>#REF!*2</f>
        <v>#REF!</v>
      </c>
      <c r="BA236" s="28" t="e">
        <f>#REF!</f>
        <v>#REF!</v>
      </c>
      <c r="BB236" s="28" t="e">
        <f>#REF!*2</f>
        <v>#REF!</v>
      </c>
      <c r="BC236" s="28" t="e">
        <f>#REF!</f>
        <v>#REF!</v>
      </c>
      <c r="BD236" s="28" t="e">
        <f>#REF!*2</f>
        <v>#REF!</v>
      </c>
      <c r="BE236" s="9" t="e">
        <f>#REF!-#REF!</f>
        <v>#REF!</v>
      </c>
      <c r="BF236" s="9" t="e">
        <f>#REF!-#REF!</f>
        <v>#REF!</v>
      </c>
      <c r="BG236" s="9" t="e">
        <f>#REF!-#REF!</f>
        <v>#REF!</v>
      </c>
      <c r="BH236" s="9" t="e">
        <f>#REF!-#REF!</f>
        <v>#REF!</v>
      </c>
      <c r="BI236" s="9" t="e">
        <f>#REF!-#REF!</f>
        <v>#REF!</v>
      </c>
      <c r="BJ236" s="33"/>
      <c r="BK236" s="3">
        <f t="shared" si="138"/>
        <v>0</v>
      </c>
      <c r="BL236" s="3">
        <f t="shared" si="139"/>
        <v>0</v>
      </c>
      <c r="BM236" s="3">
        <f t="shared" si="140"/>
        <v>0</v>
      </c>
      <c r="BN236" s="3">
        <f t="shared" si="141"/>
        <v>0</v>
      </c>
      <c r="BO236" s="3">
        <f t="shared" si="142"/>
        <v>0</v>
      </c>
      <c r="BP236" s="28" t="e">
        <f>#REF!</f>
        <v>#REF!</v>
      </c>
      <c r="BQ236" s="28" t="e">
        <f>#REF!*2</f>
        <v>#REF!</v>
      </c>
      <c r="BR236" s="28" t="e">
        <f>#REF!</f>
        <v>#REF!</v>
      </c>
      <c r="BS236" s="28" t="e">
        <f>#REF!*2</f>
        <v>#REF!</v>
      </c>
      <c r="BT236" s="28" t="e">
        <f>#REF!</f>
        <v>#REF!</v>
      </c>
      <c r="BU236" s="28" t="e">
        <f>#REF!*2</f>
        <v>#REF!</v>
      </c>
      <c r="BV236" s="28" t="e">
        <f>#REF!</f>
        <v>#REF!</v>
      </c>
      <c r="BW236" s="28" t="e">
        <f>#REF!*2</f>
        <v>#REF!</v>
      </c>
      <c r="BX236" s="28" t="e">
        <f>#REF!</f>
        <v>#REF!</v>
      </c>
      <c r="BY236" s="28" t="e">
        <f>#REF!*2</f>
        <v>#REF!</v>
      </c>
      <c r="BZ236" s="28" t="e">
        <f>#REF!</f>
        <v>#REF!</v>
      </c>
      <c r="CA236" s="28" t="e">
        <f>#REF!*2</f>
        <v>#REF!</v>
      </c>
      <c r="CB236" s="9">
        <f t="shared" si="143"/>
        <v>0</v>
      </c>
      <c r="CC236" s="9">
        <f t="shared" si="144"/>
        <v>0</v>
      </c>
      <c r="CD236" s="9">
        <f t="shared" si="145"/>
        <v>0</v>
      </c>
      <c r="CE236" s="9">
        <f t="shared" si="146"/>
        <v>0</v>
      </c>
      <c r="CF236" s="9">
        <f t="shared" si="147"/>
        <v>0</v>
      </c>
      <c r="CG236" s="33"/>
      <c r="CH236" s="3">
        <f t="shared" si="148"/>
        <v>0</v>
      </c>
      <c r="CI236" s="3">
        <f t="shared" si="149"/>
        <v>0</v>
      </c>
      <c r="CJ236" s="3">
        <f t="shared" si="150"/>
        <v>0</v>
      </c>
      <c r="CK236" s="3">
        <f t="shared" si="151"/>
        <v>0</v>
      </c>
      <c r="CL236" s="3">
        <f t="shared" si="152"/>
        <v>0</v>
      </c>
      <c r="CM236" s="32"/>
      <c r="CN236" s="3">
        <f t="shared" si="153"/>
        <v>0</v>
      </c>
      <c r="CO236" s="3">
        <f t="shared" si="154"/>
        <v>0</v>
      </c>
      <c r="CP236" s="3">
        <f t="shared" si="155"/>
        <v>0</v>
      </c>
      <c r="CQ236" s="3">
        <f t="shared" si="156"/>
        <v>0</v>
      </c>
      <c r="CR236" s="3">
        <f t="shared" si="157"/>
        <v>0</v>
      </c>
      <c r="CS236" s="31"/>
      <c r="CT236" s="3" cm="1">
        <f t="array" ref="CT236">SUMPRODUCT(--(MOD(CH236:CL236,2)=1))</f>
        <v>0</v>
      </c>
      <c r="CU236" s="3">
        <f t="shared" si="158"/>
        <v>5</v>
      </c>
      <c r="CV236" s="30"/>
      <c r="CW236" s="3" cm="1">
        <f t="array" ref="CW236">SUMPRODUCT(--(MOD(CH236:CL236,10)&gt;=1), --(MOD(CH236:CL236,10)&lt;=5))</f>
        <v>0</v>
      </c>
      <c r="CX236" s="3">
        <f t="shared" si="159"/>
        <v>5</v>
      </c>
      <c r="CY236" s="30"/>
      <c r="CZ236" s="3" cm="1">
        <f t="array" ref="CZ236">IFERROR(COUNT(_xlfn._xlws.FILTER(CH236:CL236, ISNUMBER(MATCH(CH236:CL236, {2,3,5,7,11,13,17,19,23,29,31,37,41,43}, 0)))), 0)</f>
        <v>0</v>
      </c>
      <c r="DA236" s="3" cm="1">
        <f t="array" ref="DA236">IFERROR(COUNT(_xlfn._xlws.FILTER(CH236:CL236, ISNUMBER(MATCH(CH236:CL236, {1,4,8,10,14,16,20,22,25,26,28,32,34,35,38,40,44}, 0)))), 0)</f>
        <v>0</v>
      </c>
      <c r="DB236" s="3" cm="1">
        <f t="array" ref="DB236">IFERROR(COUNT(_xlfn._xlws.FILTER(CH236:CL236, ISNUMBER(MATCH(CH236:CL236, {6,9,12,15,18,21,24,27,30,33,36,39,42,45}, 0)))), 0)</f>
        <v>0</v>
      </c>
      <c r="DC236" s="29"/>
      <c r="DD236" s="28" t="e">
        <f>#REF!</f>
        <v>#REF!</v>
      </c>
      <c r="DE236" s="28" t="e">
        <f>#REF!*2</f>
        <v>#REF!</v>
      </c>
      <c r="DF236" s="28" t="e">
        <f>#REF!</f>
        <v>#REF!</v>
      </c>
      <c r="DG236" s="28" t="e">
        <f>#REF!*2</f>
        <v>#REF!</v>
      </c>
      <c r="DH236" s="28" t="e">
        <f>#REF!</f>
        <v>#REF!</v>
      </c>
      <c r="DI236" s="28" t="e">
        <f>#REF!*2</f>
        <v>#REF!</v>
      </c>
      <c r="DJ236" s="28" t="e">
        <f>#REF!</f>
        <v>#REF!</v>
      </c>
      <c r="DK236" s="28" t="e">
        <f>#REF!*2</f>
        <v>#REF!</v>
      </c>
      <c r="DL236" s="28" t="e">
        <f>#REF!</f>
        <v>#REF!</v>
      </c>
      <c r="DM236" s="28" t="e">
        <f>#REF!*2</f>
        <v>#REF!</v>
      </c>
      <c r="DN236" s="27"/>
      <c r="DO236" s="26"/>
      <c r="DP236" s="26"/>
      <c r="DQ236" s="26"/>
      <c r="DR236" s="26"/>
      <c r="DS236" s="26"/>
      <c r="DT236" s="25"/>
    </row>
    <row r="237" spans="2:124" x14ac:dyDescent="0.3"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2"/>
      <c r="I237" s="3">
        <f t="shared" si="120"/>
        <v>0</v>
      </c>
      <c r="J237" s="3">
        <f t="shared" si="121"/>
        <v>0</v>
      </c>
      <c r="K237" s="3">
        <f t="shared" si="122"/>
        <v>0</v>
      </c>
      <c r="L237" s="3">
        <f t="shared" si="123"/>
        <v>0</v>
      </c>
      <c r="M237" s="3">
        <f t="shared" si="124"/>
        <v>0</v>
      </c>
      <c r="N237" s="3">
        <f t="shared" si="125"/>
        <v>0</v>
      </c>
      <c r="O237" s="32"/>
      <c r="P237" s="3" cm="1">
        <f t="array" ref="P237">SUMPRODUCT(--(MOD(B237:G237,2)=1))</f>
        <v>0</v>
      </c>
      <c r="Q237" s="3">
        <f t="shared" si="126"/>
        <v>6</v>
      </c>
      <c r="R237" s="34"/>
      <c r="S237" s="3">
        <f t="shared" si="127"/>
        <v>0</v>
      </c>
      <c r="T237" s="3">
        <f t="shared" si="128"/>
        <v>6</v>
      </c>
      <c r="U237" s="34"/>
      <c r="V237" s="3" cm="1">
        <f t="array" ref="V237">SUMPRODUCT(--(MOD(B237:G237,10)&gt;=1), --(MOD(B237:G237,10)&lt;=5))</f>
        <v>0</v>
      </c>
      <c r="W237" s="3">
        <f t="shared" si="129"/>
        <v>6</v>
      </c>
      <c r="X237" s="34"/>
      <c r="Y237" s="3" cm="1">
        <f t="array" ref="Y237">IFERROR(COUNT(_xlfn._xlws.FILTER(B237:G237, ISNUMBER(MATCH(B237:G237, {2,3,5,7,11,13,17,19,23,29,31,37,41,43}, 0)))), 0)</f>
        <v>0</v>
      </c>
      <c r="Z237" s="3" cm="1">
        <f t="array" ref="Z237">IFERROR(COUNT(_xlfn._xlws.FILTER(B237:G237, ISNUMBER(MATCH(B237:G237, {1,4,8,10,14,16,20,22,25,26,28,32,34,35,38,40,44}, 0)))), 0)</f>
        <v>0</v>
      </c>
      <c r="AA237" s="3" cm="1">
        <f t="array" ref="AA237">IFERROR(COUNT(_xlfn._xlws.FILTER(B237:G237, ISNUMBER(MATCH(B237:G237, {6,9,12,15,18,21,24,27,30,33,36,39,42,45}, 0)))), 0)</f>
        <v>0</v>
      </c>
      <c r="AB237" s="30"/>
      <c r="AC237" s="26" cm="1">
        <f t="array" ref="AC237">_xlfn.IFS(
   OR(B237="",ISBLANK(B237),B237=0),0,
   ISNUMBER(MATCH(B237,{2,3,5,7,11,13,17,19,23,29,31,37,41,43},0)),"소",
   AND(ISNUMBER(B237),MOD(B237,3)=0),"배",
   AND(ISNUMBER(B237),B237&gt;0),"자"
)</f>
        <v>0</v>
      </c>
      <c r="AD237" s="26" cm="1">
        <f t="array" ref="AD237">_xlfn.IFS(
   OR(C237="",ISBLANK(C237),C237=0),0,
   ISNUMBER(MATCH(C237,{2,3,5,7,11,13,17,19,23,29,31,37,41,43},0)),"소",
   AND(ISNUMBER(C237),MOD(C237,3)=0),"배",
   AND(ISNUMBER(C237),C237&gt;0),"자"
)</f>
        <v>0</v>
      </c>
      <c r="AE237" s="26" cm="1">
        <f t="array" ref="AE237">_xlfn.IFS(
   OR(D237="",ISBLANK(D237),D237=0),0,
   ISNUMBER(MATCH(D237,{2,3,5,7,11,13,17,19,23,29,31,37,41,43},0)),"소",
   AND(ISNUMBER(D237),MOD(D237,3)=0),"배",
   AND(ISNUMBER(D237),D237&gt;0),"자"
)</f>
        <v>0</v>
      </c>
      <c r="AF237" s="26" cm="1">
        <f t="array" ref="AF237">_xlfn.IFS(
   OR(E237="",ISBLANK(E237),E237=0),0,
   ISNUMBER(MATCH(E237,{2,3,5,7,11,13,17,19,23,29,31,37,41,43},0)),"소",
   AND(ISNUMBER(E237),MOD(E237,3)=0),"배",
   AND(ISNUMBER(E237),E237&gt;0),"자"
)</f>
        <v>0</v>
      </c>
      <c r="AG237" s="26" cm="1">
        <f t="array" ref="AG237">_xlfn.IFS(
   OR(F237="",ISBLANK(F237),F237=0),0,
   ISNUMBER(MATCH(F237,{2,3,5,7,11,13,17,19,23,29,31,37,41,43},0)),"소",
   AND(ISNUMBER(F237),MOD(F237,3)=0),"배",
   AND(ISNUMBER(F237),F237&gt;0),"자"
)</f>
        <v>0</v>
      </c>
      <c r="AH237" s="26" cm="1">
        <f t="array" ref="AH237">_xlfn.IFS(
   OR(G237="",ISBLANK(G237),G237=0),0,
   ISNUMBER(MATCH(G237,{2,3,5,7,11,13,17,19,23,29,31,37,41,43},0)),"소",
   AND(ISNUMBER(G237),MOD(G237,3)=0),"배",
   AND(ISNUMBER(G237),G237&gt;0),"자"
)</f>
        <v>0</v>
      </c>
      <c r="AI237" s="30"/>
      <c r="AJ237" s="3">
        <f t="shared" si="130"/>
        <v>0</v>
      </c>
      <c r="AK237" s="3">
        <f t="shared" si="131"/>
        <v>0</v>
      </c>
      <c r="AL237" s="3">
        <f t="shared" si="132"/>
        <v>6</v>
      </c>
      <c r="AM237" s="33"/>
      <c r="AN237" s="3">
        <f t="shared" si="133"/>
        <v>0</v>
      </c>
      <c r="AO237" s="3">
        <f t="shared" si="134"/>
        <v>0</v>
      </c>
      <c r="AP237" s="3">
        <f t="shared" si="135"/>
        <v>0</v>
      </c>
      <c r="AQ237" s="3">
        <f t="shared" si="136"/>
        <v>0</v>
      </c>
      <c r="AR237" s="3">
        <f t="shared" si="137"/>
        <v>0</v>
      </c>
      <c r="AS237" s="28" t="e">
        <f>#REF!</f>
        <v>#REF!</v>
      </c>
      <c r="AT237" s="28" t="e">
        <f>#REF!*2</f>
        <v>#REF!</v>
      </c>
      <c r="AU237" s="28" t="e">
        <f>#REF!</f>
        <v>#REF!</v>
      </c>
      <c r="AV237" s="28" t="e">
        <f>#REF!*2</f>
        <v>#REF!</v>
      </c>
      <c r="AW237" s="28" t="e">
        <f>#REF!</f>
        <v>#REF!</v>
      </c>
      <c r="AX237" s="28" t="e">
        <f>#REF!*2</f>
        <v>#REF!</v>
      </c>
      <c r="AY237" s="28" t="e">
        <f>#REF!</f>
        <v>#REF!</v>
      </c>
      <c r="AZ237" s="28" t="e">
        <f>#REF!*2</f>
        <v>#REF!</v>
      </c>
      <c r="BA237" s="28" t="e">
        <f>#REF!</f>
        <v>#REF!</v>
      </c>
      <c r="BB237" s="28" t="e">
        <f>#REF!*2</f>
        <v>#REF!</v>
      </c>
      <c r="BC237" s="28" t="e">
        <f>#REF!</f>
        <v>#REF!</v>
      </c>
      <c r="BD237" s="28" t="e">
        <f>#REF!*2</f>
        <v>#REF!</v>
      </c>
      <c r="BE237" s="9" t="e">
        <f>#REF!-#REF!</f>
        <v>#REF!</v>
      </c>
      <c r="BF237" s="9" t="e">
        <f>#REF!-#REF!</f>
        <v>#REF!</v>
      </c>
      <c r="BG237" s="9" t="e">
        <f>#REF!-#REF!</f>
        <v>#REF!</v>
      </c>
      <c r="BH237" s="9" t="e">
        <f>#REF!-#REF!</f>
        <v>#REF!</v>
      </c>
      <c r="BI237" s="9" t="e">
        <f>#REF!-#REF!</f>
        <v>#REF!</v>
      </c>
      <c r="BJ237" s="33"/>
      <c r="BK237" s="3">
        <f t="shared" si="138"/>
        <v>0</v>
      </c>
      <c r="BL237" s="3">
        <f t="shared" si="139"/>
        <v>0</v>
      </c>
      <c r="BM237" s="3">
        <f t="shared" si="140"/>
        <v>0</v>
      </c>
      <c r="BN237" s="3">
        <f t="shared" si="141"/>
        <v>0</v>
      </c>
      <c r="BO237" s="3">
        <f t="shared" si="142"/>
        <v>0</v>
      </c>
      <c r="BP237" s="28" t="e">
        <f>#REF!</f>
        <v>#REF!</v>
      </c>
      <c r="BQ237" s="28" t="e">
        <f>#REF!*2</f>
        <v>#REF!</v>
      </c>
      <c r="BR237" s="28" t="e">
        <f>#REF!</f>
        <v>#REF!</v>
      </c>
      <c r="BS237" s="28" t="e">
        <f>#REF!*2</f>
        <v>#REF!</v>
      </c>
      <c r="BT237" s="28" t="e">
        <f>#REF!</f>
        <v>#REF!</v>
      </c>
      <c r="BU237" s="28" t="e">
        <f>#REF!*2</f>
        <v>#REF!</v>
      </c>
      <c r="BV237" s="28" t="e">
        <f>#REF!</f>
        <v>#REF!</v>
      </c>
      <c r="BW237" s="28" t="e">
        <f>#REF!*2</f>
        <v>#REF!</v>
      </c>
      <c r="BX237" s="28" t="e">
        <f>#REF!</f>
        <v>#REF!</v>
      </c>
      <c r="BY237" s="28" t="e">
        <f>#REF!*2</f>
        <v>#REF!</v>
      </c>
      <c r="BZ237" s="28" t="e">
        <f>#REF!</f>
        <v>#REF!</v>
      </c>
      <c r="CA237" s="28" t="e">
        <f>#REF!*2</f>
        <v>#REF!</v>
      </c>
      <c r="CB237" s="9">
        <f t="shared" si="143"/>
        <v>0</v>
      </c>
      <c r="CC237" s="9">
        <f t="shared" si="144"/>
        <v>0</v>
      </c>
      <c r="CD237" s="9">
        <f t="shared" si="145"/>
        <v>0</v>
      </c>
      <c r="CE237" s="9">
        <f t="shared" si="146"/>
        <v>0</v>
      </c>
      <c r="CF237" s="9">
        <f t="shared" si="147"/>
        <v>0</v>
      </c>
      <c r="CG237" s="33"/>
      <c r="CH237" s="3">
        <f t="shared" si="148"/>
        <v>0</v>
      </c>
      <c r="CI237" s="3">
        <f t="shared" si="149"/>
        <v>0</v>
      </c>
      <c r="CJ237" s="3">
        <f t="shared" si="150"/>
        <v>0</v>
      </c>
      <c r="CK237" s="3">
        <f t="shared" si="151"/>
        <v>0</v>
      </c>
      <c r="CL237" s="3">
        <f t="shared" si="152"/>
        <v>0</v>
      </c>
      <c r="CM237" s="32"/>
      <c r="CN237" s="3">
        <f t="shared" si="153"/>
        <v>0</v>
      </c>
      <c r="CO237" s="3">
        <f t="shared" si="154"/>
        <v>0</v>
      </c>
      <c r="CP237" s="3">
        <f t="shared" si="155"/>
        <v>0</v>
      </c>
      <c r="CQ237" s="3">
        <f t="shared" si="156"/>
        <v>0</v>
      </c>
      <c r="CR237" s="3">
        <f t="shared" si="157"/>
        <v>0</v>
      </c>
      <c r="CS237" s="31"/>
      <c r="CT237" s="3" cm="1">
        <f t="array" ref="CT237">SUMPRODUCT(--(MOD(CH237:CL237,2)=1))</f>
        <v>0</v>
      </c>
      <c r="CU237" s="3">
        <f t="shared" si="158"/>
        <v>5</v>
      </c>
      <c r="CV237" s="30"/>
      <c r="CW237" s="3" cm="1">
        <f t="array" ref="CW237">SUMPRODUCT(--(MOD(CH237:CL237,10)&gt;=1), --(MOD(CH237:CL237,10)&lt;=5))</f>
        <v>0</v>
      </c>
      <c r="CX237" s="3">
        <f t="shared" si="159"/>
        <v>5</v>
      </c>
      <c r="CY237" s="30"/>
      <c r="CZ237" s="3" cm="1">
        <f t="array" ref="CZ237">IFERROR(COUNT(_xlfn._xlws.FILTER(CH237:CL237, ISNUMBER(MATCH(CH237:CL237, {2,3,5,7,11,13,17,19,23,29,31,37,41,43}, 0)))), 0)</f>
        <v>0</v>
      </c>
      <c r="DA237" s="3" cm="1">
        <f t="array" ref="DA237">IFERROR(COUNT(_xlfn._xlws.FILTER(CH237:CL237, ISNUMBER(MATCH(CH237:CL237, {1,4,8,10,14,16,20,22,25,26,28,32,34,35,38,40,44}, 0)))), 0)</f>
        <v>0</v>
      </c>
      <c r="DB237" s="3" cm="1">
        <f t="array" ref="DB237">IFERROR(COUNT(_xlfn._xlws.FILTER(CH237:CL237, ISNUMBER(MATCH(CH237:CL237, {6,9,12,15,18,21,24,27,30,33,36,39,42,45}, 0)))), 0)</f>
        <v>0</v>
      </c>
      <c r="DC237" s="29"/>
      <c r="DD237" s="28" t="e">
        <f>#REF!</f>
        <v>#REF!</v>
      </c>
      <c r="DE237" s="28" t="e">
        <f>#REF!*2</f>
        <v>#REF!</v>
      </c>
      <c r="DF237" s="28" t="e">
        <f>#REF!</f>
        <v>#REF!</v>
      </c>
      <c r="DG237" s="28" t="e">
        <f>#REF!*2</f>
        <v>#REF!</v>
      </c>
      <c r="DH237" s="28" t="e">
        <f>#REF!</f>
        <v>#REF!</v>
      </c>
      <c r="DI237" s="28" t="e">
        <f>#REF!*2</f>
        <v>#REF!</v>
      </c>
      <c r="DJ237" s="28" t="e">
        <f>#REF!</f>
        <v>#REF!</v>
      </c>
      <c r="DK237" s="28" t="e">
        <f>#REF!*2</f>
        <v>#REF!</v>
      </c>
      <c r="DL237" s="28" t="e">
        <f>#REF!</f>
        <v>#REF!</v>
      </c>
      <c r="DM237" s="28" t="e">
        <f>#REF!*2</f>
        <v>#REF!</v>
      </c>
      <c r="DN237" s="27"/>
      <c r="DO237" s="26"/>
      <c r="DP237" s="26"/>
      <c r="DQ237" s="26"/>
      <c r="DR237" s="26"/>
      <c r="DS237" s="26"/>
      <c r="DT237" s="25"/>
    </row>
    <row r="238" spans="2:124" x14ac:dyDescent="0.3"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2"/>
      <c r="I238" s="3">
        <f t="shared" si="120"/>
        <v>0</v>
      </c>
      <c r="J238" s="3">
        <f t="shared" si="121"/>
        <v>0</v>
      </c>
      <c r="K238" s="3">
        <f t="shared" si="122"/>
        <v>0</v>
      </c>
      <c r="L238" s="3">
        <f t="shared" si="123"/>
        <v>0</v>
      </c>
      <c r="M238" s="3">
        <f t="shared" si="124"/>
        <v>0</v>
      </c>
      <c r="N238" s="3">
        <f t="shared" si="125"/>
        <v>0</v>
      </c>
      <c r="O238" s="32"/>
      <c r="P238" s="3" cm="1">
        <f t="array" ref="P238">SUMPRODUCT(--(MOD(B238:G238,2)=1))</f>
        <v>0</v>
      </c>
      <c r="Q238" s="3">
        <f t="shared" si="126"/>
        <v>6</v>
      </c>
      <c r="R238" s="34"/>
      <c r="S238" s="3">
        <f t="shared" si="127"/>
        <v>0</v>
      </c>
      <c r="T238" s="3">
        <f t="shared" si="128"/>
        <v>6</v>
      </c>
      <c r="U238" s="34"/>
      <c r="V238" s="3" cm="1">
        <f t="array" ref="V238">SUMPRODUCT(--(MOD(B238:G238,10)&gt;=1), --(MOD(B238:G238,10)&lt;=5))</f>
        <v>0</v>
      </c>
      <c r="W238" s="3">
        <f t="shared" si="129"/>
        <v>6</v>
      </c>
      <c r="X238" s="34"/>
      <c r="Y238" s="3" cm="1">
        <f t="array" ref="Y238">IFERROR(COUNT(_xlfn._xlws.FILTER(B238:G238, ISNUMBER(MATCH(B238:G238, {2,3,5,7,11,13,17,19,23,29,31,37,41,43}, 0)))), 0)</f>
        <v>0</v>
      </c>
      <c r="Z238" s="3" cm="1">
        <f t="array" ref="Z238">IFERROR(COUNT(_xlfn._xlws.FILTER(B238:G238, ISNUMBER(MATCH(B238:G238, {1,4,8,10,14,16,20,22,25,26,28,32,34,35,38,40,44}, 0)))), 0)</f>
        <v>0</v>
      </c>
      <c r="AA238" s="3" cm="1">
        <f t="array" ref="AA238">IFERROR(COUNT(_xlfn._xlws.FILTER(B238:G238, ISNUMBER(MATCH(B238:G238, {6,9,12,15,18,21,24,27,30,33,36,39,42,45}, 0)))), 0)</f>
        <v>0</v>
      </c>
      <c r="AB238" s="30"/>
      <c r="AC238" s="26" cm="1">
        <f t="array" ref="AC238">_xlfn.IFS(
   OR(B238="",ISBLANK(B238),B238=0),0,
   ISNUMBER(MATCH(B238,{2,3,5,7,11,13,17,19,23,29,31,37,41,43},0)),"소",
   AND(ISNUMBER(B238),MOD(B238,3)=0),"배",
   AND(ISNUMBER(B238),B238&gt;0),"자"
)</f>
        <v>0</v>
      </c>
      <c r="AD238" s="26" cm="1">
        <f t="array" ref="AD238">_xlfn.IFS(
   OR(C238="",ISBLANK(C238),C238=0),0,
   ISNUMBER(MATCH(C238,{2,3,5,7,11,13,17,19,23,29,31,37,41,43},0)),"소",
   AND(ISNUMBER(C238),MOD(C238,3)=0),"배",
   AND(ISNUMBER(C238),C238&gt;0),"자"
)</f>
        <v>0</v>
      </c>
      <c r="AE238" s="26" cm="1">
        <f t="array" ref="AE238">_xlfn.IFS(
   OR(D238="",ISBLANK(D238),D238=0),0,
   ISNUMBER(MATCH(D238,{2,3,5,7,11,13,17,19,23,29,31,37,41,43},0)),"소",
   AND(ISNUMBER(D238),MOD(D238,3)=0),"배",
   AND(ISNUMBER(D238),D238&gt;0),"자"
)</f>
        <v>0</v>
      </c>
      <c r="AF238" s="26" cm="1">
        <f t="array" ref="AF238">_xlfn.IFS(
   OR(E238="",ISBLANK(E238),E238=0),0,
   ISNUMBER(MATCH(E238,{2,3,5,7,11,13,17,19,23,29,31,37,41,43},0)),"소",
   AND(ISNUMBER(E238),MOD(E238,3)=0),"배",
   AND(ISNUMBER(E238),E238&gt;0),"자"
)</f>
        <v>0</v>
      </c>
      <c r="AG238" s="26" cm="1">
        <f t="array" ref="AG238">_xlfn.IFS(
   OR(F238="",ISBLANK(F238),F238=0),0,
   ISNUMBER(MATCH(F238,{2,3,5,7,11,13,17,19,23,29,31,37,41,43},0)),"소",
   AND(ISNUMBER(F238),MOD(F238,3)=0),"배",
   AND(ISNUMBER(F238),F238&gt;0),"자"
)</f>
        <v>0</v>
      </c>
      <c r="AH238" s="26" cm="1">
        <f t="array" ref="AH238">_xlfn.IFS(
   OR(G238="",ISBLANK(G238),G238=0),0,
   ISNUMBER(MATCH(G238,{2,3,5,7,11,13,17,19,23,29,31,37,41,43},0)),"소",
   AND(ISNUMBER(G238),MOD(G238,3)=0),"배",
   AND(ISNUMBER(G238),G238&gt;0),"자"
)</f>
        <v>0</v>
      </c>
      <c r="AI238" s="30"/>
      <c r="AJ238" s="3">
        <f t="shared" si="130"/>
        <v>0</v>
      </c>
      <c r="AK238" s="3">
        <f t="shared" si="131"/>
        <v>0</v>
      </c>
      <c r="AL238" s="3">
        <f t="shared" si="132"/>
        <v>6</v>
      </c>
      <c r="AM238" s="33"/>
      <c r="AN238" s="3">
        <f t="shared" si="133"/>
        <v>0</v>
      </c>
      <c r="AO238" s="3">
        <f t="shared" si="134"/>
        <v>0</v>
      </c>
      <c r="AP238" s="3">
        <f t="shared" si="135"/>
        <v>0</v>
      </c>
      <c r="AQ238" s="3">
        <f t="shared" si="136"/>
        <v>0</v>
      </c>
      <c r="AR238" s="3">
        <f t="shared" si="137"/>
        <v>0</v>
      </c>
      <c r="AS238" s="28" t="e">
        <f>#REF!</f>
        <v>#REF!</v>
      </c>
      <c r="AT238" s="28" t="e">
        <f>#REF!*2</f>
        <v>#REF!</v>
      </c>
      <c r="AU238" s="28" t="e">
        <f>#REF!</f>
        <v>#REF!</v>
      </c>
      <c r="AV238" s="28" t="e">
        <f>#REF!*2</f>
        <v>#REF!</v>
      </c>
      <c r="AW238" s="28" t="e">
        <f>#REF!</f>
        <v>#REF!</v>
      </c>
      <c r="AX238" s="28" t="e">
        <f>#REF!*2</f>
        <v>#REF!</v>
      </c>
      <c r="AY238" s="28" t="e">
        <f>#REF!</f>
        <v>#REF!</v>
      </c>
      <c r="AZ238" s="28" t="e">
        <f>#REF!*2</f>
        <v>#REF!</v>
      </c>
      <c r="BA238" s="28" t="e">
        <f>#REF!</f>
        <v>#REF!</v>
      </c>
      <c r="BB238" s="28" t="e">
        <f>#REF!*2</f>
        <v>#REF!</v>
      </c>
      <c r="BC238" s="28" t="e">
        <f>#REF!</f>
        <v>#REF!</v>
      </c>
      <c r="BD238" s="28" t="e">
        <f>#REF!*2</f>
        <v>#REF!</v>
      </c>
      <c r="BE238" s="9" t="e">
        <f>#REF!-#REF!</f>
        <v>#REF!</v>
      </c>
      <c r="BF238" s="9" t="e">
        <f>#REF!-#REF!</f>
        <v>#REF!</v>
      </c>
      <c r="BG238" s="9" t="e">
        <f>#REF!-#REF!</f>
        <v>#REF!</v>
      </c>
      <c r="BH238" s="9" t="e">
        <f>#REF!-#REF!</f>
        <v>#REF!</v>
      </c>
      <c r="BI238" s="9" t="e">
        <f>#REF!-#REF!</f>
        <v>#REF!</v>
      </c>
      <c r="BJ238" s="33"/>
      <c r="BK238" s="3">
        <f t="shared" si="138"/>
        <v>0</v>
      </c>
      <c r="BL238" s="3">
        <f t="shared" si="139"/>
        <v>0</v>
      </c>
      <c r="BM238" s="3">
        <f t="shared" si="140"/>
        <v>0</v>
      </c>
      <c r="BN238" s="3">
        <f t="shared" si="141"/>
        <v>0</v>
      </c>
      <c r="BO238" s="3">
        <f t="shared" si="142"/>
        <v>0</v>
      </c>
      <c r="BP238" s="28" t="e">
        <f>#REF!</f>
        <v>#REF!</v>
      </c>
      <c r="BQ238" s="28" t="e">
        <f>#REF!*2</f>
        <v>#REF!</v>
      </c>
      <c r="BR238" s="28" t="e">
        <f>#REF!</f>
        <v>#REF!</v>
      </c>
      <c r="BS238" s="28" t="e">
        <f>#REF!*2</f>
        <v>#REF!</v>
      </c>
      <c r="BT238" s="28" t="e">
        <f>#REF!</f>
        <v>#REF!</v>
      </c>
      <c r="BU238" s="28" t="e">
        <f>#REF!*2</f>
        <v>#REF!</v>
      </c>
      <c r="BV238" s="28" t="e">
        <f>#REF!</f>
        <v>#REF!</v>
      </c>
      <c r="BW238" s="28" t="e">
        <f>#REF!*2</f>
        <v>#REF!</v>
      </c>
      <c r="BX238" s="28" t="e">
        <f>#REF!</f>
        <v>#REF!</v>
      </c>
      <c r="BY238" s="28" t="e">
        <f>#REF!*2</f>
        <v>#REF!</v>
      </c>
      <c r="BZ238" s="28" t="e">
        <f>#REF!</f>
        <v>#REF!</v>
      </c>
      <c r="CA238" s="28" t="e">
        <f>#REF!*2</f>
        <v>#REF!</v>
      </c>
      <c r="CB238" s="9">
        <f t="shared" si="143"/>
        <v>0</v>
      </c>
      <c r="CC238" s="9">
        <f t="shared" si="144"/>
        <v>0</v>
      </c>
      <c r="CD238" s="9">
        <f t="shared" si="145"/>
        <v>0</v>
      </c>
      <c r="CE238" s="9">
        <f t="shared" si="146"/>
        <v>0</v>
      </c>
      <c r="CF238" s="9">
        <f t="shared" si="147"/>
        <v>0</v>
      </c>
      <c r="CG238" s="33"/>
      <c r="CH238" s="3">
        <f t="shared" si="148"/>
        <v>0</v>
      </c>
      <c r="CI238" s="3">
        <f t="shared" si="149"/>
        <v>0</v>
      </c>
      <c r="CJ238" s="3">
        <f t="shared" si="150"/>
        <v>0</v>
      </c>
      <c r="CK238" s="3">
        <f t="shared" si="151"/>
        <v>0</v>
      </c>
      <c r="CL238" s="3">
        <f t="shared" si="152"/>
        <v>0</v>
      </c>
      <c r="CM238" s="32"/>
      <c r="CN238" s="3">
        <f t="shared" si="153"/>
        <v>0</v>
      </c>
      <c r="CO238" s="3">
        <f t="shared" si="154"/>
        <v>0</v>
      </c>
      <c r="CP238" s="3">
        <f t="shared" si="155"/>
        <v>0</v>
      </c>
      <c r="CQ238" s="3">
        <f t="shared" si="156"/>
        <v>0</v>
      </c>
      <c r="CR238" s="3">
        <f t="shared" si="157"/>
        <v>0</v>
      </c>
      <c r="CS238" s="31"/>
      <c r="CT238" s="3" cm="1">
        <f t="array" ref="CT238">SUMPRODUCT(--(MOD(CH238:CL238,2)=1))</f>
        <v>0</v>
      </c>
      <c r="CU238" s="3">
        <f t="shared" si="158"/>
        <v>5</v>
      </c>
      <c r="CV238" s="30"/>
      <c r="CW238" s="3" cm="1">
        <f t="array" ref="CW238">SUMPRODUCT(--(MOD(CH238:CL238,10)&gt;=1), --(MOD(CH238:CL238,10)&lt;=5))</f>
        <v>0</v>
      </c>
      <c r="CX238" s="3">
        <f t="shared" si="159"/>
        <v>5</v>
      </c>
      <c r="CY238" s="30"/>
      <c r="CZ238" s="3" cm="1">
        <f t="array" ref="CZ238">IFERROR(COUNT(_xlfn._xlws.FILTER(CH238:CL238, ISNUMBER(MATCH(CH238:CL238, {2,3,5,7,11,13,17,19,23,29,31,37,41,43}, 0)))), 0)</f>
        <v>0</v>
      </c>
      <c r="DA238" s="3" cm="1">
        <f t="array" ref="DA238">IFERROR(COUNT(_xlfn._xlws.FILTER(CH238:CL238, ISNUMBER(MATCH(CH238:CL238, {1,4,8,10,14,16,20,22,25,26,28,32,34,35,38,40,44}, 0)))), 0)</f>
        <v>0</v>
      </c>
      <c r="DB238" s="3" cm="1">
        <f t="array" ref="DB238">IFERROR(COUNT(_xlfn._xlws.FILTER(CH238:CL238, ISNUMBER(MATCH(CH238:CL238, {6,9,12,15,18,21,24,27,30,33,36,39,42,45}, 0)))), 0)</f>
        <v>0</v>
      </c>
      <c r="DC238" s="29"/>
      <c r="DD238" s="28" t="e">
        <f>#REF!</f>
        <v>#REF!</v>
      </c>
      <c r="DE238" s="28" t="e">
        <f>#REF!*2</f>
        <v>#REF!</v>
      </c>
      <c r="DF238" s="28" t="e">
        <f>#REF!</f>
        <v>#REF!</v>
      </c>
      <c r="DG238" s="28" t="e">
        <f>#REF!*2</f>
        <v>#REF!</v>
      </c>
      <c r="DH238" s="28" t="e">
        <f>#REF!</f>
        <v>#REF!</v>
      </c>
      <c r="DI238" s="28" t="e">
        <f>#REF!*2</f>
        <v>#REF!</v>
      </c>
      <c r="DJ238" s="28" t="e">
        <f>#REF!</f>
        <v>#REF!</v>
      </c>
      <c r="DK238" s="28" t="e">
        <f>#REF!*2</f>
        <v>#REF!</v>
      </c>
      <c r="DL238" s="28" t="e">
        <f>#REF!</f>
        <v>#REF!</v>
      </c>
      <c r="DM238" s="28" t="e">
        <f>#REF!*2</f>
        <v>#REF!</v>
      </c>
      <c r="DN238" s="27"/>
      <c r="DO238" s="26"/>
      <c r="DP238" s="26"/>
      <c r="DQ238" s="26"/>
      <c r="DR238" s="26"/>
      <c r="DS238" s="26"/>
      <c r="DT238" s="25"/>
    </row>
    <row r="239" spans="2:124" x14ac:dyDescent="0.3"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2"/>
      <c r="I239" s="3">
        <f t="shared" si="120"/>
        <v>0</v>
      </c>
      <c r="J239" s="3">
        <f t="shared" si="121"/>
        <v>0</v>
      </c>
      <c r="K239" s="3">
        <f t="shared" si="122"/>
        <v>0</v>
      </c>
      <c r="L239" s="3">
        <f t="shared" si="123"/>
        <v>0</v>
      </c>
      <c r="M239" s="3">
        <f t="shared" si="124"/>
        <v>0</v>
      </c>
      <c r="N239" s="3">
        <f t="shared" si="125"/>
        <v>0</v>
      </c>
      <c r="O239" s="32"/>
      <c r="P239" s="3" cm="1">
        <f t="array" ref="P239">SUMPRODUCT(--(MOD(B239:G239,2)=1))</f>
        <v>0</v>
      </c>
      <c r="Q239" s="3">
        <f t="shared" si="126"/>
        <v>6</v>
      </c>
      <c r="R239" s="34"/>
      <c r="S239" s="3">
        <f t="shared" si="127"/>
        <v>0</v>
      </c>
      <c r="T239" s="3">
        <f t="shared" si="128"/>
        <v>6</v>
      </c>
      <c r="U239" s="34"/>
      <c r="V239" s="3" cm="1">
        <f t="array" ref="V239">SUMPRODUCT(--(MOD(B239:G239,10)&gt;=1), --(MOD(B239:G239,10)&lt;=5))</f>
        <v>0</v>
      </c>
      <c r="W239" s="3">
        <f t="shared" si="129"/>
        <v>6</v>
      </c>
      <c r="X239" s="34"/>
      <c r="Y239" s="3" cm="1">
        <f t="array" ref="Y239">IFERROR(COUNT(_xlfn._xlws.FILTER(B239:G239, ISNUMBER(MATCH(B239:G239, {2,3,5,7,11,13,17,19,23,29,31,37,41,43}, 0)))), 0)</f>
        <v>0</v>
      </c>
      <c r="Z239" s="3" cm="1">
        <f t="array" ref="Z239">IFERROR(COUNT(_xlfn._xlws.FILTER(B239:G239, ISNUMBER(MATCH(B239:G239, {1,4,8,10,14,16,20,22,25,26,28,32,34,35,38,40,44}, 0)))), 0)</f>
        <v>0</v>
      </c>
      <c r="AA239" s="3" cm="1">
        <f t="array" ref="AA239">IFERROR(COUNT(_xlfn._xlws.FILTER(B239:G239, ISNUMBER(MATCH(B239:G239, {6,9,12,15,18,21,24,27,30,33,36,39,42,45}, 0)))), 0)</f>
        <v>0</v>
      </c>
      <c r="AB239" s="30"/>
      <c r="AC239" s="26" cm="1">
        <f t="array" ref="AC239">_xlfn.IFS(
   OR(B239="",ISBLANK(B239),B239=0),0,
   ISNUMBER(MATCH(B239,{2,3,5,7,11,13,17,19,23,29,31,37,41,43},0)),"소",
   AND(ISNUMBER(B239),MOD(B239,3)=0),"배",
   AND(ISNUMBER(B239),B239&gt;0),"자"
)</f>
        <v>0</v>
      </c>
      <c r="AD239" s="26" cm="1">
        <f t="array" ref="AD239">_xlfn.IFS(
   OR(C239="",ISBLANK(C239),C239=0),0,
   ISNUMBER(MATCH(C239,{2,3,5,7,11,13,17,19,23,29,31,37,41,43},0)),"소",
   AND(ISNUMBER(C239),MOD(C239,3)=0),"배",
   AND(ISNUMBER(C239),C239&gt;0),"자"
)</f>
        <v>0</v>
      </c>
      <c r="AE239" s="26" cm="1">
        <f t="array" ref="AE239">_xlfn.IFS(
   OR(D239="",ISBLANK(D239),D239=0),0,
   ISNUMBER(MATCH(D239,{2,3,5,7,11,13,17,19,23,29,31,37,41,43},0)),"소",
   AND(ISNUMBER(D239),MOD(D239,3)=0),"배",
   AND(ISNUMBER(D239),D239&gt;0),"자"
)</f>
        <v>0</v>
      </c>
      <c r="AF239" s="26" cm="1">
        <f t="array" ref="AF239">_xlfn.IFS(
   OR(E239="",ISBLANK(E239),E239=0),0,
   ISNUMBER(MATCH(E239,{2,3,5,7,11,13,17,19,23,29,31,37,41,43},0)),"소",
   AND(ISNUMBER(E239),MOD(E239,3)=0),"배",
   AND(ISNUMBER(E239),E239&gt;0),"자"
)</f>
        <v>0</v>
      </c>
      <c r="AG239" s="26" cm="1">
        <f t="array" ref="AG239">_xlfn.IFS(
   OR(F239="",ISBLANK(F239),F239=0),0,
   ISNUMBER(MATCH(F239,{2,3,5,7,11,13,17,19,23,29,31,37,41,43},0)),"소",
   AND(ISNUMBER(F239),MOD(F239,3)=0),"배",
   AND(ISNUMBER(F239),F239&gt;0),"자"
)</f>
        <v>0</v>
      </c>
      <c r="AH239" s="26" cm="1">
        <f t="array" ref="AH239">_xlfn.IFS(
   OR(G239="",ISBLANK(G239),G239=0),0,
   ISNUMBER(MATCH(G239,{2,3,5,7,11,13,17,19,23,29,31,37,41,43},0)),"소",
   AND(ISNUMBER(G239),MOD(G239,3)=0),"배",
   AND(ISNUMBER(G239),G239&gt;0),"자"
)</f>
        <v>0</v>
      </c>
      <c r="AI239" s="30"/>
      <c r="AJ239" s="3">
        <f t="shared" si="130"/>
        <v>0</v>
      </c>
      <c r="AK239" s="3">
        <f t="shared" si="131"/>
        <v>0</v>
      </c>
      <c r="AL239" s="3">
        <f t="shared" si="132"/>
        <v>6</v>
      </c>
      <c r="AM239" s="33"/>
      <c r="AN239" s="3">
        <f t="shared" si="133"/>
        <v>0</v>
      </c>
      <c r="AO239" s="3">
        <f t="shared" si="134"/>
        <v>0</v>
      </c>
      <c r="AP239" s="3">
        <f t="shared" si="135"/>
        <v>0</v>
      </c>
      <c r="AQ239" s="3">
        <f t="shared" si="136"/>
        <v>0</v>
      </c>
      <c r="AR239" s="3">
        <f t="shared" si="137"/>
        <v>0</v>
      </c>
      <c r="AS239" s="28" t="e">
        <f>#REF!</f>
        <v>#REF!</v>
      </c>
      <c r="AT239" s="28" t="e">
        <f>#REF!*2</f>
        <v>#REF!</v>
      </c>
      <c r="AU239" s="28" t="e">
        <f>#REF!</f>
        <v>#REF!</v>
      </c>
      <c r="AV239" s="28" t="e">
        <f>#REF!*2</f>
        <v>#REF!</v>
      </c>
      <c r="AW239" s="28" t="e">
        <f>#REF!</f>
        <v>#REF!</v>
      </c>
      <c r="AX239" s="28" t="e">
        <f>#REF!*2</f>
        <v>#REF!</v>
      </c>
      <c r="AY239" s="28" t="e">
        <f>#REF!</f>
        <v>#REF!</v>
      </c>
      <c r="AZ239" s="28" t="e">
        <f>#REF!*2</f>
        <v>#REF!</v>
      </c>
      <c r="BA239" s="28" t="e">
        <f>#REF!</f>
        <v>#REF!</v>
      </c>
      <c r="BB239" s="28" t="e">
        <f>#REF!*2</f>
        <v>#REF!</v>
      </c>
      <c r="BC239" s="28" t="e">
        <f>#REF!</f>
        <v>#REF!</v>
      </c>
      <c r="BD239" s="28" t="e">
        <f>#REF!*2</f>
        <v>#REF!</v>
      </c>
      <c r="BE239" s="9" t="e">
        <f>#REF!-#REF!</f>
        <v>#REF!</v>
      </c>
      <c r="BF239" s="9" t="e">
        <f>#REF!-#REF!</f>
        <v>#REF!</v>
      </c>
      <c r="BG239" s="9" t="e">
        <f>#REF!-#REF!</f>
        <v>#REF!</v>
      </c>
      <c r="BH239" s="9" t="e">
        <f>#REF!-#REF!</f>
        <v>#REF!</v>
      </c>
      <c r="BI239" s="9" t="e">
        <f>#REF!-#REF!</f>
        <v>#REF!</v>
      </c>
      <c r="BJ239" s="33"/>
      <c r="BK239" s="3">
        <f t="shared" si="138"/>
        <v>0</v>
      </c>
      <c r="BL239" s="3">
        <f t="shared" si="139"/>
        <v>0</v>
      </c>
      <c r="BM239" s="3">
        <f t="shared" si="140"/>
        <v>0</v>
      </c>
      <c r="BN239" s="3">
        <f t="shared" si="141"/>
        <v>0</v>
      </c>
      <c r="BO239" s="3">
        <f t="shared" si="142"/>
        <v>0</v>
      </c>
      <c r="BP239" s="28" t="e">
        <f>#REF!</f>
        <v>#REF!</v>
      </c>
      <c r="BQ239" s="28" t="e">
        <f>#REF!*2</f>
        <v>#REF!</v>
      </c>
      <c r="BR239" s="28" t="e">
        <f>#REF!</f>
        <v>#REF!</v>
      </c>
      <c r="BS239" s="28" t="e">
        <f>#REF!*2</f>
        <v>#REF!</v>
      </c>
      <c r="BT239" s="28" t="e">
        <f>#REF!</f>
        <v>#REF!</v>
      </c>
      <c r="BU239" s="28" t="e">
        <f>#REF!*2</f>
        <v>#REF!</v>
      </c>
      <c r="BV239" s="28" t="e">
        <f>#REF!</f>
        <v>#REF!</v>
      </c>
      <c r="BW239" s="28" t="e">
        <f>#REF!*2</f>
        <v>#REF!</v>
      </c>
      <c r="BX239" s="28" t="e">
        <f>#REF!</f>
        <v>#REF!</v>
      </c>
      <c r="BY239" s="28" t="e">
        <f>#REF!*2</f>
        <v>#REF!</v>
      </c>
      <c r="BZ239" s="28" t="e">
        <f>#REF!</f>
        <v>#REF!</v>
      </c>
      <c r="CA239" s="28" t="e">
        <f>#REF!*2</f>
        <v>#REF!</v>
      </c>
      <c r="CB239" s="9">
        <f t="shared" si="143"/>
        <v>0</v>
      </c>
      <c r="CC239" s="9">
        <f t="shared" si="144"/>
        <v>0</v>
      </c>
      <c r="CD239" s="9">
        <f t="shared" si="145"/>
        <v>0</v>
      </c>
      <c r="CE239" s="9">
        <f t="shared" si="146"/>
        <v>0</v>
      </c>
      <c r="CF239" s="9">
        <f t="shared" si="147"/>
        <v>0</v>
      </c>
      <c r="CG239" s="33"/>
      <c r="CH239" s="3">
        <f t="shared" si="148"/>
        <v>0</v>
      </c>
      <c r="CI239" s="3">
        <f t="shared" si="149"/>
        <v>0</v>
      </c>
      <c r="CJ239" s="3">
        <f t="shared" si="150"/>
        <v>0</v>
      </c>
      <c r="CK239" s="3">
        <f t="shared" si="151"/>
        <v>0</v>
      </c>
      <c r="CL239" s="3">
        <f t="shared" si="152"/>
        <v>0</v>
      </c>
      <c r="CM239" s="32"/>
      <c r="CN239" s="3">
        <f t="shared" si="153"/>
        <v>0</v>
      </c>
      <c r="CO239" s="3">
        <f t="shared" si="154"/>
        <v>0</v>
      </c>
      <c r="CP239" s="3">
        <f t="shared" si="155"/>
        <v>0</v>
      </c>
      <c r="CQ239" s="3">
        <f t="shared" si="156"/>
        <v>0</v>
      </c>
      <c r="CR239" s="3">
        <f t="shared" si="157"/>
        <v>0</v>
      </c>
      <c r="CS239" s="31"/>
      <c r="CT239" s="3" cm="1">
        <f t="array" ref="CT239">SUMPRODUCT(--(MOD(CH239:CL239,2)=1))</f>
        <v>0</v>
      </c>
      <c r="CU239" s="3">
        <f t="shared" si="158"/>
        <v>5</v>
      </c>
      <c r="CV239" s="30"/>
      <c r="CW239" s="3" cm="1">
        <f t="array" ref="CW239">SUMPRODUCT(--(MOD(CH239:CL239,10)&gt;=1), --(MOD(CH239:CL239,10)&lt;=5))</f>
        <v>0</v>
      </c>
      <c r="CX239" s="3">
        <f t="shared" si="159"/>
        <v>5</v>
      </c>
      <c r="CY239" s="30"/>
      <c r="CZ239" s="3" cm="1">
        <f t="array" ref="CZ239">IFERROR(COUNT(_xlfn._xlws.FILTER(CH239:CL239, ISNUMBER(MATCH(CH239:CL239, {2,3,5,7,11,13,17,19,23,29,31,37,41,43}, 0)))), 0)</f>
        <v>0</v>
      </c>
      <c r="DA239" s="3" cm="1">
        <f t="array" ref="DA239">IFERROR(COUNT(_xlfn._xlws.FILTER(CH239:CL239, ISNUMBER(MATCH(CH239:CL239, {1,4,8,10,14,16,20,22,25,26,28,32,34,35,38,40,44}, 0)))), 0)</f>
        <v>0</v>
      </c>
      <c r="DB239" s="3" cm="1">
        <f t="array" ref="DB239">IFERROR(COUNT(_xlfn._xlws.FILTER(CH239:CL239, ISNUMBER(MATCH(CH239:CL239, {6,9,12,15,18,21,24,27,30,33,36,39,42,45}, 0)))), 0)</f>
        <v>0</v>
      </c>
      <c r="DC239" s="29"/>
      <c r="DD239" s="28" t="e">
        <f>#REF!</f>
        <v>#REF!</v>
      </c>
      <c r="DE239" s="28" t="e">
        <f>#REF!*2</f>
        <v>#REF!</v>
      </c>
      <c r="DF239" s="28" t="e">
        <f>#REF!</f>
        <v>#REF!</v>
      </c>
      <c r="DG239" s="28" t="e">
        <f>#REF!*2</f>
        <v>#REF!</v>
      </c>
      <c r="DH239" s="28" t="e">
        <f>#REF!</f>
        <v>#REF!</v>
      </c>
      <c r="DI239" s="28" t="e">
        <f>#REF!*2</f>
        <v>#REF!</v>
      </c>
      <c r="DJ239" s="28" t="e">
        <f>#REF!</f>
        <v>#REF!</v>
      </c>
      <c r="DK239" s="28" t="e">
        <f>#REF!*2</f>
        <v>#REF!</v>
      </c>
      <c r="DL239" s="28" t="e">
        <f>#REF!</f>
        <v>#REF!</v>
      </c>
      <c r="DM239" s="28" t="e">
        <f>#REF!*2</f>
        <v>#REF!</v>
      </c>
      <c r="DN239" s="27"/>
      <c r="DO239" s="26"/>
      <c r="DP239" s="26"/>
      <c r="DQ239" s="26"/>
      <c r="DR239" s="26"/>
      <c r="DS239" s="26"/>
      <c r="DT239" s="25"/>
    </row>
    <row r="240" spans="2:124" x14ac:dyDescent="0.3"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2"/>
      <c r="I240" s="3">
        <f t="shared" si="120"/>
        <v>0</v>
      </c>
      <c r="J240" s="3">
        <f t="shared" si="121"/>
        <v>0</v>
      </c>
      <c r="K240" s="3">
        <f t="shared" si="122"/>
        <v>0</v>
      </c>
      <c r="L240" s="3">
        <f t="shared" si="123"/>
        <v>0</v>
      </c>
      <c r="M240" s="3">
        <f t="shared" si="124"/>
        <v>0</v>
      </c>
      <c r="N240" s="3">
        <f t="shared" si="125"/>
        <v>0</v>
      </c>
      <c r="O240" s="32"/>
      <c r="P240" s="3" cm="1">
        <f t="array" ref="P240">SUMPRODUCT(--(MOD(B240:G240,2)=1))</f>
        <v>0</v>
      </c>
      <c r="Q240" s="3">
        <f t="shared" si="126"/>
        <v>6</v>
      </c>
      <c r="R240" s="34"/>
      <c r="S240" s="3">
        <f t="shared" si="127"/>
        <v>0</v>
      </c>
      <c r="T240" s="3">
        <f t="shared" si="128"/>
        <v>6</v>
      </c>
      <c r="U240" s="34"/>
      <c r="V240" s="3" cm="1">
        <f t="array" ref="V240">SUMPRODUCT(--(MOD(B240:G240,10)&gt;=1), --(MOD(B240:G240,10)&lt;=5))</f>
        <v>0</v>
      </c>
      <c r="W240" s="3">
        <f t="shared" si="129"/>
        <v>6</v>
      </c>
      <c r="X240" s="34"/>
      <c r="Y240" s="3" cm="1">
        <f t="array" ref="Y240">IFERROR(COUNT(_xlfn._xlws.FILTER(B240:G240, ISNUMBER(MATCH(B240:G240, {2,3,5,7,11,13,17,19,23,29,31,37,41,43}, 0)))), 0)</f>
        <v>0</v>
      </c>
      <c r="Z240" s="3" cm="1">
        <f t="array" ref="Z240">IFERROR(COUNT(_xlfn._xlws.FILTER(B240:G240, ISNUMBER(MATCH(B240:G240, {1,4,8,10,14,16,20,22,25,26,28,32,34,35,38,40,44}, 0)))), 0)</f>
        <v>0</v>
      </c>
      <c r="AA240" s="3" cm="1">
        <f t="array" ref="AA240">IFERROR(COUNT(_xlfn._xlws.FILTER(B240:G240, ISNUMBER(MATCH(B240:G240, {6,9,12,15,18,21,24,27,30,33,36,39,42,45}, 0)))), 0)</f>
        <v>0</v>
      </c>
      <c r="AB240" s="30"/>
      <c r="AC240" s="26" cm="1">
        <f t="array" ref="AC240">_xlfn.IFS(
   OR(B240="",ISBLANK(B240),B240=0),0,
   ISNUMBER(MATCH(B240,{2,3,5,7,11,13,17,19,23,29,31,37,41,43},0)),"소",
   AND(ISNUMBER(B240),MOD(B240,3)=0),"배",
   AND(ISNUMBER(B240),B240&gt;0),"자"
)</f>
        <v>0</v>
      </c>
      <c r="AD240" s="26" cm="1">
        <f t="array" ref="AD240">_xlfn.IFS(
   OR(C240="",ISBLANK(C240),C240=0),0,
   ISNUMBER(MATCH(C240,{2,3,5,7,11,13,17,19,23,29,31,37,41,43},0)),"소",
   AND(ISNUMBER(C240),MOD(C240,3)=0),"배",
   AND(ISNUMBER(C240),C240&gt;0),"자"
)</f>
        <v>0</v>
      </c>
      <c r="AE240" s="26" cm="1">
        <f t="array" ref="AE240">_xlfn.IFS(
   OR(D240="",ISBLANK(D240),D240=0),0,
   ISNUMBER(MATCH(D240,{2,3,5,7,11,13,17,19,23,29,31,37,41,43},0)),"소",
   AND(ISNUMBER(D240),MOD(D240,3)=0),"배",
   AND(ISNUMBER(D240),D240&gt;0),"자"
)</f>
        <v>0</v>
      </c>
      <c r="AF240" s="26" cm="1">
        <f t="array" ref="AF240">_xlfn.IFS(
   OR(E240="",ISBLANK(E240),E240=0),0,
   ISNUMBER(MATCH(E240,{2,3,5,7,11,13,17,19,23,29,31,37,41,43},0)),"소",
   AND(ISNUMBER(E240),MOD(E240,3)=0),"배",
   AND(ISNUMBER(E240),E240&gt;0),"자"
)</f>
        <v>0</v>
      </c>
      <c r="AG240" s="26" cm="1">
        <f t="array" ref="AG240">_xlfn.IFS(
   OR(F240="",ISBLANK(F240),F240=0),0,
   ISNUMBER(MATCH(F240,{2,3,5,7,11,13,17,19,23,29,31,37,41,43},0)),"소",
   AND(ISNUMBER(F240),MOD(F240,3)=0),"배",
   AND(ISNUMBER(F240),F240&gt;0),"자"
)</f>
        <v>0</v>
      </c>
      <c r="AH240" s="26" cm="1">
        <f t="array" ref="AH240">_xlfn.IFS(
   OR(G240="",ISBLANK(G240),G240=0),0,
   ISNUMBER(MATCH(G240,{2,3,5,7,11,13,17,19,23,29,31,37,41,43},0)),"소",
   AND(ISNUMBER(G240),MOD(G240,3)=0),"배",
   AND(ISNUMBER(G240),G240&gt;0),"자"
)</f>
        <v>0</v>
      </c>
      <c r="AI240" s="30"/>
      <c r="AJ240" s="3">
        <f t="shared" si="130"/>
        <v>0</v>
      </c>
      <c r="AK240" s="3">
        <f t="shared" si="131"/>
        <v>0</v>
      </c>
      <c r="AL240" s="3">
        <f t="shared" si="132"/>
        <v>6</v>
      </c>
      <c r="AM240" s="33"/>
      <c r="AN240" s="3">
        <f t="shared" si="133"/>
        <v>0</v>
      </c>
      <c r="AO240" s="3">
        <f t="shared" si="134"/>
        <v>0</v>
      </c>
      <c r="AP240" s="3">
        <f t="shared" si="135"/>
        <v>0</v>
      </c>
      <c r="AQ240" s="3">
        <f t="shared" si="136"/>
        <v>0</v>
      </c>
      <c r="AR240" s="3">
        <f t="shared" si="137"/>
        <v>0</v>
      </c>
      <c r="AS240" s="28" t="e">
        <f>#REF!</f>
        <v>#REF!</v>
      </c>
      <c r="AT240" s="28" t="e">
        <f>#REF!*2</f>
        <v>#REF!</v>
      </c>
      <c r="AU240" s="28" t="e">
        <f>#REF!</f>
        <v>#REF!</v>
      </c>
      <c r="AV240" s="28" t="e">
        <f>#REF!*2</f>
        <v>#REF!</v>
      </c>
      <c r="AW240" s="28" t="e">
        <f>#REF!</f>
        <v>#REF!</v>
      </c>
      <c r="AX240" s="28" t="e">
        <f>#REF!*2</f>
        <v>#REF!</v>
      </c>
      <c r="AY240" s="28" t="e">
        <f>#REF!</f>
        <v>#REF!</v>
      </c>
      <c r="AZ240" s="28" t="e">
        <f>#REF!*2</f>
        <v>#REF!</v>
      </c>
      <c r="BA240" s="28" t="e">
        <f>#REF!</f>
        <v>#REF!</v>
      </c>
      <c r="BB240" s="28" t="e">
        <f>#REF!*2</f>
        <v>#REF!</v>
      </c>
      <c r="BC240" s="28" t="e">
        <f>#REF!</f>
        <v>#REF!</v>
      </c>
      <c r="BD240" s="28" t="e">
        <f>#REF!*2</f>
        <v>#REF!</v>
      </c>
      <c r="BE240" s="9" t="e">
        <f>#REF!-#REF!</f>
        <v>#REF!</v>
      </c>
      <c r="BF240" s="9" t="e">
        <f>#REF!-#REF!</f>
        <v>#REF!</v>
      </c>
      <c r="BG240" s="9" t="e">
        <f>#REF!-#REF!</f>
        <v>#REF!</v>
      </c>
      <c r="BH240" s="9" t="e">
        <f>#REF!-#REF!</f>
        <v>#REF!</v>
      </c>
      <c r="BI240" s="9" t="e">
        <f>#REF!-#REF!</f>
        <v>#REF!</v>
      </c>
      <c r="BJ240" s="33"/>
      <c r="BK240" s="3">
        <f t="shared" si="138"/>
        <v>0</v>
      </c>
      <c r="BL240" s="3">
        <f t="shared" si="139"/>
        <v>0</v>
      </c>
      <c r="BM240" s="3">
        <f t="shared" si="140"/>
        <v>0</v>
      </c>
      <c r="BN240" s="3">
        <f t="shared" si="141"/>
        <v>0</v>
      </c>
      <c r="BO240" s="3">
        <f t="shared" si="142"/>
        <v>0</v>
      </c>
      <c r="BP240" s="28" t="e">
        <f>#REF!</f>
        <v>#REF!</v>
      </c>
      <c r="BQ240" s="28" t="e">
        <f>#REF!*2</f>
        <v>#REF!</v>
      </c>
      <c r="BR240" s="28" t="e">
        <f>#REF!</f>
        <v>#REF!</v>
      </c>
      <c r="BS240" s="28" t="e">
        <f>#REF!*2</f>
        <v>#REF!</v>
      </c>
      <c r="BT240" s="28" t="e">
        <f>#REF!</f>
        <v>#REF!</v>
      </c>
      <c r="BU240" s="28" t="e">
        <f>#REF!*2</f>
        <v>#REF!</v>
      </c>
      <c r="BV240" s="28" t="e">
        <f>#REF!</f>
        <v>#REF!</v>
      </c>
      <c r="BW240" s="28" t="e">
        <f>#REF!*2</f>
        <v>#REF!</v>
      </c>
      <c r="BX240" s="28" t="e">
        <f>#REF!</f>
        <v>#REF!</v>
      </c>
      <c r="BY240" s="28" t="e">
        <f>#REF!*2</f>
        <v>#REF!</v>
      </c>
      <c r="BZ240" s="28" t="e">
        <f>#REF!</f>
        <v>#REF!</v>
      </c>
      <c r="CA240" s="28" t="e">
        <f>#REF!*2</f>
        <v>#REF!</v>
      </c>
      <c r="CB240" s="9">
        <f t="shared" si="143"/>
        <v>0</v>
      </c>
      <c r="CC240" s="9">
        <f t="shared" si="144"/>
        <v>0</v>
      </c>
      <c r="CD240" s="9">
        <f t="shared" si="145"/>
        <v>0</v>
      </c>
      <c r="CE240" s="9">
        <f t="shared" si="146"/>
        <v>0</v>
      </c>
      <c r="CF240" s="9">
        <f t="shared" si="147"/>
        <v>0</v>
      </c>
      <c r="CG240" s="33"/>
      <c r="CH240" s="3">
        <f t="shared" si="148"/>
        <v>0</v>
      </c>
      <c r="CI240" s="3">
        <f t="shared" si="149"/>
        <v>0</v>
      </c>
      <c r="CJ240" s="3">
        <f t="shared" si="150"/>
        <v>0</v>
      </c>
      <c r="CK240" s="3">
        <f t="shared" si="151"/>
        <v>0</v>
      </c>
      <c r="CL240" s="3">
        <f t="shared" si="152"/>
        <v>0</v>
      </c>
      <c r="CM240" s="32"/>
      <c r="CN240" s="3">
        <f t="shared" si="153"/>
        <v>0</v>
      </c>
      <c r="CO240" s="3">
        <f t="shared" si="154"/>
        <v>0</v>
      </c>
      <c r="CP240" s="3">
        <f t="shared" si="155"/>
        <v>0</v>
      </c>
      <c r="CQ240" s="3">
        <f t="shared" si="156"/>
        <v>0</v>
      </c>
      <c r="CR240" s="3">
        <f t="shared" si="157"/>
        <v>0</v>
      </c>
      <c r="CS240" s="31"/>
      <c r="CT240" s="3" cm="1">
        <f t="array" ref="CT240">SUMPRODUCT(--(MOD(CH240:CL240,2)=1))</f>
        <v>0</v>
      </c>
      <c r="CU240" s="3">
        <f t="shared" si="158"/>
        <v>5</v>
      </c>
      <c r="CV240" s="30"/>
      <c r="CW240" s="3" cm="1">
        <f t="array" ref="CW240">SUMPRODUCT(--(MOD(CH240:CL240,10)&gt;=1), --(MOD(CH240:CL240,10)&lt;=5))</f>
        <v>0</v>
      </c>
      <c r="CX240" s="3">
        <f t="shared" si="159"/>
        <v>5</v>
      </c>
      <c r="CY240" s="30"/>
      <c r="CZ240" s="3" cm="1">
        <f t="array" ref="CZ240">IFERROR(COUNT(_xlfn._xlws.FILTER(CH240:CL240, ISNUMBER(MATCH(CH240:CL240, {2,3,5,7,11,13,17,19,23,29,31,37,41,43}, 0)))), 0)</f>
        <v>0</v>
      </c>
      <c r="DA240" s="3" cm="1">
        <f t="array" ref="DA240">IFERROR(COUNT(_xlfn._xlws.FILTER(CH240:CL240, ISNUMBER(MATCH(CH240:CL240, {1,4,8,10,14,16,20,22,25,26,28,32,34,35,38,40,44}, 0)))), 0)</f>
        <v>0</v>
      </c>
      <c r="DB240" s="3" cm="1">
        <f t="array" ref="DB240">IFERROR(COUNT(_xlfn._xlws.FILTER(CH240:CL240, ISNUMBER(MATCH(CH240:CL240, {6,9,12,15,18,21,24,27,30,33,36,39,42,45}, 0)))), 0)</f>
        <v>0</v>
      </c>
      <c r="DC240" s="29"/>
      <c r="DD240" s="28" t="e">
        <f>#REF!</f>
        <v>#REF!</v>
      </c>
      <c r="DE240" s="28" t="e">
        <f>#REF!*2</f>
        <v>#REF!</v>
      </c>
      <c r="DF240" s="28" t="e">
        <f>#REF!</f>
        <v>#REF!</v>
      </c>
      <c r="DG240" s="28" t="e">
        <f>#REF!*2</f>
        <v>#REF!</v>
      </c>
      <c r="DH240" s="28" t="e">
        <f>#REF!</f>
        <v>#REF!</v>
      </c>
      <c r="DI240" s="28" t="e">
        <f>#REF!*2</f>
        <v>#REF!</v>
      </c>
      <c r="DJ240" s="28" t="e">
        <f>#REF!</f>
        <v>#REF!</v>
      </c>
      <c r="DK240" s="28" t="e">
        <f>#REF!*2</f>
        <v>#REF!</v>
      </c>
      <c r="DL240" s="28" t="e">
        <f>#REF!</f>
        <v>#REF!</v>
      </c>
      <c r="DM240" s="28" t="e">
        <f>#REF!*2</f>
        <v>#REF!</v>
      </c>
      <c r="DN240" s="27"/>
      <c r="DO240" s="26"/>
      <c r="DP240" s="26"/>
      <c r="DQ240" s="26"/>
      <c r="DR240" s="26"/>
      <c r="DS240" s="26"/>
      <c r="DT240" s="25"/>
    </row>
    <row r="241" spans="2:124" x14ac:dyDescent="0.3"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2"/>
      <c r="I241" s="3">
        <f t="shared" si="120"/>
        <v>0</v>
      </c>
      <c r="J241" s="3">
        <f t="shared" si="121"/>
        <v>0</v>
      </c>
      <c r="K241" s="3">
        <f t="shared" si="122"/>
        <v>0</v>
      </c>
      <c r="L241" s="3">
        <f t="shared" si="123"/>
        <v>0</v>
      </c>
      <c r="M241" s="3">
        <f t="shared" si="124"/>
        <v>0</v>
      </c>
      <c r="N241" s="3">
        <f t="shared" si="125"/>
        <v>0</v>
      </c>
      <c r="O241" s="32"/>
      <c r="P241" s="3" cm="1">
        <f t="array" ref="P241">SUMPRODUCT(--(MOD(B241:G241,2)=1))</f>
        <v>0</v>
      </c>
      <c r="Q241" s="3">
        <f t="shared" si="126"/>
        <v>6</v>
      </c>
      <c r="R241" s="34"/>
      <c r="S241" s="3">
        <f t="shared" si="127"/>
        <v>0</v>
      </c>
      <c r="T241" s="3">
        <f t="shared" si="128"/>
        <v>6</v>
      </c>
      <c r="U241" s="34"/>
      <c r="V241" s="3" cm="1">
        <f t="array" ref="V241">SUMPRODUCT(--(MOD(B241:G241,10)&gt;=1), --(MOD(B241:G241,10)&lt;=5))</f>
        <v>0</v>
      </c>
      <c r="W241" s="3">
        <f t="shared" si="129"/>
        <v>6</v>
      </c>
      <c r="X241" s="34"/>
      <c r="Y241" s="3" cm="1">
        <f t="array" ref="Y241">IFERROR(COUNT(_xlfn._xlws.FILTER(B241:G241, ISNUMBER(MATCH(B241:G241, {2,3,5,7,11,13,17,19,23,29,31,37,41,43}, 0)))), 0)</f>
        <v>0</v>
      </c>
      <c r="Z241" s="3" cm="1">
        <f t="array" ref="Z241">IFERROR(COUNT(_xlfn._xlws.FILTER(B241:G241, ISNUMBER(MATCH(B241:G241, {1,4,8,10,14,16,20,22,25,26,28,32,34,35,38,40,44}, 0)))), 0)</f>
        <v>0</v>
      </c>
      <c r="AA241" s="3" cm="1">
        <f t="array" ref="AA241">IFERROR(COUNT(_xlfn._xlws.FILTER(B241:G241, ISNUMBER(MATCH(B241:G241, {6,9,12,15,18,21,24,27,30,33,36,39,42,45}, 0)))), 0)</f>
        <v>0</v>
      </c>
      <c r="AB241" s="30"/>
      <c r="AC241" s="26" cm="1">
        <f t="array" ref="AC241">_xlfn.IFS(
   OR(B241="",ISBLANK(B241),B241=0),0,
   ISNUMBER(MATCH(B241,{2,3,5,7,11,13,17,19,23,29,31,37,41,43},0)),"소",
   AND(ISNUMBER(B241),MOD(B241,3)=0),"배",
   AND(ISNUMBER(B241),B241&gt;0),"자"
)</f>
        <v>0</v>
      </c>
      <c r="AD241" s="26" cm="1">
        <f t="array" ref="AD241">_xlfn.IFS(
   OR(C241="",ISBLANK(C241),C241=0),0,
   ISNUMBER(MATCH(C241,{2,3,5,7,11,13,17,19,23,29,31,37,41,43},0)),"소",
   AND(ISNUMBER(C241),MOD(C241,3)=0),"배",
   AND(ISNUMBER(C241),C241&gt;0),"자"
)</f>
        <v>0</v>
      </c>
      <c r="AE241" s="26" cm="1">
        <f t="array" ref="AE241">_xlfn.IFS(
   OR(D241="",ISBLANK(D241),D241=0),0,
   ISNUMBER(MATCH(D241,{2,3,5,7,11,13,17,19,23,29,31,37,41,43},0)),"소",
   AND(ISNUMBER(D241),MOD(D241,3)=0),"배",
   AND(ISNUMBER(D241),D241&gt;0),"자"
)</f>
        <v>0</v>
      </c>
      <c r="AF241" s="26" cm="1">
        <f t="array" ref="AF241">_xlfn.IFS(
   OR(E241="",ISBLANK(E241),E241=0),0,
   ISNUMBER(MATCH(E241,{2,3,5,7,11,13,17,19,23,29,31,37,41,43},0)),"소",
   AND(ISNUMBER(E241),MOD(E241,3)=0),"배",
   AND(ISNUMBER(E241),E241&gt;0),"자"
)</f>
        <v>0</v>
      </c>
      <c r="AG241" s="26" cm="1">
        <f t="array" ref="AG241">_xlfn.IFS(
   OR(F241="",ISBLANK(F241),F241=0),0,
   ISNUMBER(MATCH(F241,{2,3,5,7,11,13,17,19,23,29,31,37,41,43},0)),"소",
   AND(ISNUMBER(F241),MOD(F241,3)=0),"배",
   AND(ISNUMBER(F241),F241&gt;0),"자"
)</f>
        <v>0</v>
      </c>
      <c r="AH241" s="26" cm="1">
        <f t="array" ref="AH241">_xlfn.IFS(
   OR(G241="",ISBLANK(G241),G241=0),0,
   ISNUMBER(MATCH(G241,{2,3,5,7,11,13,17,19,23,29,31,37,41,43},0)),"소",
   AND(ISNUMBER(G241),MOD(G241,3)=0),"배",
   AND(ISNUMBER(G241),G241&gt;0),"자"
)</f>
        <v>0</v>
      </c>
      <c r="AI241" s="30"/>
      <c r="AJ241" s="3">
        <f t="shared" si="130"/>
        <v>0</v>
      </c>
      <c r="AK241" s="3">
        <f t="shared" si="131"/>
        <v>0</v>
      </c>
      <c r="AL241" s="3">
        <f t="shared" si="132"/>
        <v>6</v>
      </c>
      <c r="AM241" s="33"/>
      <c r="AN241" s="3">
        <f t="shared" si="133"/>
        <v>0</v>
      </c>
      <c r="AO241" s="3">
        <f t="shared" si="134"/>
        <v>0</v>
      </c>
      <c r="AP241" s="3">
        <f t="shared" si="135"/>
        <v>0</v>
      </c>
      <c r="AQ241" s="3">
        <f t="shared" si="136"/>
        <v>0</v>
      </c>
      <c r="AR241" s="3">
        <f t="shared" si="137"/>
        <v>0</v>
      </c>
      <c r="AS241" s="28" t="e">
        <f>#REF!</f>
        <v>#REF!</v>
      </c>
      <c r="AT241" s="28" t="e">
        <f>#REF!*2</f>
        <v>#REF!</v>
      </c>
      <c r="AU241" s="28" t="e">
        <f>#REF!</f>
        <v>#REF!</v>
      </c>
      <c r="AV241" s="28" t="e">
        <f>#REF!*2</f>
        <v>#REF!</v>
      </c>
      <c r="AW241" s="28" t="e">
        <f>#REF!</f>
        <v>#REF!</v>
      </c>
      <c r="AX241" s="28" t="e">
        <f>#REF!*2</f>
        <v>#REF!</v>
      </c>
      <c r="AY241" s="28" t="e">
        <f>#REF!</f>
        <v>#REF!</v>
      </c>
      <c r="AZ241" s="28" t="e">
        <f>#REF!*2</f>
        <v>#REF!</v>
      </c>
      <c r="BA241" s="28" t="e">
        <f>#REF!</f>
        <v>#REF!</v>
      </c>
      <c r="BB241" s="28" t="e">
        <f>#REF!*2</f>
        <v>#REF!</v>
      </c>
      <c r="BC241" s="28" t="e">
        <f>#REF!</f>
        <v>#REF!</v>
      </c>
      <c r="BD241" s="28" t="e">
        <f>#REF!*2</f>
        <v>#REF!</v>
      </c>
      <c r="BE241" s="9" t="e">
        <f>#REF!-#REF!</f>
        <v>#REF!</v>
      </c>
      <c r="BF241" s="9" t="e">
        <f>#REF!-#REF!</f>
        <v>#REF!</v>
      </c>
      <c r="BG241" s="9" t="e">
        <f>#REF!-#REF!</f>
        <v>#REF!</v>
      </c>
      <c r="BH241" s="9" t="e">
        <f>#REF!-#REF!</f>
        <v>#REF!</v>
      </c>
      <c r="BI241" s="9" t="e">
        <f>#REF!-#REF!</f>
        <v>#REF!</v>
      </c>
      <c r="BJ241" s="33"/>
      <c r="BK241" s="3">
        <f t="shared" si="138"/>
        <v>0</v>
      </c>
      <c r="BL241" s="3">
        <f t="shared" si="139"/>
        <v>0</v>
      </c>
      <c r="BM241" s="3">
        <f t="shared" si="140"/>
        <v>0</v>
      </c>
      <c r="BN241" s="3">
        <f t="shared" si="141"/>
        <v>0</v>
      </c>
      <c r="BO241" s="3">
        <f t="shared" si="142"/>
        <v>0</v>
      </c>
      <c r="BP241" s="28" t="e">
        <f>#REF!</f>
        <v>#REF!</v>
      </c>
      <c r="BQ241" s="28" t="e">
        <f>#REF!*2</f>
        <v>#REF!</v>
      </c>
      <c r="BR241" s="28" t="e">
        <f>#REF!</f>
        <v>#REF!</v>
      </c>
      <c r="BS241" s="28" t="e">
        <f>#REF!*2</f>
        <v>#REF!</v>
      </c>
      <c r="BT241" s="28" t="e">
        <f>#REF!</f>
        <v>#REF!</v>
      </c>
      <c r="BU241" s="28" t="e">
        <f>#REF!*2</f>
        <v>#REF!</v>
      </c>
      <c r="BV241" s="28" t="e">
        <f>#REF!</f>
        <v>#REF!</v>
      </c>
      <c r="BW241" s="28" t="e">
        <f>#REF!*2</f>
        <v>#REF!</v>
      </c>
      <c r="BX241" s="28" t="e">
        <f>#REF!</f>
        <v>#REF!</v>
      </c>
      <c r="BY241" s="28" t="e">
        <f>#REF!*2</f>
        <v>#REF!</v>
      </c>
      <c r="BZ241" s="28" t="e">
        <f>#REF!</f>
        <v>#REF!</v>
      </c>
      <c r="CA241" s="28" t="e">
        <f>#REF!*2</f>
        <v>#REF!</v>
      </c>
      <c r="CB241" s="9">
        <f t="shared" si="143"/>
        <v>0</v>
      </c>
      <c r="CC241" s="9">
        <f t="shared" si="144"/>
        <v>0</v>
      </c>
      <c r="CD241" s="9">
        <f t="shared" si="145"/>
        <v>0</v>
      </c>
      <c r="CE241" s="9">
        <f t="shared" si="146"/>
        <v>0</v>
      </c>
      <c r="CF241" s="9">
        <f t="shared" si="147"/>
        <v>0</v>
      </c>
      <c r="CG241" s="33"/>
      <c r="CH241" s="3">
        <f t="shared" si="148"/>
        <v>0</v>
      </c>
      <c r="CI241" s="3">
        <f t="shared" si="149"/>
        <v>0</v>
      </c>
      <c r="CJ241" s="3">
        <f t="shared" si="150"/>
        <v>0</v>
      </c>
      <c r="CK241" s="3">
        <f t="shared" si="151"/>
        <v>0</v>
      </c>
      <c r="CL241" s="3">
        <f t="shared" si="152"/>
        <v>0</v>
      </c>
      <c r="CM241" s="32"/>
      <c r="CN241" s="3">
        <f t="shared" si="153"/>
        <v>0</v>
      </c>
      <c r="CO241" s="3">
        <f t="shared" si="154"/>
        <v>0</v>
      </c>
      <c r="CP241" s="3">
        <f t="shared" si="155"/>
        <v>0</v>
      </c>
      <c r="CQ241" s="3">
        <f t="shared" si="156"/>
        <v>0</v>
      </c>
      <c r="CR241" s="3">
        <f t="shared" si="157"/>
        <v>0</v>
      </c>
      <c r="CS241" s="31"/>
      <c r="CT241" s="3" cm="1">
        <f t="array" ref="CT241">SUMPRODUCT(--(MOD(CH241:CL241,2)=1))</f>
        <v>0</v>
      </c>
      <c r="CU241" s="3">
        <f t="shared" si="158"/>
        <v>5</v>
      </c>
      <c r="CV241" s="30"/>
      <c r="CW241" s="3" cm="1">
        <f t="array" ref="CW241">SUMPRODUCT(--(MOD(CH241:CL241,10)&gt;=1), --(MOD(CH241:CL241,10)&lt;=5))</f>
        <v>0</v>
      </c>
      <c r="CX241" s="3">
        <f t="shared" si="159"/>
        <v>5</v>
      </c>
      <c r="CY241" s="30"/>
      <c r="CZ241" s="3" cm="1">
        <f t="array" ref="CZ241">IFERROR(COUNT(_xlfn._xlws.FILTER(CH241:CL241, ISNUMBER(MATCH(CH241:CL241, {2,3,5,7,11,13,17,19,23,29,31,37,41,43}, 0)))), 0)</f>
        <v>0</v>
      </c>
      <c r="DA241" s="3" cm="1">
        <f t="array" ref="DA241">IFERROR(COUNT(_xlfn._xlws.FILTER(CH241:CL241, ISNUMBER(MATCH(CH241:CL241, {1,4,8,10,14,16,20,22,25,26,28,32,34,35,38,40,44}, 0)))), 0)</f>
        <v>0</v>
      </c>
      <c r="DB241" s="3" cm="1">
        <f t="array" ref="DB241">IFERROR(COUNT(_xlfn._xlws.FILTER(CH241:CL241, ISNUMBER(MATCH(CH241:CL241, {6,9,12,15,18,21,24,27,30,33,36,39,42,45}, 0)))), 0)</f>
        <v>0</v>
      </c>
      <c r="DC241" s="29"/>
      <c r="DD241" s="28" t="e">
        <f>#REF!</f>
        <v>#REF!</v>
      </c>
      <c r="DE241" s="28" t="e">
        <f>#REF!*2</f>
        <v>#REF!</v>
      </c>
      <c r="DF241" s="28" t="e">
        <f>#REF!</f>
        <v>#REF!</v>
      </c>
      <c r="DG241" s="28" t="e">
        <f>#REF!*2</f>
        <v>#REF!</v>
      </c>
      <c r="DH241" s="28" t="e">
        <f>#REF!</f>
        <v>#REF!</v>
      </c>
      <c r="DI241" s="28" t="e">
        <f>#REF!*2</f>
        <v>#REF!</v>
      </c>
      <c r="DJ241" s="28" t="e">
        <f>#REF!</f>
        <v>#REF!</v>
      </c>
      <c r="DK241" s="28" t="e">
        <f>#REF!*2</f>
        <v>#REF!</v>
      </c>
      <c r="DL241" s="28" t="e">
        <f>#REF!</f>
        <v>#REF!</v>
      </c>
      <c r="DM241" s="28" t="e">
        <f>#REF!*2</f>
        <v>#REF!</v>
      </c>
      <c r="DN241" s="27"/>
      <c r="DO241" s="26"/>
      <c r="DP241" s="26"/>
      <c r="DQ241" s="26"/>
      <c r="DR241" s="26"/>
      <c r="DS241" s="26"/>
      <c r="DT241" s="25"/>
    </row>
    <row r="242" spans="2:124" x14ac:dyDescent="0.3"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2"/>
      <c r="I242" s="3">
        <f t="shared" si="120"/>
        <v>0</v>
      </c>
      <c r="J242" s="3">
        <f t="shared" si="121"/>
        <v>0</v>
      </c>
      <c r="K242" s="3">
        <f t="shared" si="122"/>
        <v>0</v>
      </c>
      <c r="L242" s="3">
        <f t="shared" si="123"/>
        <v>0</v>
      </c>
      <c r="M242" s="3">
        <f t="shared" si="124"/>
        <v>0</v>
      </c>
      <c r="N242" s="3">
        <f t="shared" si="125"/>
        <v>0</v>
      </c>
      <c r="O242" s="32"/>
      <c r="P242" s="3" cm="1">
        <f t="array" ref="P242">SUMPRODUCT(--(MOD(B242:G242,2)=1))</f>
        <v>0</v>
      </c>
      <c r="Q242" s="3">
        <f t="shared" si="126"/>
        <v>6</v>
      </c>
      <c r="R242" s="34"/>
      <c r="S242" s="3">
        <f t="shared" si="127"/>
        <v>0</v>
      </c>
      <c r="T242" s="3">
        <f t="shared" si="128"/>
        <v>6</v>
      </c>
      <c r="U242" s="34"/>
      <c r="V242" s="3" cm="1">
        <f t="array" ref="V242">SUMPRODUCT(--(MOD(B242:G242,10)&gt;=1), --(MOD(B242:G242,10)&lt;=5))</f>
        <v>0</v>
      </c>
      <c r="W242" s="3">
        <f t="shared" si="129"/>
        <v>6</v>
      </c>
      <c r="X242" s="34"/>
      <c r="Y242" s="3" cm="1">
        <f t="array" ref="Y242">IFERROR(COUNT(_xlfn._xlws.FILTER(B242:G242, ISNUMBER(MATCH(B242:G242, {2,3,5,7,11,13,17,19,23,29,31,37,41,43}, 0)))), 0)</f>
        <v>0</v>
      </c>
      <c r="Z242" s="3" cm="1">
        <f t="array" ref="Z242">IFERROR(COUNT(_xlfn._xlws.FILTER(B242:G242, ISNUMBER(MATCH(B242:G242, {1,4,8,10,14,16,20,22,25,26,28,32,34,35,38,40,44}, 0)))), 0)</f>
        <v>0</v>
      </c>
      <c r="AA242" s="3" cm="1">
        <f t="array" ref="AA242">IFERROR(COUNT(_xlfn._xlws.FILTER(B242:G242, ISNUMBER(MATCH(B242:G242, {6,9,12,15,18,21,24,27,30,33,36,39,42,45}, 0)))), 0)</f>
        <v>0</v>
      </c>
      <c r="AB242" s="30"/>
      <c r="AC242" s="26" cm="1">
        <f t="array" ref="AC242">_xlfn.IFS(
   OR(B242="",ISBLANK(B242),B242=0),0,
   ISNUMBER(MATCH(B242,{2,3,5,7,11,13,17,19,23,29,31,37,41,43},0)),"소",
   AND(ISNUMBER(B242),MOD(B242,3)=0),"배",
   AND(ISNUMBER(B242),B242&gt;0),"자"
)</f>
        <v>0</v>
      </c>
      <c r="AD242" s="26" cm="1">
        <f t="array" ref="AD242">_xlfn.IFS(
   OR(C242="",ISBLANK(C242),C242=0),0,
   ISNUMBER(MATCH(C242,{2,3,5,7,11,13,17,19,23,29,31,37,41,43},0)),"소",
   AND(ISNUMBER(C242),MOD(C242,3)=0),"배",
   AND(ISNUMBER(C242),C242&gt;0),"자"
)</f>
        <v>0</v>
      </c>
      <c r="AE242" s="26" cm="1">
        <f t="array" ref="AE242">_xlfn.IFS(
   OR(D242="",ISBLANK(D242),D242=0),0,
   ISNUMBER(MATCH(D242,{2,3,5,7,11,13,17,19,23,29,31,37,41,43},0)),"소",
   AND(ISNUMBER(D242),MOD(D242,3)=0),"배",
   AND(ISNUMBER(D242),D242&gt;0),"자"
)</f>
        <v>0</v>
      </c>
      <c r="AF242" s="26" cm="1">
        <f t="array" ref="AF242">_xlfn.IFS(
   OR(E242="",ISBLANK(E242),E242=0),0,
   ISNUMBER(MATCH(E242,{2,3,5,7,11,13,17,19,23,29,31,37,41,43},0)),"소",
   AND(ISNUMBER(E242),MOD(E242,3)=0),"배",
   AND(ISNUMBER(E242),E242&gt;0),"자"
)</f>
        <v>0</v>
      </c>
      <c r="AG242" s="26" cm="1">
        <f t="array" ref="AG242">_xlfn.IFS(
   OR(F242="",ISBLANK(F242),F242=0),0,
   ISNUMBER(MATCH(F242,{2,3,5,7,11,13,17,19,23,29,31,37,41,43},0)),"소",
   AND(ISNUMBER(F242),MOD(F242,3)=0),"배",
   AND(ISNUMBER(F242),F242&gt;0),"자"
)</f>
        <v>0</v>
      </c>
      <c r="AH242" s="26" cm="1">
        <f t="array" ref="AH242">_xlfn.IFS(
   OR(G242="",ISBLANK(G242),G242=0),0,
   ISNUMBER(MATCH(G242,{2,3,5,7,11,13,17,19,23,29,31,37,41,43},0)),"소",
   AND(ISNUMBER(G242),MOD(G242,3)=0),"배",
   AND(ISNUMBER(G242),G242&gt;0),"자"
)</f>
        <v>0</v>
      </c>
      <c r="AI242" s="30"/>
      <c r="AJ242" s="3">
        <f t="shared" si="130"/>
        <v>0</v>
      </c>
      <c r="AK242" s="3">
        <f t="shared" si="131"/>
        <v>0</v>
      </c>
      <c r="AL242" s="3">
        <f t="shared" si="132"/>
        <v>6</v>
      </c>
      <c r="AM242" s="33"/>
      <c r="AN242" s="3">
        <f t="shared" si="133"/>
        <v>0</v>
      </c>
      <c r="AO242" s="3">
        <f t="shared" si="134"/>
        <v>0</v>
      </c>
      <c r="AP242" s="3">
        <f t="shared" si="135"/>
        <v>0</v>
      </c>
      <c r="AQ242" s="3">
        <f t="shared" si="136"/>
        <v>0</v>
      </c>
      <c r="AR242" s="3">
        <f t="shared" si="137"/>
        <v>0</v>
      </c>
      <c r="AS242" s="28" t="e">
        <f>#REF!</f>
        <v>#REF!</v>
      </c>
      <c r="AT242" s="28" t="e">
        <f>#REF!*2</f>
        <v>#REF!</v>
      </c>
      <c r="AU242" s="28" t="e">
        <f>#REF!</f>
        <v>#REF!</v>
      </c>
      <c r="AV242" s="28" t="e">
        <f>#REF!*2</f>
        <v>#REF!</v>
      </c>
      <c r="AW242" s="28" t="e">
        <f>#REF!</f>
        <v>#REF!</v>
      </c>
      <c r="AX242" s="28" t="e">
        <f>#REF!*2</f>
        <v>#REF!</v>
      </c>
      <c r="AY242" s="28" t="e">
        <f>#REF!</f>
        <v>#REF!</v>
      </c>
      <c r="AZ242" s="28" t="e">
        <f>#REF!*2</f>
        <v>#REF!</v>
      </c>
      <c r="BA242" s="28" t="e">
        <f>#REF!</f>
        <v>#REF!</v>
      </c>
      <c r="BB242" s="28" t="e">
        <f>#REF!*2</f>
        <v>#REF!</v>
      </c>
      <c r="BC242" s="28" t="e">
        <f>#REF!</f>
        <v>#REF!</v>
      </c>
      <c r="BD242" s="28" t="e">
        <f>#REF!*2</f>
        <v>#REF!</v>
      </c>
      <c r="BE242" s="9" t="e">
        <f>#REF!-#REF!</f>
        <v>#REF!</v>
      </c>
      <c r="BF242" s="9" t="e">
        <f>#REF!-#REF!</f>
        <v>#REF!</v>
      </c>
      <c r="BG242" s="9" t="e">
        <f>#REF!-#REF!</f>
        <v>#REF!</v>
      </c>
      <c r="BH242" s="9" t="e">
        <f>#REF!-#REF!</f>
        <v>#REF!</v>
      </c>
      <c r="BI242" s="9" t="e">
        <f>#REF!-#REF!</f>
        <v>#REF!</v>
      </c>
      <c r="BJ242" s="33"/>
      <c r="BK242" s="3">
        <f t="shared" si="138"/>
        <v>0</v>
      </c>
      <c r="BL242" s="3">
        <f t="shared" si="139"/>
        <v>0</v>
      </c>
      <c r="BM242" s="3">
        <f t="shared" si="140"/>
        <v>0</v>
      </c>
      <c r="BN242" s="3">
        <f t="shared" si="141"/>
        <v>0</v>
      </c>
      <c r="BO242" s="3">
        <f t="shared" si="142"/>
        <v>0</v>
      </c>
      <c r="BP242" s="28" t="e">
        <f>#REF!</f>
        <v>#REF!</v>
      </c>
      <c r="BQ242" s="28" t="e">
        <f>#REF!*2</f>
        <v>#REF!</v>
      </c>
      <c r="BR242" s="28" t="e">
        <f>#REF!</f>
        <v>#REF!</v>
      </c>
      <c r="BS242" s="28" t="e">
        <f>#REF!*2</f>
        <v>#REF!</v>
      </c>
      <c r="BT242" s="28" t="e">
        <f>#REF!</f>
        <v>#REF!</v>
      </c>
      <c r="BU242" s="28" t="e">
        <f>#REF!*2</f>
        <v>#REF!</v>
      </c>
      <c r="BV242" s="28" t="e">
        <f>#REF!</f>
        <v>#REF!</v>
      </c>
      <c r="BW242" s="28" t="e">
        <f>#REF!*2</f>
        <v>#REF!</v>
      </c>
      <c r="BX242" s="28" t="e">
        <f>#REF!</f>
        <v>#REF!</v>
      </c>
      <c r="BY242" s="28" t="e">
        <f>#REF!*2</f>
        <v>#REF!</v>
      </c>
      <c r="BZ242" s="28" t="e">
        <f>#REF!</f>
        <v>#REF!</v>
      </c>
      <c r="CA242" s="28" t="e">
        <f>#REF!*2</f>
        <v>#REF!</v>
      </c>
      <c r="CB242" s="9">
        <f t="shared" si="143"/>
        <v>0</v>
      </c>
      <c r="CC242" s="9">
        <f t="shared" si="144"/>
        <v>0</v>
      </c>
      <c r="CD242" s="9">
        <f t="shared" si="145"/>
        <v>0</v>
      </c>
      <c r="CE242" s="9">
        <f t="shared" si="146"/>
        <v>0</v>
      </c>
      <c r="CF242" s="9">
        <f t="shared" si="147"/>
        <v>0</v>
      </c>
      <c r="CG242" s="33"/>
      <c r="CH242" s="3">
        <f t="shared" si="148"/>
        <v>0</v>
      </c>
      <c r="CI242" s="3">
        <f t="shared" si="149"/>
        <v>0</v>
      </c>
      <c r="CJ242" s="3">
        <f t="shared" si="150"/>
        <v>0</v>
      </c>
      <c r="CK242" s="3">
        <f t="shared" si="151"/>
        <v>0</v>
      </c>
      <c r="CL242" s="3">
        <f t="shared" si="152"/>
        <v>0</v>
      </c>
      <c r="CM242" s="32"/>
      <c r="CN242" s="3">
        <f t="shared" si="153"/>
        <v>0</v>
      </c>
      <c r="CO242" s="3">
        <f t="shared" si="154"/>
        <v>0</v>
      </c>
      <c r="CP242" s="3">
        <f t="shared" si="155"/>
        <v>0</v>
      </c>
      <c r="CQ242" s="3">
        <f t="shared" si="156"/>
        <v>0</v>
      </c>
      <c r="CR242" s="3">
        <f t="shared" si="157"/>
        <v>0</v>
      </c>
      <c r="CS242" s="31"/>
      <c r="CT242" s="3" cm="1">
        <f t="array" ref="CT242">SUMPRODUCT(--(MOD(CH242:CL242,2)=1))</f>
        <v>0</v>
      </c>
      <c r="CU242" s="3">
        <f t="shared" si="158"/>
        <v>5</v>
      </c>
      <c r="CV242" s="30"/>
      <c r="CW242" s="3" cm="1">
        <f t="array" ref="CW242">SUMPRODUCT(--(MOD(CH242:CL242,10)&gt;=1), --(MOD(CH242:CL242,10)&lt;=5))</f>
        <v>0</v>
      </c>
      <c r="CX242" s="3">
        <f t="shared" si="159"/>
        <v>5</v>
      </c>
      <c r="CY242" s="30"/>
      <c r="CZ242" s="3" cm="1">
        <f t="array" ref="CZ242">IFERROR(COUNT(_xlfn._xlws.FILTER(CH242:CL242, ISNUMBER(MATCH(CH242:CL242, {2,3,5,7,11,13,17,19,23,29,31,37,41,43}, 0)))), 0)</f>
        <v>0</v>
      </c>
      <c r="DA242" s="3" cm="1">
        <f t="array" ref="DA242">IFERROR(COUNT(_xlfn._xlws.FILTER(CH242:CL242, ISNUMBER(MATCH(CH242:CL242, {1,4,8,10,14,16,20,22,25,26,28,32,34,35,38,40,44}, 0)))), 0)</f>
        <v>0</v>
      </c>
      <c r="DB242" s="3" cm="1">
        <f t="array" ref="DB242">IFERROR(COUNT(_xlfn._xlws.FILTER(CH242:CL242, ISNUMBER(MATCH(CH242:CL242, {6,9,12,15,18,21,24,27,30,33,36,39,42,45}, 0)))), 0)</f>
        <v>0</v>
      </c>
      <c r="DC242" s="29"/>
      <c r="DD242" s="28" t="e">
        <f>#REF!</f>
        <v>#REF!</v>
      </c>
      <c r="DE242" s="28" t="e">
        <f>#REF!*2</f>
        <v>#REF!</v>
      </c>
      <c r="DF242" s="28" t="e">
        <f>#REF!</f>
        <v>#REF!</v>
      </c>
      <c r="DG242" s="28" t="e">
        <f>#REF!*2</f>
        <v>#REF!</v>
      </c>
      <c r="DH242" s="28" t="e">
        <f>#REF!</f>
        <v>#REF!</v>
      </c>
      <c r="DI242" s="28" t="e">
        <f>#REF!*2</f>
        <v>#REF!</v>
      </c>
      <c r="DJ242" s="28" t="e">
        <f>#REF!</f>
        <v>#REF!</v>
      </c>
      <c r="DK242" s="28" t="e">
        <f>#REF!*2</f>
        <v>#REF!</v>
      </c>
      <c r="DL242" s="28" t="e">
        <f>#REF!</f>
        <v>#REF!</v>
      </c>
      <c r="DM242" s="28" t="e">
        <f>#REF!*2</f>
        <v>#REF!</v>
      </c>
      <c r="DN242" s="27"/>
      <c r="DO242" s="26"/>
      <c r="DP242" s="26"/>
      <c r="DQ242" s="26"/>
      <c r="DR242" s="26"/>
      <c r="DS242" s="26"/>
      <c r="DT242" s="25"/>
    </row>
    <row r="243" spans="2:124" x14ac:dyDescent="0.3"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2"/>
      <c r="I243" s="3">
        <f t="shared" si="120"/>
        <v>0</v>
      </c>
      <c r="J243" s="3">
        <f t="shared" si="121"/>
        <v>0</v>
      </c>
      <c r="K243" s="3">
        <f t="shared" si="122"/>
        <v>0</v>
      </c>
      <c r="L243" s="3">
        <f t="shared" si="123"/>
        <v>0</v>
      </c>
      <c r="M243" s="3">
        <f t="shared" si="124"/>
        <v>0</v>
      </c>
      <c r="N243" s="3">
        <f t="shared" si="125"/>
        <v>0</v>
      </c>
      <c r="O243" s="32"/>
      <c r="P243" s="3" cm="1">
        <f t="array" ref="P243">SUMPRODUCT(--(MOD(B243:G243,2)=1))</f>
        <v>0</v>
      </c>
      <c r="Q243" s="3">
        <f t="shared" si="126"/>
        <v>6</v>
      </c>
      <c r="R243" s="34"/>
      <c r="S243" s="3">
        <f t="shared" si="127"/>
        <v>0</v>
      </c>
      <c r="T243" s="3">
        <f t="shared" si="128"/>
        <v>6</v>
      </c>
      <c r="U243" s="34"/>
      <c r="V243" s="3" cm="1">
        <f t="array" ref="V243">SUMPRODUCT(--(MOD(B243:G243,10)&gt;=1), --(MOD(B243:G243,10)&lt;=5))</f>
        <v>0</v>
      </c>
      <c r="W243" s="3">
        <f t="shared" si="129"/>
        <v>6</v>
      </c>
      <c r="X243" s="34"/>
      <c r="Y243" s="3" cm="1">
        <f t="array" ref="Y243">IFERROR(COUNT(_xlfn._xlws.FILTER(B243:G243, ISNUMBER(MATCH(B243:G243, {2,3,5,7,11,13,17,19,23,29,31,37,41,43}, 0)))), 0)</f>
        <v>0</v>
      </c>
      <c r="Z243" s="3" cm="1">
        <f t="array" ref="Z243">IFERROR(COUNT(_xlfn._xlws.FILTER(B243:G243, ISNUMBER(MATCH(B243:G243, {1,4,8,10,14,16,20,22,25,26,28,32,34,35,38,40,44}, 0)))), 0)</f>
        <v>0</v>
      </c>
      <c r="AA243" s="3" cm="1">
        <f t="array" ref="AA243">IFERROR(COUNT(_xlfn._xlws.FILTER(B243:G243, ISNUMBER(MATCH(B243:G243, {6,9,12,15,18,21,24,27,30,33,36,39,42,45}, 0)))), 0)</f>
        <v>0</v>
      </c>
      <c r="AB243" s="30"/>
      <c r="AC243" s="26" cm="1">
        <f t="array" ref="AC243">_xlfn.IFS(
   OR(B243="",ISBLANK(B243),B243=0),0,
   ISNUMBER(MATCH(B243,{2,3,5,7,11,13,17,19,23,29,31,37,41,43},0)),"소",
   AND(ISNUMBER(B243),MOD(B243,3)=0),"배",
   AND(ISNUMBER(B243),B243&gt;0),"자"
)</f>
        <v>0</v>
      </c>
      <c r="AD243" s="26" cm="1">
        <f t="array" ref="AD243">_xlfn.IFS(
   OR(C243="",ISBLANK(C243),C243=0),0,
   ISNUMBER(MATCH(C243,{2,3,5,7,11,13,17,19,23,29,31,37,41,43},0)),"소",
   AND(ISNUMBER(C243),MOD(C243,3)=0),"배",
   AND(ISNUMBER(C243),C243&gt;0),"자"
)</f>
        <v>0</v>
      </c>
      <c r="AE243" s="26" cm="1">
        <f t="array" ref="AE243">_xlfn.IFS(
   OR(D243="",ISBLANK(D243),D243=0),0,
   ISNUMBER(MATCH(D243,{2,3,5,7,11,13,17,19,23,29,31,37,41,43},0)),"소",
   AND(ISNUMBER(D243),MOD(D243,3)=0),"배",
   AND(ISNUMBER(D243),D243&gt;0),"자"
)</f>
        <v>0</v>
      </c>
      <c r="AF243" s="26" cm="1">
        <f t="array" ref="AF243">_xlfn.IFS(
   OR(E243="",ISBLANK(E243),E243=0),0,
   ISNUMBER(MATCH(E243,{2,3,5,7,11,13,17,19,23,29,31,37,41,43},0)),"소",
   AND(ISNUMBER(E243),MOD(E243,3)=0),"배",
   AND(ISNUMBER(E243),E243&gt;0),"자"
)</f>
        <v>0</v>
      </c>
      <c r="AG243" s="26" cm="1">
        <f t="array" ref="AG243">_xlfn.IFS(
   OR(F243="",ISBLANK(F243),F243=0),0,
   ISNUMBER(MATCH(F243,{2,3,5,7,11,13,17,19,23,29,31,37,41,43},0)),"소",
   AND(ISNUMBER(F243),MOD(F243,3)=0),"배",
   AND(ISNUMBER(F243),F243&gt;0),"자"
)</f>
        <v>0</v>
      </c>
      <c r="AH243" s="26" cm="1">
        <f t="array" ref="AH243">_xlfn.IFS(
   OR(G243="",ISBLANK(G243),G243=0),0,
   ISNUMBER(MATCH(G243,{2,3,5,7,11,13,17,19,23,29,31,37,41,43},0)),"소",
   AND(ISNUMBER(G243),MOD(G243,3)=0),"배",
   AND(ISNUMBER(G243),G243&gt;0),"자"
)</f>
        <v>0</v>
      </c>
      <c r="AI243" s="30"/>
      <c r="AJ243" s="3">
        <f t="shared" si="130"/>
        <v>0</v>
      </c>
      <c r="AK243" s="3">
        <f t="shared" si="131"/>
        <v>0</v>
      </c>
      <c r="AL243" s="3">
        <f t="shared" si="132"/>
        <v>6</v>
      </c>
      <c r="AM243" s="33"/>
      <c r="AN243" s="3">
        <f t="shared" si="133"/>
        <v>0</v>
      </c>
      <c r="AO243" s="3">
        <f t="shared" si="134"/>
        <v>0</v>
      </c>
      <c r="AP243" s="3">
        <f t="shared" si="135"/>
        <v>0</v>
      </c>
      <c r="AQ243" s="3">
        <f t="shared" si="136"/>
        <v>0</v>
      </c>
      <c r="AR243" s="3">
        <f t="shared" si="137"/>
        <v>0</v>
      </c>
      <c r="AS243" s="28" t="e">
        <f>#REF!</f>
        <v>#REF!</v>
      </c>
      <c r="AT243" s="28" t="e">
        <f>#REF!*2</f>
        <v>#REF!</v>
      </c>
      <c r="AU243" s="28" t="e">
        <f>#REF!</f>
        <v>#REF!</v>
      </c>
      <c r="AV243" s="28" t="e">
        <f>#REF!*2</f>
        <v>#REF!</v>
      </c>
      <c r="AW243" s="28" t="e">
        <f>#REF!</f>
        <v>#REF!</v>
      </c>
      <c r="AX243" s="28" t="e">
        <f>#REF!*2</f>
        <v>#REF!</v>
      </c>
      <c r="AY243" s="28" t="e">
        <f>#REF!</f>
        <v>#REF!</v>
      </c>
      <c r="AZ243" s="28" t="e">
        <f>#REF!*2</f>
        <v>#REF!</v>
      </c>
      <c r="BA243" s="28" t="e">
        <f>#REF!</f>
        <v>#REF!</v>
      </c>
      <c r="BB243" s="28" t="e">
        <f>#REF!*2</f>
        <v>#REF!</v>
      </c>
      <c r="BC243" s="28" t="e">
        <f>#REF!</f>
        <v>#REF!</v>
      </c>
      <c r="BD243" s="28" t="e">
        <f>#REF!*2</f>
        <v>#REF!</v>
      </c>
      <c r="BE243" s="9" t="e">
        <f>#REF!-#REF!</f>
        <v>#REF!</v>
      </c>
      <c r="BF243" s="9" t="e">
        <f>#REF!-#REF!</f>
        <v>#REF!</v>
      </c>
      <c r="BG243" s="9" t="e">
        <f>#REF!-#REF!</f>
        <v>#REF!</v>
      </c>
      <c r="BH243" s="9" t="e">
        <f>#REF!-#REF!</f>
        <v>#REF!</v>
      </c>
      <c r="BI243" s="9" t="e">
        <f>#REF!-#REF!</f>
        <v>#REF!</v>
      </c>
      <c r="BJ243" s="33"/>
      <c r="BK243" s="3">
        <f t="shared" si="138"/>
        <v>0</v>
      </c>
      <c r="BL243" s="3">
        <f t="shared" si="139"/>
        <v>0</v>
      </c>
      <c r="BM243" s="3">
        <f t="shared" si="140"/>
        <v>0</v>
      </c>
      <c r="BN243" s="3">
        <f t="shared" si="141"/>
        <v>0</v>
      </c>
      <c r="BO243" s="3">
        <f t="shared" si="142"/>
        <v>0</v>
      </c>
      <c r="BP243" s="28" t="e">
        <f>#REF!</f>
        <v>#REF!</v>
      </c>
      <c r="BQ243" s="28" t="e">
        <f>#REF!*2</f>
        <v>#REF!</v>
      </c>
      <c r="BR243" s="28" t="e">
        <f>#REF!</f>
        <v>#REF!</v>
      </c>
      <c r="BS243" s="28" t="e">
        <f>#REF!*2</f>
        <v>#REF!</v>
      </c>
      <c r="BT243" s="28" t="e">
        <f>#REF!</f>
        <v>#REF!</v>
      </c>
      <c r="BU243" s="28" t="e">
        <f>#REF!*2</f>
        <v>#REF!</v>
      </c>
      <c r="BV243" s="28" t="e">
        <f>#REF!</f>
        <v>#REF!</v>
      </c>
      <c r="BW243" s="28" t="e">
        <f>#REF!*2</f>
        <v>#REF!</v>
      </c>
      <c r="BX243" s="28" t="e">
        <f>#REF!</f>
        <v>#REF!</v>
      </c>
      <c r="BY243" s="28" t="e">
        <f>#REF!*2</f>
        <v>#REF!</v>
      </c>
      <c r="BZ243" s="28" t="e">
        <f>#REF!</f>
        <v>#REF!</v>
      </c>
      <c r="CA243" s="28" t="e">
        <f>#REF!*2</f>
        <v>#REF!</v>
      </c>
      <c r="CB243" s="9">
        <f t="shared" si="143"/>
        <v>0</v>
      </c>
      <c r="CC243" s="9">
        <f t="shared" si="144"/>
        <v>0</v>
      </c>
      <c r="CD243" s="9">
        <f t="shared" si="145"/>
        <v>0</v>
      </c>
      <c r="CE243" s="9">
        <f t="shared" si="146"/>
        <v>0</v>
      </c>
      <c r="CF243" s="9">
        <f t="shared" si="147"/>
        <v>0</v>
      </c>
      <c r="CG243" s="33"/>
      <c r="CH243" s="3">
        <f t="shared" si="148"/>
        <v>0</v>
      </c>
      <c r="CI243" s="3">
        <f t="shared" si="149"/>
        <v>0</v>
      </c>
      <c r="CJ243" s="3">
        <f t="shared" si="150"/>
        <v>0</v>
      </c>
      <c r="CK243" s="3">
        <f t="shared" si="151"/>
        <v>0</v>
      </c>
      <c r="CL243" s="3">
        <f t="shared" si="152"/>
        <v>0</v>
      </c>
      <c r="CM243" s="32"/>
      <c r="CN243" s="3">
        <f t="shared" si="153"/>
        <v>0</v>
      </c>
      <c r="CO243" s="3">
        <f t="shared" si="154"/>
        <v>0</v>
      </c>
      <c r="CP243" s="3">
        <f t="shared" si="155"/>
        <v>0</v>
      </c>
      <c r="CQ243" s="3">
        <f t="shared" si="156"/>
        <v>0</v>
      </c>
      <c r="CR243" s="3">
        <f t="shared" si="157"/>
        <v>0</v>
      </c>
      <c r="CS243" s="31"/>
      <c r="CT243" s="3" cm="1">
        <f t="array" ref="CT243">SUMPRODUCT(--(MOD(CH243:CL243,2)=1))</f>
        <v>0</v>
      </c>
      <c r="CU243" s="3">
        <f t="shared" si="158"/>
        <v>5</v>
      </c>
      <c r="CV243" s="30"/>
      <c r="CW243" s="3" cm="1">
        <f t="array" ref="CW243">SUMPRODUCT(--(MOD(CH243:CL243,10)&gt;=1), --(MOD(CH243:CL243,10)&lt;=5))</f>
        <v>0</v>
      </c>
      <c r="CX243" s="3">
        <f t="shared" si="159"/>
        <v>5</v>
      </c>
      <c r="CY243" s="30"/>
      <c r="CZ243" s="3" cm="1">
        <f t="array" ref="CZ243">IFERROR(COUNT(_xlfn._xlws.FILTER(CH243:CL243, ISNUMBER(MATCH(CH243:CL243, {2,3,5,7,11,13,17,19,23,29,31,37,41,43}, 0)))), 0)</f>
        <v>0</v>
      </c>
      <c r="DA243" s="3" cm="1">
        <f t="array" ref="DA243">IFERROR(COUNT(_xlfn._xlws.FILTER(CH243:CL243, ISNUMBER(MATCH(CH243:CL243, {1,4,8,10,14,16,20,22,25,26,28,32,34,35,38,40,44}, 0)))), 0)</f>
        <v>0</v>
      </c>
      <c r="DB243" s="3" cm="1">
        <f t="array" ref="DB243">IFERROR(COUNT(_xlfn._xlws.FILTER(CH243:CL243, ISNUMBER(MATCH(CH243:CL243, {6,9,12,15,18,21,24,27,30,33,36,39,42,45}, 0)))), 0)</f>
        <v>0</v>
      </c>
      <c r="DC243" s="29"/>
      <c r="DD243" s="28" t="e">
        <f>#REF!</f>
        <v>#REF!</v>
      </c>
      <c r="DE243" s="28" t="e">
        <f>#REF!*2</f>
        <v>#REF!</v>
      </c>
      <c r="DF243" s="28" t="e">
        <f>#REF!</f>
        <v>#REF!</v>
      </c>
      <c r="DG243" s="28" t="e">
        <f>#REF!*2</f>
        <v>#REF!</v>
      </c>
      <c r="DH243" s="28" t="e">
        <f>#REF!</f>
        <v>#REF!</v>
      </c>
      <c r="DI243" s="28" t="e">
        <f>#REF!*2</f>
        <v>#REF!</v>
      </c>
      <c r="DJ243" s="28" t="e">
        <f>#REF!</f>
        <v>#REF!</v>
      </c>
      <c r="DK243" s="28" t="e">
        <f>#REF!*2</f>
        <v>#REF!</v>
      </c>
      <c r="DL243" s="28" t="e">
        <f>#REF!</f>
        <v>#REF!</v>
      </c>
      <c r="DM243" s="28" t="e">
        <f>#REF!*2</f>
        <v>#REF!</v>
      </c>
      <c r="DN243" s="27"/>
      <c r="DO243" s="26"/>
      <c r="DP243" s="26"/>
      <c r="DQ243" s="26"/>
      <c r="DR243" s="26"/>
      <c r="DS243" s="26"/>
      <c r="DT243" s="25"/>
    </row>
    <row r="244" spans="2:124" x14ac:dyDescent="0.3"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2"/>
      <c r="I244" s="3">
        <f t="shared" si="120"/>
        <v>0</v>
      </c>
      <c r="J244" s="3">
        <f t="shared" si="121"/>
        <v>0</v>
      </c>
      <c r="K244" s="3">
        <f t="shared" si="122"/>
        <v>0</v>
      </c>
      <c r="L244" s="3">
        <f t="shared" si="123"/>
        <v>0</v>
      </c>
      <c r="M244" s="3">
        <f t="shared" si="124"/>
        <v>0</v>
      </c>
      <c r="N244" s="3">
        <f t="shared" si="125"/>
        <v>0</v>
      </c>
      <c r="O244" s="32"/>
      <c r="P244" s="3" cm="1">
        <f t="array" ref="P244">SUMPRODUCT(--(MOD(B244:G244,2)=1))</f>
        <v>0</v>
      </c>
      <c r="Q244" s="3">
        <f t="shared" si="126"/>
        <v>6</v>
      </c>
      <c r="R244" s="34"/>
      <c r="S244" s="3">
        <f t="shared" si="127"/>
        <v>0</v>
      </c>
      <c r="T244" s="3">
        <f t="shared" si="128"/>
        <v>6</v>
      </c>
      <c r="U244" s="34"/>
      <c r="V244" s="3" cm="1">
        <f t="array" ref="V244">SUMPRODUCT(--(MOD(B244:G244,10)&gt;=1), --(MOD(B244:G244,10)&lt;=5))</f>
        <v>0</v>
      </c>
      <c r="W244" s="3">
        <f t="shared" si="129"/>
        <v>6</v>
      </c>
      <c r="X244" s="34"/>
      <c r="Y244" s="3" cm="1">
        <f t="array" ref="Y244">IFERROR(COUNT(_xlfn._xlws.FILTER(B244:G244, ISNUMBER(MATCH(B244:G244, {2,3,5,7,11,13,17,19,23,29,31,37,41,43}, 0)))), 0)</f>
        <v>0</v>
      </c>
      <c r="Z244" s="3" cm="1">
        <f t="array" ref="Z244">IFERROR(COUNT(_xlfn._xlws.FILTER(B244:G244, ISNUMBER(MATCH(B244:G244, {1,4,8,10,14,16,20,22,25,26,28,32,34,35,38,40,44}, 0)))), 0)</f>
        <v>0</v>
      </c>
      <c r="AA244" s="3" cm="1">
        <f t="array" ref="AA244">IFERROR(COUNT(_xlfn._xlws.FILTER(B244:G244, ISNUMBER(MATCH(B244:G244, {6,9,12,15,18,21,24,27,30,33,36,39,42,45}, 0)))), 0)</f>
        <v>0</v>
      </c>
      <c r="AB244" s="30"/>
      <c r="AC244" s="26" cm="1">
        <f t="array" ref="AC244">_xlfn.IFS(
   OR(B244="",ISBLANK(B244),B244=0),0,
   ISNUMBER(MATCH(B244,{2,3,5,7,11,13,17,19,23,29,31,37,41,43},0)),"소",
   AND(ISNUMBER(B244),MOD(B244,3)=0),"배",
   AND(ISNUMBER(B244),B244&gt;0),"자"
)</f>
        <v>0</v>
      </c>
      <c r="AD244" s="26" cm="1">
        <f t="array" ref="AD244">_xlfn.IFS(
   OR(C244="",ISBLANK(C244),C244=0),0,
   ISNUMBER(MATCH(C244,{2,3,5,7,11,13,17,19,23,29,31,37,41,43},0)),"소",
   AND(ISNUMBER(C244),MOD(C244,3)=0),"배",
   AND(ISNUMBER(C244),C244&gt;0),"자"
)</f>
        <v>0</v>
      </c>
      <c r="AE244" s="26" cm="1">
        <f t="array" ref="AE244">_xlfn.IFS(
   OR(D244="",ISBLANK(D244),D244=0),0,
   ISNUMBER(MATCH(D244,{2,3,5,7,11,13,17,19,23,29,31,37,41,43},0)),"소",
   AND(ISNUMBER(D244),MOD(D244,3)=0),"배",
   AND(ISNUMBER(D244),D244&gt;0),"자"
)</f>
        <v>0</v>
      </c>
      <c r="AF244" s="26" cm="1">
        <f t="array" ref="AF244">_xlfn.IFS(
   OR(E244="",ISBLANK(E244),E244=0),0,
   ISNUMBER(MATCH(E244,{2,3,5,7,11,13,17,19,23,29,31,37,41,43},0)),"소",
   AND(ISNUMBER(E244),MOD(E244,3)=0),"배",
   AND(ISNUMBER(E244),E244&gt;0),"자"
)</f>
        <v>0</v>
      </c>
      <c r="AG244" s="26" cm="1">
        <f t="array" ref="AG244">_xlfn.IFS(
   OR(F244="",ISBLANK(F244),F244=0),0,
   ISNUMBER(MATCH(F244,{2,3,5,7,11,13,17,19,23,29,31,37,41,43},0)),"소",
   AND(ISNUMBER(F244),MOD(F244,3)=0),"배",
   AND(ISNUMBER(F244),F244&gt;0),"자"
)</f>
        <v>0</v>
      </c>
      <c r="AH244" s="26" cm="1">
        <f t="array" ref="AH244">_xlfn.IFS(
   OR(G244="",ISBLANK(G244),G244=0),0,
   ISNUMBER(MATCH(G244,{2,3,5,7,11,13,17,19,23,29,31,37,41,43},0)),"소",
   AND(ISNUMBER(G244),MOD(G244,3)=0),"배",
   AND(ISNUMBER(G244),G244&gt;0),"자"
)</f>
        <v>0</v>
      </c>
      <c r="AI244" s="30"/>
      <c r="AJ244" s="3">
        <f t="shared" si="130"/>
        <v>0</v>
      </c>
      <c r="AK244" s="3">
        <f t="shared" si="131"/>
        <v>0</v>
      </c>
      <c r="AL244" s="3">
        <f t="shared" si="132"/>
        <v>6</v>
      </c>
      <c r="AM244" s="33"/>
      <c r="AN244" s="3">
        <f t="shared" si="133"/>
        <v>0</v>
      </c>
      <c r="AO244" s="3">
        <f t="shared" si="134"/>
        <v>0</v>
      </c>
      <c r="AP244" s="3">
        <f t="shared" si="135"/>
        <v>0</v>
      </c>
      <c r="AQ244" s="3">
        <f t="shared" si="136"/>
        <v>0</v>
      </c>
      <c r="AR244" s="3">
        <f t="shared" si="137"/>
        <v>0</v>
      </c>
      <c r="AS244" s="28" t="e">
        <f>#REF!</f>
        <v>#REF!</v>
      </c>
      <c r="AT244" s="28" t="e">
        <f>#REF!*2</f>
        <v>#REF!</v>
      </c>
      <c r="AU244" s="28" t="e">
        <f>#REF!</f>
        <v>#REF!</v>
      </c>
      <c r="AV244" s="28" t="e">
        <f>#REF!*2</f>
        <v>#REF!</v>
      </c>
      <c r="AW244" s="28" t="e">
        <f>#REF!</f>
        <v>#REF!</v>
      </c>
      <c r="AX244" s="28" t="e">
        <f>#REF!*2</f>
        <v>#REF!</v>
      </c>
      <c r="AY244" s="28" t="e">
        <f>#REF!</f>
        <v>#REF!</v>
      </c>
      <c r="AZ244" s="28" t="e">
        <f>#REF!*2</f>
        <v>#REF!</v>
      </c>
      <c r="BA244" s="28" t="e">
        <f>#REF!</f>
        <v>#REF!</v>
      </c>
      <c r="BB244" s="28" t="e">
        <f>#REF!*2</f>
        <v>#REF!</v>
      </c>
      <c r="BC244" s="28" t="e">
        <f>#REF!</f>
        <v>#REF!</v>
      </c>
      <c r="BD244" s="28" t="e">
        <f>#REF!*2</f>
        <v>#REF!</v>
      </c>
      <c r="BE244" s="9" t="e">
        <f>#REF!-#REF!</f>
        <v>#REF!</v>
      </c>
      <c r="BF244" s="9" t="e">
        <f>#REF!-#REF!</f>
        <v>#REF!</v>
      </c>
      <c r="BG244" s="9" t="e">
        <f>#REF!-#REF!</f>
        <v>#REF!</v>
      </c>
      <c r="BH244" s="9" t="e">
        <f>#REF!-#REF!</f>
        <v>#REF!</v>
      </c>
      <c r="BI244" s="9" t="e">
        <f>#REF!-#REF!</f>
        <v>#REF!</v>
      </c>
      <c r="BJ244" s="33"/>
      <c r="BK244" s="3">
        <f t="shared" si="138"/>
        <v>0</v>
      </c>
      <c r="BL244" s="3">
        <f t="shared" si="139"/>
        <v>0</v>
      </c>
      <c r="BM244" s="3">
        <f t="shared" si="140"/>
        <v>0</v>
      </c>
      <c r="BN244" s="3">
        <f t="shared" si="141"/>
        <v>0</v>
      </c>
      <c r="BO244" s="3">
        <f t="shared" si="142"/>
        <v>0</v>
      </c>
      <c r="BP244" s="28" t="e">
        <f>#REF!</f>
        <v>#REF!</v>
      </c>
      <c r="BQ244" s="28" t="e">
        <f>#REF!*2</f>
        <v>#REF!</v>
      </c>
      <c r="BR244" s="28" t="e">
        <f>#REF!</f>
        <v>#REF!</v>
      </c>
      <c r="BS244" s="28" t="e">
        <f>#REF!*2</f>
        <v>#REF!</v>
      </c>
      <c r="BT244" s="28" t="e">
        <f>#REF!</f>
        <v>#REF!</v>
      </c>
      <c r="BU244" s="28" t="e">
        <f>#REF!*2</f>
        <v>#REF!</v>
      </c>
      <c r="BV244" s="28" t="e">
        <f>#REF!</f>
        <v>#REF!</v>
      </c>
      <c r="BW244" s="28" t="e">
        <f>#REF!*2</f>
        <v>#REF!</v>
      </c>
      <c r="BX244" s="28" t="e">
        <f>#REF!</f>
        <v>#REF!</v>
      </c>
      <c r="BY244" s="28" t="e">
        <f>#REF!*2</f>
        <v>#REF!</v>
      </c>
      <c r="BZ244" s="28" t="e">
        <f>#REF!</f>
        <v>#REF!</v>
      </c>
      <c r="CA244" s="28" t="e">
        <f>#REF!*2</f>
        <v>#REF!</v>
      </c>
      <c r="CB244" s="9">
        <f t="shared" si="143"/>
        <v>0</v>
      </c>
      <c r="CC244" s="9">
        <f t="shared" si="144"/>
        <v>0</v>
      </c>
      <c r="CD244" s="9">
        <f t="shared" si="145"/>
        <v>0</v>
      </c>
      <c r="CE244" s="9">
        <f t="shared" si="146"/>
        <v>0</v>
      </c>
      <c r="CF244" s="9">
        <f t="shared" si="147"/>
        <v>0</v>
      </c>
      <c r="CG244" s="33"/>
      <c r="CH244" s="3">
        <f t="shared" si="148"/>
        <v>0</v>
      </c>
      <c r="CI244" s="3">
        <f t="shared" si="149"/>
        <v>0</v>
      </c>
      <c r="CJ244" s="3">
        <f t="shared" si="150"/>
        <v>0</v>
      </c>
      <c r="CK244" s="3">
        <f t="shared" si="151"/>
        <v>0</v>
      </c>
      <c r="CL244" s="3">
        <f t="shared" si="152"/>
        <v>0</v>
      </c>
      <c r="CM244" s="32"/>
      <c r="CN244" s="3">
        <f t="shared" si="153"/>
        <v>0</v>
      </c>
      <c r="CO244" s="3">
        <f t="shared" si="154"/>
        <v>0</v>
      </c>
      <c r="CP244" s="3">
        <f t="shared" si="155"/>
        <v>0</v>
      </c>
      <c r="CQ244" s="3">
        <f t="shared" si="156"/>
        <v>0</v>
      </c>
      <c r="CR244" s="3">
        <f t="shared" si="157"/>
        <v>0</v>
      </c>
      <c r="CS244" s="31"/>
      <c r="CT244" s="3" cm="1">
        <f t="array" ref="CT244">SUMPRODUCT(--(MOD(CH244:CL244,2)=1))</f>
        <v>0</v>
      </c>
      <c r="CU244" s="3">
        <f t="shared" si="158"/>
        <v>5</v>
      </c>
      <c r="CV244" s="30"/>
      <c r="CW244" s="3" cm="1">
        <f t="array" ref="CW244">SUMPRODUCT(--(MOD(CH244:CL244,10)&gt;=1), --(MOD(CH244:CL244,10)&lt;=5))</f>
        <v>0</v>
      </c>
      <c r="CX244" s="3">
        <f t="shared" si="159"/>
        <v>5</v>
      </c>
      <c r="CY244" s="30"/>
      <c r="CZ244" s="3" cm="1">
        <f t="array" ref="CZ244">IFERROR(COUNT(_xlfn._xlws.FILTER(CH244:CL244, ISNUMBER(MATCH(CH244:CL244, {2,3,5,7,11,13,17,19,23,29,31,37,41,43}, 0)))), 0)</f>
        <v>0</v>
      </c>
      <c r="DA244" s="3" cm="1">
        <f t="array" ref="DA244">IFERROR(COUNT(_xlfn._xlws.FILTER(CH244:CL244, ISNUMBER(MATCH(CH244:CL244, {1,4,8,10,14,16,20,22,25,26,28,32,34,35,38,40,44}, 0)))), 0)</f>
        <v>0</v>
      </c>
      <c r="DB244" s="3" cm="1">
        <f t="array" ref="DB244">IFERROR(COUNT(_xlfn._xlws.FILTER(CH244:CL244, ISNUMBER(MATCH(CH244:CL244, {6,9,12,15,18,21,24,27,30,33,36,39,42,45}, 0)))), 0)</f>
        <v>0</v>
      </c>
      <c r="DC244" s="29"/>
      <c r="DD244" s="28" t="e">
        <f>#REF!</f>
        <v>#REF!</v>
      </c>
      <c r="DE244" s="28" t="e">
        <f>#REF!*2</f>
        <v>#REF!</v>
      </c>
      <c r="DF244" s="28" t="e">
        <f>#REF!</f>
        <v>#REF!</v>
      </c>
      <c r="DG244" s="28" t="e">
        <f>#REF!*2</f>
        <v>#REF!</v>
      </c>
      <c r="DH244" s="28" t="e">
        <f>#REF!</f>
        <v>#REF!</v>
      </c>
      <c r="DI244" s="28" t="e">
        <f>#REF!*2</f>
        <v>#REF!</v>
      </c>
      <c r="DJ244" s="28" t="e">
        <f>#REF!</f>
        <v>#REF!</v>
      </c>
      <c r="DK244" s="28" t="e">
        <f>#REF!*2</f>
        <v>#REF!</v>
      </c>
      <c r="DL244" s="28" t="e">
        <f>#REF!</f>
        <v>#REF!</v>
      </c>
      <c r="DM244" s="28" t="e">
        <f>#REF!*2</f>
        <v>#REF!</v>
      </c>
      <c r="DN244" s="27"/>
      <c r="DO244" s="26"/>
      <c r="DP244" s="26"/>
      <c r="DQ244" s="26"/>
      <c r="DR244" s="26"/>
      <c r="DS244" s="26"/>
      <c r="DT244" s="25"/>
    </row>
    <row r="245" spans="2:124" x14ac:dyDescent="0.3"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2"/>
      <c r="I245" s="3">
        <f t="shared" si="120"/>
        <v>0</v>
      </c>
      <c r="J245" s="3">
        <f t="shared" si="121"/>
        <v>0</v>
      </c>
      <c r="K245" s="3">
        <f t="shared" si="122"/>
        <v>0</v>
      </c>
      <c r="L245" s="3">
        <f t="shared" si="123"/>
        <v>0</v>
      </c>
      <c r="M245" s="3">
        <f t="shared" si="124"/>
        <v>0</v>
      </c>
      <c r="N245" s="3">
        <f t="shared" si="125"/>
        <v>0</v>
      </c>
      <c r="O245" s="32"/>
      <c r="P245" s="3" cm="1">
        <f t="array" ref="P245">SUMPRODUCT(--(MOD(B245:G245,2)=1))</f>
        <v>0</v>
      </c>
      <c r="Q245" s="3">
        <f t="shared" si="126"/>
        <v>6</v>
      </c>
      <c r="R245" s="34"/>
      <c r="S245" s="3">
        <f t="shared" si="127"/>
        <v>0</v>
      </c>
      <c r="T245" s="3">
        <f t="shared" si="128"/>
        <v>6</v>
      </c>
      <c r="U245" s="34"/>
      <c r="V245" s="3" cm="1">
        <f t="array" ref="V245">SUMPRODUCT(--(MOD(B245:G245,10)&gt;=1), --(MOD(B245:G245,10)&lt;=5))</f>
        <v>0</v>
      </c>
      <c r="W245" s="3">
        <f t="shared" si="129"/>
        <v>6</v>
      </c>
      <c r="X245" s="34"/>
      <c r="Y245" s="3" cm="1">
        <f t="array" ref="Y245">IFERROR(COUNT(_xlfn._xlws.FILTER(B245:G245, ISNUMBER(MATCH(B245:G245, {2,3,5,7,11,13,17,19,23,29,31,37,41,43}, 0)))), 0)</f>
        <v>0</v>
      </c>
      <c r="Z245" s="3" cm="1">
        <f t="array" ref="Z245">IFERROR(COUNT(_xlfn._xlws.FILTER(B245:G245, ISNUMBER(MATCH(B245:G245, {1,4,8,10,14,16,20,22,25,26,28,32,34,35,38,40,44}, 0)))), 0)</f>
        <v>0</v>
      </c>
      <c r="AA245" s="3" cm="1">
        <f t="array" ref="AA245">IFERROR(COUNT(_xlfn._xlws.FILTER(B245:G245, ISNUMBER(MATCH(B245:G245, {6,9,12,15,18,21,24,27,30,33,36,39,42,45}, 0)))), 0)</f>
        <v>0</v>
      </c>
      <c r="AB245" s="30"/>
      <c r="AC245" s="26" cm="1">
        <f t="array" ref="AC245">_xlfn.IFS(
   OR(B245="",ISBLANK(B245),B245=0),0,
   ISNUMBER(MATCH(B245,{2,3,5,7,11,13,17,19,23,29,31,37,41,43},0)),"소",
   AND(ISNUMBER(B245),MOD(B245,3)=0),"배",
   AND(ISNUMBER(B245),B245&gt;0),"자"
)</f>
        <v>0</v>
      </c>
      <c r="AD245" s="26" cm="1">
        <f t="array" ref="AD245">_xlfn.IFS(
   OR(C245="",ISBLANK(C245),C245=0),0,
   ISNUMBER(MATCH(C245,{2,3,5,7,11,13,17,19,23,29,31,37,41,43},0)),"소",
   AND(ISNUMBER(C245),MOD(C245,3)=0),"배",
   AND(ISNUMBER(C245),C245&gt;0),"자"
)</f>
        <v>0</v>
      </c>
      <c r="AE245" s="26" cm="1">
        <f t="array" ref="AE245">_xlfn.IFS(
   OR(D245="",ISBLANK(D245),D245=0),0,
   ISNUMBER(MATCH(D245,{2,3,5,7,11,13,17,19,23,29,31,37,41,43},0)),"소",
   AND(ISNUMBER(D245),MOD(D245,3)=0),"배",
   AND(ISNUMBER(D245),D245&gt;0),"자"
)</f>
        <v>0</v>
      </c>
      <c r="AF245" s="26" cm="1">
        <f t="array" ref="AF245">_xlfn.IFS(
   OR(E245="",ISBLANK(E245),E245=0),0,
   ISNUMBER(MATCH(E245,{2,3,5,7,11,13,17,19,23,29,31,37,41,43},0)),"소",
   AND(ISNUMBER(E245),MOD(E245,3)=0),"배",
   AND(ISNUMBER(E245),E245&gt;0),"자"
)</f>
        <v>0</v>
      </c>
      <c r="AG245" s="26" cm="1">
        <f t="array" ref="AG245">_xlfn.IFS(
   OR(F245="",ISBLANK(F245),F245=0),0,
   ISNUMBER(MATCH(F245,{2,3,5,7,11,13,17,19,23,29,31,37,41,43},0)),"소",
   AND(ISNUMBER(F245),MOD(F245,3)=0),"배",
   AND(ISNUMBER(F245),F245&gt;0),"자"
)</f>
        <v>0</v>
      </c>
      <c r="AH245" s="26" cm="1">
        <f t="array" ref="AH245">_xlfn.IFS(
   OR(G245="",ISBLANK(G245),G245=0),0,
   ISNUMBER(MATCH(G245,{2,3,5,7,11,13,17,19,23,29,31,37,41,43},0)),"소",
   AND(ISNUMBER(G245),MOD(G245,3)=0),"배",
   AND(ISNUMBER(G245),G245&gt;0),"자"
)</f>
        <v>0</v>
      </c>
      <c r="AI245" s="30"/>
      <c r="AJ245" s="3">
        <f t="shared" si="130"/>
        <v>0</v>
      </c>
      <c r="AK245" s="3">
        <f t="shared" si="131"/>
        <v>0</v>
      </c>
      <c r="AL245" s="3">
        <f t="shared" si="132"/>
        <v>6</v>
      </c>
      <c r="AM245" s="33"/>
      <c r="AN245" s="3">
        <f t="shared" si="133"/>
        <v>0</v>
      </c>
      <c r="AO245" s="3">
        <f t="shared" si="134"/>
        <v>0</v>
      </c>
      <c r="AP245" s="3">
        <f t="shared" si="135"/>
        <v>0</v>
      </c>
      <c r="AQ245" s="3">
        <f t="shared" si="136"/>
        <v>0</v>
      </c>
      <c r="AR245" s="3">
        <f t="shared" si="137"/>
        <v>0</v>
      </c>
      <c r="AS245" s="28" t="e">
        <f>#REF!</f>
        <v>#REF!</v>
      </c>
      <c r="AT245" s="28" t="e">
        <f>#REF!*2</f>
        <v>#REF!</v>
      </c>
      <c r="AU245" s="28" t="e">
        <f>#REF!</f>
        <v>#REF!</v>
      </c>
      <c r="AV245" s="28" t="e">
        <f>#REF!*2</f>
        <v>#REF!</v>
      </c>
      <c r="AW245" s="28" t="e">
        <f>#REF!</f>
        <v>#REF!</v>
      </c>
      <c r="AX245" s="28" t="e">
        <f>#REF!*2</f>
        <v>#REF!</v>
      </c>
      <c r="AY245" s="28" t="e">
        <f>#REF!</f>
        <v>#REF!</v>
      </c>
      <c r="AZ245" s="28" t="e">
        <f>#REF!*2</f>
        <v>#REF!</v>
      </c>
      <c r="BA245" s="28" t="e">
        <f>#REF!</f>
        <v>#REF!</v>
      </c>
      <c r="BB245" s="28" t="e">
        <f>#REF!*2</f>
        <v>#REF!</v>
      </c>
      <c r="BC245" s="28" t="e">
        <f>#REF!</f>
        <v>#REF!</v>
      </c>
      <c r="BD245" s="28" t="e">
        <f>#REF!*2</f>
        <v>#REF!</v>
      </c>
      <c r="BE245" s="9" t="e">
        <f>#REF!-#REF!</f>
        <v>#REF!</v>
      </c>
      <c r="BF245" s="9" t="e">
        <f>#REF!-#REF!</f>
        <v>#REF!</v>
      </c>
      <c r="BG245" s="9" t="e">
        <f>#REF!-#REF!</f>
        <v>#REF!</v>
      </c>
      <c r="BH245" s="9" t="e">
        <f>#REF!-#REF!</f>
        <v>#REF!</v>
      </c>
      <c r="BI245" s="9" t="e">
        <f>#REF!-#REF!</f>
        <v>#REF!</v>
      </c>
      <c r="BJ245" s="33"/>
      <c r="BK245" s="3">
        <f t="shared" si="138"/>
        <v>0</v>
      </c>
      <c r="BL245" s="3">
        <f t="shared" si="139"/>
        <v>0</v>
      </c>
      <c r="BM245" s="3">
        <f t="shared" si="140"/>
        <v>0</v>
      </c>
      <c r="BN245" s="3">
        <f t="shared" si="141"/>
        <v>0</v>
      </c>
      <c r="BO245" s="3">
        <f t="shared" si="142"/>
        <v>0</v>
      </c>
      <c r="BP245" s="28" t="e">
        <f>#REF!</f>
        <v>#REF!</v>
      </c>
      <c r="BQ245" s="28" t="e">
        <f>#REF!*2</f>
        <v>#REF!</v>
      </c>
      <c r="BR245" s="28" t="e">
        <f>#REF!</f>
        <v>#REF!</v>
      </c>
      <c r="BS245" s="28" t="e">
        <f>#REF!*2</f>
        <v>#REF!</v>
      </c>
      <c r="BT245" s="28" t="e">
        <f>#REF!</f>
        <v>#REF!</v>
      </c>
      <c r="BU245" s="28" t="e">
        <f>#REF!*2</f>
        <v>#REF!</v>
      </c>
      <c r="BV245" s="28" t="e">
        <f>#REF!</f>
        <v>#REF!</v>
      </c>
      <c r="BW245" s="28" t="e">
        <f>#REF!*2</f>
        <v>#REF!</v>
      </c>
      <c r="BX245" s="28" t="e">
        <f>#REF!</f>
        <v>#REF!</v>
      </c>
      <c r="BY245" s="28" t="e">
        <f>#REF!*2</f>
        <v>#REF!</v>
      </c>
      <c r="BZ245" s="28" t="e">
        <f>#REF!</f>
        <v>#REF!</v>
      </c>
      <c r="CA245" s="28" t="e">
        <f>#REF!*2</f>
        <v>#REF!</v>
      </c>
      <c r="CB245" s="9">
        <f t="shared" si="143"/>
        <v>0</v>
      </c>
      <c r="CC245" s="9">
        <f t="shared" si="144"/>
        <v>0</v>
      </c>
      <c r="CD245" s="9">
        <f t="shared" si="145"/>
        <v>0</v>
      </c>
      <c r="CE245" s="9">
        <f t="shared" si="146"/>
        <v>0</v>
      </c>
      <c r="CF245" s="9">
        <f t="shared" si="147"/>
        <v>0</v>
      </c>
      <c r="CG245" s="33"/>
      <c r="CH245" s="3">
        <f t="shared" si="148"/>
        <v>0</v>
      </c>
      <c r="CI245" s="3">
        <f t="shared" si="149"/>
        <v>0</v>
      </c>
      <c r="CJ245" s="3">
        <f t="shared" si="150"/>
        <v>0</v>
      </c>
      <c r="CK245" s="3">
        <f t="shared" si="151"/>
        <v>0</v>
      </c>
      <c r="CL245" s="3">
        <f t="shared" si="152"/>
        <v>0</v>
      </c>
      <c r="CM245" s="32"/>
      <c r="CN245" s="3">
        <f t="shared" si="153"/>
        <v>0</v>
      </c>
      <c r="CO245" s="3">
        <f t="shared" si="154"/>
        <v>0</v>
      </c>
      <c r="CP245" s="3">
        <f t="shared" si="155"/>
        <v>0</v>
      </c>
      <c r="CQ245" s="3">
        <f t="shared" si="156"/>
        <v>0</v>
      </c>
      <c r="CR245" s="3">
        <f t="shared" si="157"/>
        <v>0</v>
      </c>
      <c r="CS245" s="31"/>
      <c r="CT245" s="3" cm="1">
        <f t="array" ref="CT245">SUMPRODUCT(--(MOD(CH245:CL245,2)=1))</f>
        <v>0</v>
      </c>
      <c r="CU245" s="3">
        <f t="shared" si="158"/>
        <v>5</v>
      </c>
      <c r="CV245" s="30"/>
      <c r="CW245" s="3" cm="1">
        <f t="array" ref="CW245">SUMPRODUCT(--(MOD(CH245:CL245,10)&gt;=1), --(MOD(CH245:CL245,10)&lt;=5))</f>
        <v>0</v>
      </c>
      <c r="CX245" s="3">
        <f t="shared" si="159"/>
        <v>5</v>
      </c>
      <c r="CY245" s="30"/>
      <c r="CZ245" s="3" cm="1">
        <f t="array" ref="CZ245">IFERROR(COUNT(_xlfn._xlws.FILTER(CH245:CL245, ISNUMBER(MATCH(CH245:CL245, {2,3,5,7,11,13,17,19,23,29,31,37,41,43}, 0)))), 0)</f>
        <v>0</v>
      </c>
      <c r="DA245" s="3" cm="1">
        <f t="array" ref="DA245">IFERROR(COUNT(_xlfn._xlws.FILTER(CH245:CL245, ISNUMBER(MATCH(CH245:CL245, {1,4,8,10,14,16,20,22,25,26,28,32,34,35,38,40,44}, 0)))), 0)</f>
        <v>0</v>
      </c>
      <c r="DB245" s="3" cm="1">
        <f t="array" ref="DB245">IFERROR(COUNT(_xlfn._xlws.FILTER(CH245:CL245, ISNUMBER(MATCH(CH245:CL245, {6,9,12,15,18,21,24,27,30,33,36,39,42,45}, 0)))), 0)</f>
        <v>0</v>
      </c>
      <c r="DC245" s="29"/>
      <c r="DD245" s="28" t="e">
        <f>#REF!</f>
        <v>#REF!</v>
      </c>
      <c r="DE245" s="28" t="e">
        <f>#REF!*2</f>
        <v>#REF!</v>
      </c>
      <c r="DF245" s="28" t="e">
        <f>#REF!</f>
        <v>#REF!</v>
      </c>
      <c r="DG245" s="28" t="e">
        <f>#REF!*2</f>
        <v>#REF!</v>
      </c>
      <c r="DH245" s="28" t="e">
        <f>#REF!</f>
        <v>#REF!</v>
      </c>
      <c r="DI245" s="28" t="e">
        <f>#REF!*2</f>
        <v>#REF!</v>
      </c>
      <c r="DJ245" s="28" t="e">
        <f>#REF!</f>
        <v>#REF!</v>
      </c>
      <c r="DK245" s="28" t="e">
        <f>#REF!*2</f>
        <v>#REF!</v>
      </c>
      <c r="DL245" s="28" t="e">
        <f>#REF!</f>
        <v>#REF!</v>
      </c>
      <c r="DM245" s="28" t="e">
        <f>#REF!*2</f>
        <v>#REF!</v>
      </c>
      <c r="DN245" s="27"/>
      <c r="DO245" s="26"/>
      <c r="DP245" s="26"/>
      <c r="DQ245" s="26"/>
      <c r="DR245" s="26"/>
      <c r="DS245" s="26"/>
      <c r="DT245" s="25"/>
    </row>
    <row r="246" spans="2:124" x14ac:dyDescent="0.3"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2"/>
      <c r="I246" s="3">
        <f t="shared" si="120"/>
        <v>0</v>
      </c>
      <c r="J246" s="3">
        <f t="shared" si="121"/>
        <v>0</v>
      </c>
      <c r="K246" s="3">
        <f t="shared" si="122"/>
        <v>0</v>
      </c>
      <c r="L246" s="3">
        <f t="shared" si="123"/>
        <v>0</v>
      </c>
      <c r="M246" s="3">
        <f t="shared" si="124"/>
        <v>0</v>
      </c>
      <c r="N246" s="3">
        <f t="shared" si="125"/>
        <v>0</v>
      </c>
      <c r="O246" s="32"/>
      <c r="P246" s="3" cm="1">
        <f t="array" ref="P246">SUMPRODUCT(--(MOD(B246:G246,2)=1))</f>
        <v>0</v>
      </c>
      <c r="Q246" s="3">
        <f t="shared" si="126"/>
        <v>6</v>
      </c>
      <c r="R246" s="34"/>
      <c r="S246" s="3">
        <f t="shared" si="127"/>
        <v>0</v>
      </c>
      <c r="T246" s="3">
        <f t="shared" si="128"/>
        <v>6</v>
      </c>
      <c r="U246" s="34"/>
      <c r="V246" s="3" cm="1">
        <f t="array" ref="V246">SUMPRODUCT(--(MOD(B246:G246,10)&gt;=1), --(MOD(B246:G246,10)&lt;=5))</f>
        <v>0</v>
      </c>
      <c r="W246" s="3">
        <f t="shared" si="129"/>
        <v>6</v>
      </c>
      <c r="X246" s="34"/>
      <c r="Y246" s="3" cm="1">
        <f t="array" ref="Y246">IFERROR(COUNT(_xlfn._xlws.FILTER(B246:G246, ISNUMBER(MATCH(B246:G246, {2,3,5,7,11,13,17,19,23,29,31,37,41,43}, 0)))), 0)</f>
        <v>0</v>
      </c>
      <c r="Z246" s="3" cm="1">
        <f t="array" ref="Z246">IFERROR(COUNT(_xlfn._xlws.FILTER(B246:G246, ISNUMBER(MATCH(B246:G246, {1,4,8,10,14,16,20,22,25,26,28,32,34,35,38,40,44}, 0)))), 0)</f>
        <v>0</v>
      </c>
      <c r="AA246" s="3" cm="1">
        <f t="array" ref="AA246">IFERROR(COUNT(_xlfn._xlws.FILTER(B246:G246, ISNUMBER(MATCH(B246:G246, {6,9,12,15,18,21,24,27,30,33,36,39,42,45}, 0)))), 0)</f>
        <v>0</v>
      </c>
      <c r="AB246" s="30"/>
      <c r="AC246" s="26" cm="1">
        <f t="array" ref="AC246">_xlfn.IFS(
   OR(B246="",ISBLANK(B246),B246=0),0,
   ISNUMBER(MATCH(B246,{2,3,5,7,11,13,17,19,23,29,31,37,41,43},0)),"소",
   AND(ISNUMBER(B246),MOD(B246,3)=0),"배",
   AND(ISNUMBER(B246),B246&gt;0),"자"
)</f>
        <v>0</v>
      </c>
      <c r="AD246" s="26" cm="1">
        <f t="array" ref="AD246">_xlfn.IFS(
   OR(C246="",ISBLANK(C246),C246=0),0,
   ISNUMBER(MATCH(C246,{2,3,5,7,11,13,17,19,23,29,31,37,41,43},0)),"소",
   AND(ISNUMBER(C246),MOD(C246,3)=0),"배",
   AND(ISNUMBER(C246),C246&gt;0),"자"
)</f>
        <v>0</v>
      </c>
      <c r="AE246" s="26" cm="1">
        <f t="array" ref="AE246">_xlfn.IFS(
   OR(D246="",ISBLANK(D246),D246=0),0,
   ISNUMBER(MATCH(D246,{2,3,5,7,11,13,17,19,23,29,31,37,41,43},0)),"소",
   AND(ISNUMBER(D246),MOD(D246,3)=0),"배",
   AND(ISNUMBER(D246),D246&gt;0),"자"
)</f>
        <v>0</v>
      </c>
      <c r="AF246" s="26" cm="1">
        <f t="array" ref="AF246">_xlfn.IFS(
   OR(E246="",ISBLANK(E246),E246=0),0,
   ISNUMBER(MATCH(E246,{2,3,5,7,11,13,17,19,23,29,31,37,41,43},0)),"소",
   AND(ISNUMBER(E246),MOD(E246,3)=0),"배",
   AND(ISNUMBER(E246),E246&gt;0),"자"
)</f>
        <v>0</v>
      </c>
      <c r="AG246" s="26" cm="1">
        <f t="array" ref="AG246">_xlfn.IFS(
   OR(F246="",ISBLANK(F246),F246=0),0,
   ISNUMBER(MATCH(F246,{2,3,5,7,11,13,17,19,23,29,31,37,41,43},0)),"소",
   AND(ISNUMBER(F246),MOD(F246,3)=0),"배",
   AND(ISNUMBER(F246),F246&gt;0),"자"
)</f>
        <v>0</v>
      </c>
      <c r="AH246" s="26" cm="1">
        <f t="array" ref="AH246">_xlfn.IFS(
   OR(G246="",ISBLANK(G246),G246=0),0,
   ISNUMBER(MATCH(G246,{2,3,5,7,11,13,17,19,23,29,31,37,41,43},0)),"소",
   AND(ISNUMBER(G246),MOD(G246,3)=0),"배",
   AND(ISNUMBER(G246),G246&gt;0),"자"
)</f>
        <v>0</v>
      </c>
      <c r="AI246" s="30"/>
      <c r="AJ246" s="3">
        <f t="shared" si="130"/>
        <v>0</v>
      </c>
      <c r="AK246" s="3">
        <f t="shared" si="131"/>
        <v>0</v>
      </c>
      <c r="AL246" s="3">
        <f t="shared" si="132"/>
        <v>6</v>
      </c>
      <c r="AM246" s="33"/>
      <c r="AN246" s="3">
        <f t="shared" si="133"/>
        <v>0</v>
      </c>
      <c r="AO246" s="3">
        <f t="shared" si="134"/>
        <v>0</v>
      </c>
      <c r="AP246" s="3">
        <f t="shared" si="135"/>
        <v>0</v>
      </c>
      <c r="AQ246" s="3">
        <f t="shared" si="136"/>
        <v>0</v>
      </c>
      <c r="AR246" s="3">
        <f t="shared" si="137"/>
        <v>0</v>
      </c>
      <c r="AS246" s="28" t="e">
        <f>#REF!</f>
        <v>#REF!</v>
      </c>
      <c r="AT246" s="28" t="e">
        <f>#REF!*2</f>
        <v>#REF!</v>
      </c>
      <c r="AU246" s="28" t="e">
        <f>#REF!</f>
        <v>#REF!</v>
      </c>
      <c r="AV246" s="28" t="e">
        <f>#REF!*2</f>
        <v>#REF!</v>
      </c>
      <c r="AW246" s="28" t="e">
        <f>#REF!</f>
        <v>#REF!</v>
      </c>
      <c r="AX246" s="28" t="e">
        <f>#REF!*2</f>
        <v>#REF!</v>
      </c>
      <c r="AY246" s="28" t="e">
        <f>#REF!</f>
        <v>#REF!</v>
      </c>
      <c r="AZ246" s="28" t="e">
        <f>#REF!*2</f>
        <v>#REF!</v>
      </c>
      <c r="BA246" s="28" t="e">
        <f>#REF!</f>
        <v>#REF!</v>
      </c>
      <c r="BB246" s="28" t="e">
        <f>#REF!*2</f>
        <v>#REF!</v>
      </c>
      <c r="BC246" s="28" t="e">
        <f>#REF!</f>
        <v>#REF!</v>
      </c>
      <c r="BD246" s="28" t="e">
        <f>#REF!*2</f>
        <v>#REF!</v>
      </c>
      <c r="BE246" s="9" t="e">
        <f>#REF!-#REF!</f>
        <v>#REF!</v>
      </c>
      <c r="BF246" s="9" t="e">
        <f>#REF!-#REF!</f>
        <v>#REF!</v>
      </c>
      <c r="BG246" s="9" t="e">
        <f>#REF!-#REF!</f>
        <v>#REF!</v>
      </c>
      <c r="BH246" s="9" t="e">
        <f>#REF!-#REF!</f>
        <v>#REF!</v>
      </c>
      <c r="BI246" s="9" t="e">
        <f>#REF!-#REF!</f>
        <v>#REF!</v>
      </c>
      <c r="BJ246" s="33"/>
      <c r="BK246" s="3">
        <f t="shared" si="138"/>
        <v>0</v>
      </c>
      <c r="BL246" s="3">
        <f t="shared" si="139"/>
        <v>0</v>
      </c>
      <c r="BM246" s="3">
        <f t="shared" si="140"/>
        <v>0</v>
      </c>
      <c r="BN246" s="3">
        <f t="shared" si="141"/>
        <v>0</v>
      </c>
      <c r="BO246" s="3">
        <f t="shared" si="142"/>
        <v>0</v>
      </c>
      <c r="BP246" s="28" t="e">
        <f>#REF!</f>
        <v>#REF!</v>
      </c>
      <c r="BQ246" s="28" t="e">
        <f>#REF!*2</f>
        <v>#REF!</v>
      </c>
      <c r="BR246" s="28" t="e">
        <f>#REF!</f>
        <v>#REF!</v>
      </c>
      <c r="BS246" s="28" t="e">
        <f>#REF!*2</f>
        <v>#REF!</v>
      </c>
      <c r="BT246" s="28" t="e">
        <f>#REF!</f>
        <v>#REF!</v>
      </c>
      <c r="BU246" s="28" t="e">
        <f>#REF!*2</f>
        <v>#REF!</v>
      </c>
      <c r="BV246" s="28" t="e">
        <f>#REF!</f>
        <v>#REF!</v>
      </c>
      <c r="BW246" s="28" t="e">
        <f>#REF!*2</f>
        <v>#REF!</v>
      </c>
      <c r="BX246" s="28" t="e">
        <f>#REF!</f>
        <v>#REF!</v>
      </c>
      <c r="BY246" s="28" t="e">
        <f>#REF!*2</f>
        <v>#REF!</v>
      </c>
      <c r="BZ246" s="28" t="e">
        <f>#REF!</f>
        <v>#REF!</v>
      </c>
      <c r="CA246" s="28" t="e">
        <f>#REF!*2</f>
        <v>#REF!</v>
      </c>
      <c r="CB246" s="9">
        <f t="shared" si="143"/>
        <v>0</v>
      </c>
      <c r="CC246" s="9">
        <f t="shared" si="144"/>
        <v>0</v>
      </c>
      <c r="CD246" s="9">
        <f t="shared" si="145"/>
        <v>0</v>
      </c>
      <c r="CE246" s="9">
        <f t="shared" si="146"/>
        <v>0</v>
      </c>
      <c r="CF246" s="9">
        <f t="shared" si="147"/>
        <v>0</v>
      </c>
      <c r="CG246" s="33"/>
      <c r="CH246" s="3">
        <f t="shared" si="148"/>
        <v>0</v>
      </c>
      <c r="CI246" s="3">
        <f t="shared" si="149"/>
        <v>0</v>
      </c>
      <c r="CJ246" s="3">
        <f t="shared" si="150"/>
        <v>0</v>
      </c>
      <c r="CK246" s="3">
        <f t="shared" si="151"/>
        <v>0</v>
      </c>
      <c r="CL246" s="3">
        <f t="shared" si="152"/>
        <v>0</v>
      </c>
      <c r="CM246" s="32"/>
      <c r="CN246" s="3">
        <f t="shared" si="153"/>
        <v>0</v>
      </c>
      <c r="CO246" s="3">
        <f t="shared" si="154"/>
        <v>0</v>
      </c>
      <c r="CP246" s="3">
        <f t="shared" si="155"/>
        <v>0</v>
      </c>
      <c r="CQ246" s="3">
        <f t="shared" si="156"/>
        <v>0</v>
      </c>
      <c r="CR246" s="3">
        <f t="shared" si="157"/>
        <v>0</v>
      </c>
      <c r="CS246" s="31"/>
      <c r="CT246" s="3" cm="1">
        <f t="array" ref="CT246">SUMPRODUCT(--(MOD(CH246:CL246,2)=1))</f>
        <v>0</v>
      </c>
      <c r="CU246" s="3">
        <f t="shared" si="158"/>
        <v>5</v>
      </c>
      <c r="CV246" s="30"/>
      <c r="CW246" s="3" cm="1">
        <f t="array" ref="CW246">SUMPRODUCT(--(MOD(CH246:CL246,10)&gt;=1), --(MOD(CH246:CL246,10)&lt;=5))</f>
        <v>0</v>
      </c>
      <c r="CX246" s="3">
        <f t="shared" si="159"/>
        <v>5</v>
      </c>
      <c r="CY246" s="30"/>
      <c r="CZ246" s="3" cm="1">
        <f t="array" ref="CZ246">IFERROR(COUNT(_xlfn._xlws.FILTER(CH246:CL246, ISNUMBER(MATCH(CH246:CL246, {2,3,5,7,11,13,17,19,23,29,31,37,41,43}, 0)))), 0)</f>
        <v>0</v>
      </c>
      <c r="DA246" s="3" cm="1">
        <f t="array" ref="DA246">IFERROR(COUNT(_xlfn._xlws.FILTER(CH246:CL246, ISNUMBER(MATCH(CH246:CL246, {1,4,8,10,14,16,20,22,25,26,28,32,34,35,38,40,44}, 0)))), 0)</f>
        <v>0</v>
      </c>
      <c r="DB246" s="3" cm="1">
        <f t="array" ref="DB246">IFERROR(COUNT(_xlfn._xlws.FILTER(CH246:CL246, ISNUMBER(MATCH(CH246:CL246, {6,9,12,15,18,21,24,27,30,33,36,39,42,45}, 0)))), 0)</f>
        <v>0</v>
      </c>
      <c r="DC246" s="29"/>
      <c r="DD246" s="28" t="e">
        <f>#REF!</f>
        <v>#REF!</v>
      </c>
      <c r="DE246" s="28" t="e">
        <f>#REF!*2</f>
        <v>#REF!</v>
      </c>
      <c r="DF246" s="28" t="e">
        <f>#REF!</f>
        <v>#REF!</v>
      </c>
      <c r="DG246" s="28" t="e">
        <f>#REF!*2</f>
        <v>#REF!</v>
      </c>
      <c r="DH246" s="28" t="e">
        <f>#REF!</f>
        <v>#REF!</v>
      </c>
      <c r="DI246" s="28" t="e">
        <f>#REF!*2</f>
        <v>#REF!</v>
      </c>
      <c r="DJ246" s="28" t="e">
        <f>#REF!</f>
        <v>#REF!</v>
      </c>
      <c r="DK246" s="28" t="e">
        <f>#REF!*2</f>
        <v>#REF!</v>
      </c>
      <c r="DL246" s="28" t="e">
        <f>#REF!</f>
        <v>#REF!</v>
      </c>
      <c r="DM246" s="28" t="e">
        <f>#REF!*2</f>
        <v>#REF!</v>
      </c>
      <c r="DN246" s="27"/>
      <c r="DO246" s="26"/>
      <c r="DP246" s="26"/>
      <c r="DQ246" s="26"/>
      <c r="DR246" s="26"/>
      <c r="DS246" s="26"/>
      <c r="DT246" s="25"/>
    </row>
    <row r="247" spans="2:124" x14ac:dyDescent="0.3"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2"/>
      <c r="I247" s="3">
        <f t="shared" si="120"/>
        <v>0</v>
      </c>
      <c r="J247" s="3">
        <f t="shared" si="121"/>
        <v>0</v>
      </c>
      <c r="K247" s="3">
        <f t="shared" si="122"/>
        <v>0</v>
      </c>
      <c r="L247" s="3">
        <f t="shared" si="123"/>
        <v>0</v>
      </c>
      <c r="M247" s="3">
        <f t="shared" si="124"/>
        <v>0</v>
      </c>
      <c r="N247" s="3">
        <f t="shared" si="125"/>
        <v>0</v>
      </c>
      <c r="O247" s="32"/>
      <c r="P247" s="3" cm="1">
        <f t="array" ref="P247">SUMPRODUCT(--(MOD(B247:G247,2)=1))</f>
        <v>0</v>
      </c>
      <c r="Q247" s="3">
        <f t="shared" si="126"/>
        <v>6</v>
      </c>
      <c r="R247" s="34"/>
      <c r="S247" s="3">
        <f t="shared" si="127"/>
        <v>0</v>
      </c>
      <c r="T247" s="3">
        <f t="shared" si="128"/>
        <v>6</v>
      </c>
      <c r="U247" s="34"/>
      <c r="V247" s="3" cm="1">
        <f t="array" ref="V247">SUMPRODUCT(--(MOD(B247:G247,10)&gt;=1), --(MOD(B247:G247,10)&lt;=5))</f>
        <v>0</v>
      </c>
      <c r="W247" s="3">
        <f t="shared" si="129"/>
        <v>6</v>
      </c>
      <c r="X247" s="34"/>
      <c r="Y247" s="3" cm="1">
        <f t="array" ref="Y247">IFERROR(COUNT(_xlfn._xlws.FILTER(B247:G247, ISNUMBER(MATCH(B247:G247, {2,3,5,7,11,13,17,19,23,29,31,37,41,43}, 0)))), 0)</f>
        <v>0</v>
      </c>
      <c r="Z247" s="3" cm="1">
        <f t="array" ref="Z247">IFERROR(COUNT(_xlfn._xlws.FILTER(B247:G247, ISNUMBER(MATCH(B247:G247, {1,4,8,10,14,16,20,22,25,26,28,32,34,35,38,40,44}, 0)))), 0)</f>
        <v>0</v>
      </c>
      <c r="AA247" s="3" cm="1">
        <f t="array" ref="AA247">IFERROR(COUNT(_xlfn._xlws.FILTER(B247:G247, ISNUMBER(MATCH(B247:G247, {6,9,12,15,18,21,24,27,30,33,36,39,42,45}, 0)))), 0)</f>
        <v>0</v>
      </c>
      <c r="AB247" s="30"/>
      <c r="AC247" s="26" cm="1">
        <f t="array" ref="AC247">_xlfn.IFS(
   OR(B247="",ISBLANK(B247),B247=0),0,
   ISNUMBER(MATCH(B247,{2,3,5,7,11,13,17,19,23,29,31,37,41,43},0)),"소",
   AND(ISNUMBER(B247),MOD(B247,3)=0),"배",
   AND(ISNUMBER(B247),B247&gt;0),"자"
)</f>
        <v>0</v>
      </c>
      <c r="AD247" s="26" cm="1">
        <f t="array" ref="AD247">_xlfn.IFS(
   OR(C247="",ISBLANK(C247),C247=0),0,
   ISNUMBER(MATCH(C247,{2,3,5,7,11,13,17,19,23,29,31,37,41,43},0)),"소",
   AND(ISNUMBER(C247),MOD(C247,3)=0),"배",
   AND(ISNUMBER(C247),C247&gt;0),"자"
)</f>
        <v>0</v>
      </c>
      <c r="AE247" s="26" cm="1">
        <f t="array" ref="AE247">_xlfn.IFS(
   OR(D247="",ISBLANK(D247),D247=0),0,
   ISNUMBER(MATCH(D247,{2,3,5,7,11,13,17,19,23,29,31,37,41,43},0)),"소",
   AND(ISNUMBER(D247),MOD(D247,3)=0),"배",
   AND(ISNUMBER(D247),D247&gt;0),"자"
)</f>
        <v>0</v>
      </c>
      <c r="AF247" s="26" cm="1">
        <f t="array" ref="AF247">_xlfn.IFS(
   OR(E247="",ISBLANK(E247),E247=0),0,
   ISNUMBER(MATCH(E247,{2,3,5,7,11,13,17,19,23,29,31,37,41,43},0)),"소",
   AND(ISNUMBER(E247),MOD(E247,3)=0),"배",
   AND(ISNUMBER(E247),E247&gt;0),"자"
)</f>
        <v>0</v>
      </c>
      <c r="AG247" s="26" cm="1">
        <f t="array" ref="AG247">_xlfn.IFS(
   OR(F247="",ISBLANK(F247),F247=0),0,
   ISNUMBER(MATCH(F247,{2,3,5,7,11,13,17,19,23,29,31,37,41,43},0)),"소",
   AND(ISNUMBER(F247),MOD(F247,3)=0),"배",
   AND(ISNUMBER(F247),F247&gt;0),"자"
)</f>
        <v>0</v>
      </c>
      <c r="AH247" s="26" cm="1">
        <f t="array" ref="AH247">_xlfn.IFS(
   OR(G247="",ISBLANK(G247),G247=0),0,
   ISNUMBER(MATCH(G247,{2,3,5,7,11,13,17,19,23,29,31,37,41,43},0)),"소",
   AND(ISNUMBER(G247),MOD(G247,3)=0),"배",
   AND(ISNUMBER(G247),G247&gt;0),"자"
)</f>
        <v>0</v>
      </c>
      <c r="AI247" s="30"/>
      <c r="AJ247" s="3">
        <f t="shared" si="130"/>
        <v>0</v>
      </c>
      <c r="AK247" s="3">
        <f t="shared" si="131"/>
        <v>0</v>
      </c>
      <c r="AL247" s="3">
        <f t="shared" si="132"/>
        <v>6</v>
      </c>
      <c r="AM247" s="33"/>
      <c r="AN247" s="3">
        <f t="shared" si="133"/>
        <v>0</v>
      </c>
      <c r="AO247" s="3">
        <f t="shared" si="134"/>
        <v>0</v>
      </c>
      <c r="AP247" s="3">
        <f t="shared" si="135"/>
        <v>0</v>
      </c>
      <c r="AQ247" s="3">
        <f t="shared" si="136"/>
        <v>0</v>
      </c>
      <c r="AR247" s="3">
        <f t="shared" si="137"/>
        <v>0</v>
      </c>
      <c r="AS247" s="28" t="e">
        <f>#REF!</f>
        <v>#REF!</v>
      </c>
      <c r="AT247" s="28" t="e">
        <f>#REF!*2</f>
        <v>#REF!</v>
      </c>
      <c r="AU247" s="28" t="e">
        <f>#REF!</f>
        <v>#REF!</v>
      </c>
      <c r="AV247" s="28" t="e">
        <f>#REF!*2</f>
        <v>#REF!</v>
      </c>
      <c r="AW247" s="28" t="e">
        <f>#REF!</f>
        <v>#REF!</v>
      </c>
      <c r="AX247" s="28" t="e">
        <f>#REF!*2</f>
        <v>#REF!</v>
      </c>
      <c r="AY247" s="28" t="e">
        <f>#REF!</f>
        <v>#REF!</v>
      </c>
      <c r="AZ247" s="28" t="e">
        <f>#REF!*2</f>
        <v>#REF!</v>
      </c>
      <c r="BA247" s="28" t="e">
        <f>#REF!</f>
        <v>#REF!</v>
      </c>
      <c r="BB247" s="28" t="e">
        <f>#REF!*2</f>
        <v>#REF!</v>
      </c>
      <c r="BC247" s="28" t="e">
        <f>#REF!</f>
        <v>#REF!</v>
      </c>
      <c r="BD247" s="28" t="e">
        <f>#REF!*2</f>
        <v>#REF!</v>
      </c>
      <c r="BE247" s="9" t="e">
        <f>#REF!-#REF!</f>
        <v>#REF!</v>
      </c>
      <c r="BF247" s="9" t="e">
        <f>#REF!-#REF!</f>
        <v>#REF!</v>
      </c>
      <c r="BG247" s="9" t="e">
        <f>#REF!-#REF!</f>
        <v>#REF!</v>
      </c>
      <c r="BH247" s="9" t="e">
        <f>#REF!-#REF!</f>
        <v>#REF!</v>
      </c>
      <c r="BI247" s="9" t="e">
        <f>#REF!-#REF!</f>
        <v>#REF!</v>
      </c>
      <c r="BJ247" s="33"/>
      <c r="BK247" s="3">
        <f t="shared" si="138"/>
        <v>0</v>
      </c>
      <c r="BL247" s="3">
        <f t="shared" si="139"/>
        <v>0</v>
      </c>
      <c r="BM247" s="3">
        <f t="shared" si="140"/>
        <v>0</v>
      </c>
      <c r="BN247" s="3">
        <f t="shared" si="141"/>
        <v>0</v>
      </c>
      <c r="BO247" s="3">
        <f t="shared" si="142"/>
        <v>0</v>
      </c>
      <c r="BP247" s="28" t="e">
        <f>#REF!</f>
        <v>#REF!</v>
      </c>
      <c r="BQ247" s="28" t="e">
        <f>#REF!*2</f>
        <v>#REF!</v>
      </c>
      <c r="BR247" s="28" t="e">
        <f>#REF!</f>
        <v>#REF!</v>
      </c>
      <c r="BS247" s="28" t="e">
        <f>#REF!*2</f>
        <v>#REF!</v>
      </c>
      <c r="BT247" s="28" t="e">
        <f>#REF!</f>
        <v>#REF!</v>
      </c>
      <c r="BU247" s="28" t="e">
        <f>#REF!*2</f>
        <v>#REF!</v>
      </c>
      <c r="BV247" s="28" t="e">
        <f>#REF!</f>
        <v>#REF!</v>
      </c>
      <c r="BW247" s="28" t="e">
        <f>#REF!*2</f>
        <v>#REF!</v>
      </c>
      <c r="BX247" s="28" t="e">
        <f>#REF!</f>
        <v>#REF!</v>
      </c>
      <c r="BY247" s="28" t="e">
        <f>#REF!*2</f>
        <v>#REF!</v>
      </c>
      <c r="BZ247" s="28" t="e">
        <f>#REF!</f>
        <v>#REF!</v>
      </c>
      <c r="CA247" s="28" t="e">
        <f>#REF!*2</f>
        <v>#REF!</v>
      </c>
      <c r="CB247" s="9">
        <f t="shared" si="143"/>
        <v>0</v>
      </c>
      <c r="CC247" s="9">
        <f t="shared" si="144"/>
        <v>0</v>
      </c>
      <c r="CD247" s="9">
        <f t="shared" si="145"/>
        <v>0</v>
      </c>
      <c r="CE247" s="9">
        <f t="shared" si="146"/>
        <v>0</v>
      </c>
      <c r="CF247" s="9">
        <f t="shared" si="147"/>
        <v>0</v>
      </c>
      <c r="CG247" s="33"/>
      <c r="CH247" s="3">
        <f t="shared" si="148"/>
        <v>0</v>
      </c>
      <c r="CI247" s="3">
        <f t="shared" si="149"/>
        <v>0</v>
      </c>
      <c r="CJ247" s="3">
        <f t="shared" si="150"/>
        <v>0</v>
      </c>
      <c r="CK247" s="3">
        <f t="shared" si="151"/>
        <v>0</v>
      </c>
      <c r="CL247" s="3">
        <f t="shared" si="152"/>
        <v>0</v>
      </c>
      <c r="CM247" s="32"/>
      <c r="CN247" s="3">
        <f t="shared" si="153"/>
        <v>0</v>
      </c>
      <c r="CO247" s="3">
        <f t="shared" si="154"/>
        <v>0</v>
      </c>
      <c r="CP247" s="3">
        <f t="shared" si="155"/>
        <v>0</v>
      </c>
      <c r="CQ247" s="3">
        <f t="shared" si="156"/>
        <v>0</v>
      </c>
      <c r="CR247" s="3">
        <f t="shared" si="157"/>
        <v>0</v>
      </c>
      <c r="CS247" s="31"/>
      <c r="CT247" s="3" cm="1">
        <f t="array" ref="CT247">SUMPRODUCT(--(MOD(CH247:CL247,2)=1))</f>
        <v>0</v>
      </c>
      <c r="CU247" s="3">
        <f t="shared" si="158"/>
        <v>5</v>
      </c>
      <c r="CV247" s="30"/>
      <c r="CW247" s="3" cm="1">
        <f t="array" ref="CW247">SUMPRODUCT(--(MOD(CH247:CL247,10)&gt;=1), --(MOD(CH247:CL247,10)&lt;=5))</f>
        <v>0</v>
      </c>
      <c r="CX247" s="3">
        <f t="shared" si="159"/>
        <v>5</v>
      </c>
      <c r="CY247" s="30"/>
      <c r="CZ247" s="3" cm="1">
        <f t="array" ref="CZ247">IFERROR(COUNT(_xlfn._xlws.FILTER(CH247:CL247, ISNUMBER(MATCH(CH247:CL247, {2,3,5,7,11,13,17,19,23,29,31,37,41,43}, 0)))), 0)</f>
        <v>0</v>
      </c>
      <c r="DA247" s="3" cm="1">
        <f t="array" ref="DA247">IFERROR(COUNT(_xlfn._xlws.FILTER(CH247:CL247, ISNUMBER(MATCH(CH247:CL247, {1,4,8,10,14,16,20,22,25,26,28,32,34,35,38,40,44}, 0)))), 0)</f>
        <v>0</v>
      </c>
      <c r="DB247" s="3" cm="1">
        <f t="array" ref="DB247">IFERROR(COUNT(_xlfn._xlws.FILTER(CH247:CL247, ISNUMBER(MATCH(CH247:CL247, {6,9,12,15,18,21,24,27,30,33,36,39,42,45}, 0)))), 0)</f>
        <v>0</v>
      </c>
      <c r="DC247" s="29"/>
      <c r="DD247" s="28" t="e">
        <f>#REF!</f>
        <v>#REF!</v>
      </c>
      <c r="DE247" s="28" t="e">
        <f>#REF!*2</f>
        <v>#REF!</v>
      </c>
      <c r="DF247" s="28" t="e">
        <f>#REF!</f>
        <v>#REF!</v>
      </c>
      <c r="DG247" s="28" t="e">
        <f>#REF!*2</f>
        <v>#REF!</v>
      </c>
      <c r="DH247" s="28" t="e">
        <f>#REF!</f>
        <v>#REF!</v>
      </c>
      <c r="DI247" s="28" t="e">
        <f>#REF!*2</f>
        <v>#REF!</v>
      </c>
      <c r="DJ247" s="28" t="e">
        <f>#REF!</f>
        <v>#REF!</v>
      </c>
      <c r="DK247" s="28" t="e">
        <f>#REF!*2</f>
        <v>#REF!</v>
      </c>
      <c r="DL247" s="28" t="e">
        <f>#REF!</f>
        <v>#REF!</v>
      </c>
      <c r="DM247" s="28" t="e">
        <f>#REF!*2</f>
        <v>#REF!</v>
      </c>
      <c r="DN247" s="27"/>
      <c r="DO247" s="26"/>
      <c r="DP247" s="26"/>
      <c r="DQ247" s="26"/>
      <c r="DR247" s="26"/>
      <c r="DS247" s="26"/>
      <c r="DT247" s="25"/>
    </row>
    <row r="248" spans="2:124" x14ac:dyDescent="0.3"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2"/>
      <c r="I248" s="3">
        <f t="shared" si="120"/>
        <v>0</v>
      </c>
      <c r="J248" s="3">
        <f t="shared" si="121"/>
        <v>0</v>
      </c>
      <c r="K248" s="3">
        <f t="shared" si="122"/>
        <v>0</v>
      </c>
      <c r="L248" s="3">
        <f t="shared" si="123"/>
        <v>0</v>
      </c>
      <c r="M248" s="3">
        <f t="shared" si="124"/>
        <v>0</v>
      </c>
      <c r="N248" s="3">
        <f t="shared" si="125"/>
        <v>0</v>
      </c>
      <c r="O248" s="32"/>
      <c r="P248" s="3" cm="1">
        <f t="array" ref="P248">SUMPRODUCT(--(MOD(B248:G248,2)=1))</f>
        <v>0</v>
      </c>
      <c r="Q248" s="3">
        <f t="shared" si="126"/>
        <v>6</v>
      </c>
      <c r="R248" s="34"/>
      <c r="S248" s="3">
        <f t="shared" si="127"/>
        <v>0</v>
      </c>
      <c r="T248" s="3">
        <f t="shared" si="128"/>
        <v>6</v>
      </c>
      <c r="U248" s="34"/>
      <c r="V248" s="3" cm="1">
        <f t="array" ref="V248">SUMPRODUCT(--(MOD(B248:G248,10)&gt;=1), --(MOD(B248:G248,10)&lt;=5))</f>
        <v>0</v>
      </c>
      <c r="W248" s="3">
        <f t="shared" si="129"/>
        <v>6</v>
      </c>
      <c r="X248" s="34"/>
      <c r="Y248" s="3" cm="1">
        <f t="array" ref="Y248">IFERROR(COUNT(_xlfn._xlws.FILTER(B248:G248, ISNUMBER(MATCH(B248:G248, {2,3,5,7,11,13,17,19,23,29,31,37,41,43}, 0)))), 0)</f>
        <v>0</v>
      </c>
      <c r="Z248" s="3" cm="1">
        <f t="array" ref="Z248">IFERROR(COUNT(_xlfn._xlws.FILTER(B248:G248, ISNUMBER(MATCH(B248:G248, {1,4,8,10,14,16,20,22,25,26,28,32,34,35,38,40,44}, 0)))), 0)</f>
        <v>0</v>
      </c>
      <c r="AA248" s="3" cm="1">
        <f t="array" ref="AA248">IFERROR(COUNT(_xlfn._xlws.FILTER(B248:G248, ISNUMBER(MATCH(B248:G248, {6,9,12,15,18,21,24,27,30,33,36,39,42,45}, 0)))), 0)</f>
        <v>0</v>
      </c>
      <c r="AB248" s="30"/>
      <c r="AC248" s="26" cm="1">
        <f t="array" ref="AC248">_xlfn.IFS(
   OR(B248="",ISBLANK(B248),B248=0),0,
   ISNUMBER(MATCH(B248,{2,3,5,7,11,13,17,19,23,29,31,37,41,43},0)),"소",
   AND(ISNUMBER(B248),MOD(B248,3)=0),"배",
   AND(ISNUMBER(B248),B248&gt;0),"자"
)</f>
        <v>0</v>
      </c>
      <c r="AD248" s="26" cm="1">
        <f t="array" ref="AD248">_xlfn.IFS(
   OR(C248="",ISBLANK(C248),C248=0),0,
   ISNUMBER(MATCH(C248,{2,3,5,7,11,13,17,19,23,29,31,37,41,43},0)),"소",
   AND(ISNUMBER(C248),MOD(C248,3)=0),"배",
   AND(ISNUMBER(C248),C248&gt;0),"자"
)</f>
        <v>0</v>
      </c>
      <c r="AE248" s="26" cm="1">
        <f t="array" ref="AE248">_xlfn.IFS(
   OR(D248="",ISBLANK(D248),D248=0),0,
   ISNUMBER(MATCH(D248,{2,3,5,7,11,13,17,19,23,29,31,37,41,43},0)),"소",
   AND(ISNUMBER(D248),MOD(D248,3)=0),"배",
   AND(ISNUMBER(D248),D248&gt;0),"자"
)</f>
        <v>0</v>
      </c>
      <c r="AF248" s="26" cm="1">
        <f t="array" ref="AF248">_xlfn.IFS(
   OR(E248="",ISBLANK(E248),E248=0),0,
   ISNUMBER(MATCH(E248,{2,3,5,7,11,13,17,19,23,29,31,37,41,43},0)),"소",
   AND(ISNUMBER(E248),MOD(E248,3)=0),"배",
   AND(ISNUMBER(E248),E248&gt;0),"자"
)</f>
        <v>0</v>
      </c>
      <c r="AG248" s="26" cm="1">
        <f t="array" ref="AG248">_xlfn.IFS(
   OR(F248="",ISBLANK(F248),F248=0),0,
   ISNUMBER(MATCH(F248,{2,3,5,7,11,13,17,19,23,29,31,37,41,43},0)),"소",
   AND(ISNUMBER(F248),MOD(F248,3)=0),"배",
   AND(ISNUMBER(F248),F248&gt;0),"자"
)</f>
        <v>0</v>
      </c>
      <c r="AH248" s="26" cm="1">
        <f t="array" ref="AH248">_xlfn.IFS(
   OR(G248="",ISBLANK(G248),G248=0),0,
   ISNUMBER(MATCH(G248,{2,3,5,7,11,13,17,19,23,29,31,37,41,43},0)),"소",
   AND(ISNUMBER(G248),MOD(G248,3)=0),"배",
   AND(ISNUMBER(G248),G248&gt;0),"자"
)</f>
        <v>0</v>
      </c>
      <c r="AI248" s="30"/>
      <c r="AJ248" s="3">
        <f t="shared" si="130"/>
        <v>0</v>
      </c>
      <c r="AK248" s="3">
        <f t="shared" si="131"/>
        <v>0</v>
      </c>
      <c r="AL248" s="3">
        <f t="shared" si="132"/>
        <v>6</v>
      </c>
      <c r="AM248" s="33"/>
      <c r="AN248" s="3">
        <f t="shared" si="133"/>
        <v>0</v>
      </c>
      <c r="AO248" s="3">
        <f t="shared" si="134"/>
        <v>0</v>
      </c>
      <c r="AP248" s="3">
        <f t="shared" si="135"/>
        <v>0</v>
      </c>
      <c r="AQ248" s="3">
        <f t="shared" si="136"/>
        <v>0</v>
      </c>
      <c r="AR248" s="3">
        <f t="shared" si="137"/>
        <v>0</v>
      </c>
      <c r="AS248" s="28" t="e">
        <f>#REF!</f>
        <v>#REF!</v>
      </c>
      <c r="AT248" s="28" t="e">
        <f>#REF!*2</f>
        <v>#REF!</v>
      </c>
      <c r="AU248" s="28" t="e">
        <f>#REF!</f>
        <v>#REF!</v>
      </c>
      <c r="AV248" s="28" t="e">
        <f>#REF!*2</f>
        <v>#REF!</v>
      </c>
      <c r="AW248" s="28" t="e">
        <f>#REF!</f>
        <v>#REF!</v>
      </c>
      <c r="AX248" s="28" t="e">
        <f>#REF!*2</f>
        <v>#REF!</v>
      </c>
      <c r="AY248" s="28" t="e">
        <f>#REF!</f>
        <v>#REF!</v>
      </c>
      <c r="AZ248" s="28" t="e">
        <f>#REF!*2</f>
        <v>#REF!</v>
      </c>
      <c r="BA248" s="28" t="e">
        <f>#REF!</f>
        <v>#REF!</v>
      </c>
      <c r="BB248" s="28" t="e">
        <f>#REF!*2</f>
        <v>#REF!</v>
      </c>
      <c r="BC248" s="28" t="e">
        <f>#REF!</f>
        <v>#REF!</v>
      </c>
      <c r="BD248" s="28" t="e">
        <f>#REF!*2</f>
        <v>#REF!</v>
      </c>
      <c r="BE248" s="9" t="e">
        <f>#REF!-#REF!</f>
        <v>#REF!</v>
      </c>
      <c r="BF248" s="9" t="e">
        <f>#REF!-#REF!</f>
        <v>#REF!</v>
      </c>
      <c r="BG248" s="9" t="e">
        <f>#REF!-#REF!</f>
        <v>#REF!</v>
      </c>
      <c r="BH248" s="9" t="e">
        <f>#REF!-#REF!</f>
        <v>#REF!</v>
      </c>
      <c r="BI248" s="9" t="e">
        <f>#REF!-#REF!</f>
        <v>#REF!</v>
      </c>
      <c r="BJ248" s="33"/>
      <c r="BK248" s="3">
        <f t="shared" si="138"/>
        <v>0</v>
      </c>
      <c r="BL248" s="3">
        <f t="shared" si="139"/>
        <v>0</v>
      </c>
      <c r="BM248" s="3">
        <f t="shared" si="140"/>
        <v>0</v>
      </c>
      <c r="BN248" s="3">
        <f t="shared" si="141"/>
        <v>0</v>
      </c>
      <c r="BO248" s="3">
        <f t="shared" si="142"/>
        <v>0</v>
      </c>
      <c r="BP248" s="28" t="e">
        <f>#REF!</f>
        <v>#REF!</v>
      </c>
      <c r="BQ248" s="28" t="e">
        <f>#REF!*2</f>
        <v>#REF!</v>
      </c>
      <c r="BR248" s="28" t="e">
        <f>#REF!</f>
        <v>#REF!</v>
      </c>
      <c r="BS248" s="28" t="e">
        <f>#REF!*2</f>
        <v>#REF!</v>
      </c>
      <c r="BT248" s="28" t="e">
        <f>#REF!</f>
        <v>#REF!</v>
      </c>
      <c r="BU248" s="28" t="e">
        <f>#REF!*2</f>
        <v>#REF!</v>
      </c>
      <c r="BV248" s="28" t="e">
        <f>#REF!</f>
        <v>#REF!</v>
      </c>
      <c r="BW248" s="28" t="e">
        <f>#REF!*2</f>
        <v>#REF!</v>
      </c>
      <c r="BX248" s="28" t="e">
        <f>#REF!</f>
        <v>#REF!</v>
      </c>
      <c r="BY248" s="28" t="e">
        <f>#REF!*2</f>
        <v>#REF!</v>
      </c>
      <c r="BZ248" s="28" t="e">
        <f>#REF!</f>
        <v>#REF!</v>
      </c>
      <c r="CA248" s="28" t="e">
        <f>#REF!*2</f>
        <v>#REF!</v>
      </c>
      <c r="CB248" s="9">
        <f t="shared" si="143"/>
        <v>0</v>
      </c>
      <c r="CC248" s="9">
        <f t="shared" si="144"/>
        <v>0</v>
      </c>
      <c r="CD248" s="9">
        <f t="shared" si="145"/>
        <v>0</v>
      </c>
      <c r="CE248" s="9">
        <f t="shared" si="146"/>
        <v>0</v>
      </c>
      <c r="CF248" s="9">
        <f t="shared" si="147"/>
        <v>0</v>
      </c>
      <c r="CG248" s="33"/>
      <c r="CH248" s="3">
        <f t="shared" si="148"/>
        <v>0</v>
      </c>
      <c r="CI248" s="3">
        <f t="shared" si="149"/>
        <v>0</v>
      </c>
      <c r="CJ248" s="3">
        <f t="shared" si="150"/>
        <v>0</v>
      </c>
      <c r="CK248" s="3">
        <f t="shared" si="151"/>
        <v>0</v>
      </c>
      <c r="CL248" s="3">
        <f t="shared" si="152"/>
        <v>0</v>
      </c>
      <c r="CM248" s="32"/>
      <c r="CN248" s="3">
        <f t="shared" si="153"/>
        <v>0</v>
      </c>
      <c r="CO248" s="3">
        <f t="shared" si="154"/>
        <v>0</v>
      </c>
      <c r="CP248" s="3">
        <f t="shared" si="155"/>
        <v>0</v>
      </c>
      <c r="CQ248" s="3">
        <f t="shared" si="156"/>
        <v>0</v>
      </c>
      <c r="CR248" s="3">
        <f t="shared" si="157"/>
        <v>0</v>
      </c>
      <c r="CS248" s="31"/>
      <c r="CT248" s="3" cm="1">
        <f t="array" ref="CT248">SUMPRODUCT(--(MOD(CH248:CL248,2)=1))</f>
        <v>0</v>
      </c>
      <c r="CU248" s="3">
        <f t="shared" si="158"/>
        <v>5</v>
      </c>
      <c r="CV248" s="30"/>
      <c r="CW248" s="3" cm="1">
        <f t="array" ref="CW248">SUMPRODUCT(--(MOD(CH248:CL248,10)&gt;=1), --(MOD(CH248:CL248,10)&lt;=5))</f>
        <v>0</v>
      </c>
      <c r="CX248" s="3">
        <f t="shared" si="159"/>
        <v>5</v>
      </c>
      <c r="CY248" s="30"/>
      <c r="CZ248" s="3" cm="1">
        <f t="array" ref="CZ248">IFERROR(COUNT(_xlfn._xlws.FILTER(CH248:CL248, ISNUMBER(MATCH(CH248:CL248, {2,3,5,7,11,13,17,19,23,29,31,37,41,43}, 0)))), 0)</f>
        <v>0</v>
      </c>
      <c r="DA248" s="3" cm="1">
        <f t="array" ref="DA248">IFERROR(COUNT(_xlfn._xlws.FILTER(CH248:CL248, ISNUMBER(MATCH(CH248:CL248, {1,4,8,10,14,16,20,22,25,26,28,32,34,35,38,40,44}, 0)))), 0)</f>
        <v>0</v>
      </c>
      <c r="DB248" s="3" cm="1">
        <f t="array" ref="DB248">IFERROR(COUNT(_xlfn._xlws.FILTER(CH248:CL248, ISNUMBER(MATCH(CH248:CL248, {6,9,12,15,18,21,24,27,30,33,36,39,42,45}, 0)))), 0)</f>
        <v>0</v>
      </c>
      <c r="DC248" s="29"/>
      <c r="DD248" s="28" t="e">
        <f>#REF!</f>
        <v>#REF!</v>
      </c>
      <c r="DE248" s="28" t="e">
        <f>#REF!*2</f>
        <v>#REF!</v>
      </c>
      <c r="DF248" s="28" t="e">
        <f>#REF!</f>
        <v>#REF!</v>
      </c>
      <c r="DG248" s="28" t="e">
        <f>#REF!*2</f>
        <v>#REF!</v>
      </c>
      <c r="DH248" s="28" t="e">
        <f>#REF!</f>
        <v>#REF!</v>
      </c>
      <c r="DI248" s="28" t="e">
        <f>#REF!*2</f>
        <v>#REF!</v>
      </c>
      <c r="DJ248" s="28" t="e">
        <f>#REF!</f>
        <v>#REF!</v>
      </c>
      <c r="DK248" s="28" t="e">
        <f>#REF!*2</f>
        <v>#REF!</v>
      </c>
      <c r="DL248" s="28" t="e">
        <f>#REF!</f>
        <v>#REF!</v>
      </c>
      <c r="DM248" s="28" t="e">
        <f>#REF!*2</f>
        <v>#REF!</v>
      </c>
      <c r="DN248" s="27"/>
      <c r="DO248" s="26"/>
      <c r="DP248" s="26"/>
      <c r="DQ248" s="26"/>
      <c r="DR248" s="26"/>
      <c r="DS248" s="26"/>
      <c r="DT248" s="25"/>
    </row>
    <row r="249" spans="2:124" x14ac:dyDescent="0.3"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2"/>
      <c r="I249" s="3">
        <f t="shared" si="120"/>
        <v>0</v>
      </c>
      <c r="J249" s="3">
        <f t="shared" si="121"/>
        <v>0</v>
      </c>
      <c r="K249" s="3">
        <f t="shared" si="122"/>
        <v>0</v>
      </c>
      <c r="L249" s="3">
        <f t="shared" si="123"/>
        <v>0</v>
      </c>
      <c r="M249" s="3">
        <f t="shared" si="124"/>
        <v>0</v>
      </c>
      <c r="N249" s="3">
        <f t="shared" si="125"/>
        <v>0</v>
      </c>
      <c r="O249" s="32"/>
      <c r="P249" s="3" cm="1">
        <f t="array" ref="P249">SUMPRODUCT(--(MOD(B249:G249,2)=1))</f>
        <v>0</v>
      </c>
      <c r="Q249" s="3">
        <f t="shared" si="126"/>
        <v>6</v>
      </c>
      <c r="R249" s="34"/>
      <c r="S249" s="3">
        <f t="shared" si="127"/>
        <v>0</v>
      </c>
      <c r="T249" s="3">
        <f t="shared" si="128"/>
        <v>6</v>
      </c>
      <c r="U249" s="34"/>
      <c r="V249" s="3" cm="1">
        <f t="array" ref="V249">SUMPRODUCT(--(MOD(B249:G249,10)&gt;=1), --(MOD(B249:G249,10)&lt;=5))</f>
        <v>0</v>
      </c>
      <c r="W249" s="3">
        <f t="shared" si="129"/>
        <v>6</v>
      </c>
      <c r="X249" s="34"/>
      <c r="Y249" s="3" cm="1">
        <f t="array" ref="Y249">IFERROR(COUNT(_xlfn._xlws.FILTER(B249:G249, ISNUMBER(MATCH(B249:G249, {2,3,5,7,11,13,17,19,23,29,31,37,41,43}, 0)))), 0)</f>
        <v>0</v>
      </c>
      <c r="Z249" s="3" cm="1">
        <f t="array" ref="Z249">IFERROR(COUNT(_xlfn._xlws.FILTER(B249:G249, ISNUMBER(MATCH(B249:G249, {1,4,8,10,14,16,20,22,25,26,28,32,34,35,38,40,44}, 0)))), 0)</f>
        <v>0</v>
      </c>
      <c r="AA249" s="3" cm="1">
        <f t="array" ref="AA249">IFERROR(COUNT(_xlfn._xlws.FILTER(B249:G249, ISNUMBER(MATCH(B249:G249, {6,9,12,15,18,21,24,27,30,33,36,39,42,45}, 0)))), 0)</f>
        <v>0</v>
      </c>
      <c r="AB249" s="30"/>
      <c r="AC249" s="26" cm="1">
        <f t="array" ref="AC249">_xlfn.IFS(
   OR(B249="",ISBLANK(B249),B249=0),0,
   ISNUMBER(MATCH(B249,{2,3,5,7,11,13,17,19,23,29,31,37,41,43},0)),"소",
   AND(ISNUMBER(B249),MOD(B249,3)=0),"배",
   AND(ISNUMBER(B249),B249&gt;0),"자"
)</f>
        <v>0</v>
      </c>
      <c r="AD249" s="26" cm="1">
        <f t="array" ref="AD249">_xlfn.IFS(
   OR(C249="",ISBLANK(C249),C249=0),0,
   ISNUMBER(MATCH(C249,{2,3,5,7,11,13,17,19,23,29,31,37,41,43},0)),"소",
   AND(ISNUMBER(C249),MOD(C249,3)=0),"배",
   AND(ISNUMBER(C249),C249&gt;0),"자"
)</f>
        <v>0</v>
      </c>
      <c r="AE249" s="26" cm="1">
        <f t="array" ref="AE249">_xlfn.IFS(
   OR(D249="",ISBLANK(D249),D249=0),0,
   ISNUMBER(MATCH(D249,{2,3,5,7,11,13,17,19,23,29,31,37,41,43},0)),"소",
   AND(ISNUMBER(D249),MOD(D249,3)=0),"배",
   AND(ISNUMBER(D249),D249&gt;0),"자"
)</f>
        <v>0</v>
      </c>
      <c r="AF249" s="26" cm="1">
        <f t="array" ref="AF249">_xlfn.IFS(
   OR(E249="",ISBLANK(E249),E249=0),0,
   ISNUMBER(MATCH(E249,{2,3,5,7,11,13,17,19,23,29,31,37,41,43},0)),"소",
   AND(ISNUMBER(E249),MOD(E249,3)=0),"배",
   AND(ISNUMBER(E249),E249&gt;0),"자"
)</f>
        <v>0</v>
      </c>
      <c r="AG249" s="26" cm="1">
        <f t="array" ref="AG249">_xlfn.IFS(
   OR(F249="",ISBLANK(F249),F249=0),0,
   ISNUMBER(MATCH(F249,{2,3,5,7,11,13,17,19,23,29,31,37,41,43},0)),"소",
   AND(ISNUMBER(F249),MOD(F249,3)=0),"배",
   AND(ISNUMBER(F249),F249&gt;0),"자"
)</f>
        <v>0</v>
      </c>
      <c r="AH249" s="26" cm="1">
        <f t="array" ref="AH249">_xlfn.IFS(
   OR(G249="",ISBLANK(G249),G249=0),0,
   ISNUMBER(MATCH(G249,{2,3,5,7,11,13,17,19,23,29,31,37,41,43},0)),"소",
   AND(ISNUMBER(G249),MOD(G249,3)=0),"배",
   AND(ISNUMBER(G249),G249&gt;0),"자"
)</f>
        <v>0</v>
      </c>
      <c r="AI249" s="30"/>
      <c r="AJ249" s="3">
        <f t="shared" si="130"/>
        <v>0</v>
      </c>
      <c r="AK249" s="3">
        <f t="shared" si="131"/>
        <v>0</v>
      </c>
      <c r="AL249" s="3">
        <f t="shared" si="132"/>
        <v>6</v>
      </c>
      <c r="AM249" s="33"/>
      <c r="AN249" s="3">
        <f t="shared" si="133"/>
        <v>0</v>
      </c>
      <c r="AO249" s="3">
        <f t="shared" si="134"/>
        <v>0</v>
      </c>
      <c r="AP249" s="3">
        <f t="shared" si="135"/>
        <v>0</v>
      </c>
      <c r="AQ249" s="3">
        <f t="shared" si="136"/>
        <v>0</v>
      </c>
      <c r="AR249" s="3">
        <f t="shared" si="137"/>
        <v>0</v>
      </c>
      <c r="AS249" s="28" t="e">
        <f>#REF!</f>
        <v>#REF!</v>
      </c>
      <c r="AT249" s="28" t="e">
        <f>#REF!*2</f>
        <v>#REF!</v>
      </c>
      <c r="AU249" s="28" t="e">
        <f>#REF!</f>
        <v>#REF!</v>
      </c>
      <c r="AV249" s="28" t="e">
        <f>#REF!*2</f>
        <v>#REF!</v>
      </c>
      <c r="AW249" s="28" t="e">
        <f>#REF!</f>
        <v>#REF!</v>
      </c>
      <c r="AX249" s="28" t="e">
        <f>#REF!*2</f>
        <v>#REF!</v>
      </c>
      <c r="AY249" s="28" t="e">
        <f>#REF!</f>
        <v>#REF!</v>
      </c>
      <c r="AZ249" s="28" t="e">
        <f>#REF!*2</f>
        <v>#REF!</v>
      </c>
      <c r="BA249" s="28" t="e">
        <f>#REF!</f>
        <v>#REF!</v>
      </c>
      <c r="BB249" s="28" t="e">
        <f>#REF!*2</f>
        <v>#REF!</v>
      </c>
      <c r="BC249" s="28" t="e">
        <f>#REF!</f>
        <v>#REF!</v>
      </c>
      <c r="BD249" s="28" t="e">
        <f>#REF!*2</f>
        <v>#REF!</v>
      </c>
      <c r="BE249" s="9" t="e">
        <f>#REF!-#REF!</f>
        <v>#REF!</v>
      </c>
      <c r="BF249" s="9" t="e">
        <f>#REF!-#REF!</f>
        <v>#REF!</v>
      </c>
      <c r="BG249" s="9" t="e">
        <f>#REF!-#REF!</f>
        <v>#REF!</v>
      </c>
      <c r="BH249" s="9" t="e">
        <f>#REF!-#REF!</f>
        <v>#REF!</v>
      </c>
      <c r="BI249" s="9" t="e">
        <f>#REF!-#REF!</f>
        <v>#REF!</v>
      </c>
      <c r="BJ249" s="33"/>
      <c r="BK249" s="3">
        <f t="shared" si="138"/>
        <v>0</v>
      </c>
      <c r="BL249" s="3">
        <f t="shared" si="139"/>
        <v>0</v>
      </c>
      <c r="BM249" s="3">
        <f t="shared" si="140"/>
        <v>0</v>
      </c>
      <c r="BN249" s="3">
        <f t="shared" si="141"/>
        <v>0</v>
      </c>
      <c r="BO249" s="3">
        <f t="shared" si="142"/>
        <v>0</v>
      </c>
      <c r="BP249" s="28" t="e">
        <f>#REF!</f>
        <v>#REF!</v>
      </c>
      <c r="BQ249" s="28" t="e">
        <f>#REF!*2</f>
        <v>#REF!</v>
      </c>
      <c r="BR249" s="28" t="e">
        <f>#REF!</f>
        <v>#REF!</v>
      </c>
      <c r="BS249" s="28" t="e">
        <f>#REF!*2</f>
        <v>#REF!</v>
      </c>
      <c r="BT249" s="28" t="e">
        <f>#REF!</f>
        <v>#REF!</v>
      </c>
      <c r="BU249" s="28" t="e">
        <f>#REF!*2</f>
        <v>#REF!</v>
      </c>
      <c r="BV249" s="28" t="e">
        <f>#REF!</f>
        <v>#REF!</v>
      </c>
      <c r="BW249" s="28" t="e">
        <f>#REF!*2</f>
        <v>#REF!</v>
      </c>
      <c r="BX249" s="28" t="e">
        <f>#REF!</f>
        <v>#REF!</v>
      </c>
      <c r="BY249" s="28" t="e">
        <f>#REF!*2</f>
        <v>#REF!</v>
      </c>
      <c r="BZ249" s="28" t="e">
        <f>#REF!</f>
        <v>#REF!</v>
      </c>
      <c r="CA249" s="28" t="e">
        <f>#REF!*2</f>
        <v>#REF!</v>
      </c>
      <c r="CB249" s="9">
        <f t="shared" si="143"/>
        <v>0</v>
      </c>
      <c r="CC249" s="9">
        <f t="shared" si="144"/>
        <v>0</v>
      </c>
      <c r="CD249" s="9">
        <f t="shared" si="145"/>
        <v>0</v>
      </c>
      <c r="CE249" s="9">
        <f t="shared" si="146"/>
        <v>0</v>
      </c>
      <c r="CF249" s="9">
        <f t="shared" si="147"/>
        <v>0</v>
      </c>
      <c r="CG249" s="33"/>
      <c r="CH249" s="3">
        <f t="shared" si="148"/>
        <v>0</v>
      </c>
      <c r="CI249" s="3">
        <f t="shared" si="149"/>
        <v>0</v>
      </c>
      <c r="CJ249" s="3">
        <f t="shared" si="150"/>
        <v>0</v>
      </c>
      <c r="CK249" s="3">
        <f t="shared" si="151"/>
        <v>0</v>
      </c>
      <c r="CL249" s="3">
        <f t="shared" si="152"/>
        <v>0</v>
      </c>
      <c r="CM249" s="32"/>
      <c r="CN249" s="3">
        <f t="shared" si="153"/>
        <v>0</v>
      </c>
      <c r="CO249" s="3">
        <f t="shared" si="154"/>
        <v>0</v>
      </c>
      <c r="CP249" s="3">
        <f t="shared" si="155"/>
        <v>0</v>
      </c>
      <c r="CQ249" s="3">
        <f t="shared" si="156"/>
        <v>0</v>
      </c>
      <c r="CR249" s="3">
        <f t="shared" si="157"/>
        <v>0</v>
      </c>
      <c r="CS249" s="31"/>
      <c r="CT249" s="3" cm="1">
        <f t="array" ref="CT249">SUMPRODUCT(--(MOD(CH249:CL249,2)=1))</f>
        <v>0</v>
      </c>
      <c r="CU249" s="3">
        <f t="shared" si="158"/>
        <v>5</v>
      </c>
      <c r="CV249" s="30"/>
      <c r="CW249" s="3" cm="1">
        <f t="array" ref="CW249">SUMPRODUCT(--(MOD(CH249:CL249,10)&gt;=1), --(MOD(CH249:CL249,10)&lt;=5))</f>
        <v>0</v>
      </c>
      <c r="CX249" s="3">
        <f t="shared" si="159"/>
        <v>5</v>
      </c>
      <c r="CY249" s="30"/>
      <c r="CZ249" s="3" cm="1">
        <f t="array" ref="CZ249">IFERROR(COUNT(_xlfn._xlws.FILTER(CH249:CL249, ISNUMBER(MATCH(CH249:CL249, {2,3,5,7,11,13,17,19,23,29,31,37,41,43}, 0)))), 0)</f>
        <v>0</v>
      </c>
      <c r="DA249" s="3" cm="1">
        <f t="array" ref="DA249">IFERROR(COUNT(_xlfn._xlws.FILTER(CH249:CL249, ISNUMBER(MATCH(CH249:CL249, {1,4,8,10,14,16,20,22,25,26,28,32,34,35,38,40,44}, 0)))), 0)</f>
        <v>0</v>
      </c>
      <c r="DB249" s="3" cm="1">
        <f t="array" ref="DB249">IFERROR(COUNT(_xlfn._xlws.FILTER(CH249:CL249, ISNUMBER(MATCH(CH249:CL249, {6,9,12,15,18,21,24,27,30,33,36,39,42,45}, 0)))), 0)</f>
        <v>0</v>
      </c>
      <c r="DC249" s="29"/>
      <c r="DD249" s="28" t="e">
        <f>#REF!</f>
        <v>#REF!</v>
      </c>
      <c r="DE249" s="28" t="e">
        <f>#REF!*2</f>
        <v>#REF!</v>
      </c>
      <c r="DF249" s="28" t="e">
        <f>#REF!</f>
        <v>#REF!</v>
      </c>
      <c r="DG249" s="28" t="e">
        <f>#REF!*2</f>
        <v>#REF!</v>
      </c>
      <c r="DH249" s="28" t="e">
        <f>#REF!</f>
        <v>#REF!</v>
      </c>
      <c r="DI249" s="28" t="e">
        <f>#REF!*2</f>
        <v>#REF!</v>
      </c>
      <c r="DJ249" s="28" t="e">
        <f>#REF!</f>
        <v>#REF!</v>
      </c>
      <c r="DK249" s="28" t="e">
        <f>#REF!*2</f>
        <v>#REF!</v>
      </c>
      <c r="DL249" s="28" t="e">
        <f>#REF!</f>
        <v>#REF!</v>
      </c>
      <c r="DM249" s="28" t="e">
        <f>#REF!*2</f>
        <v>#REF!</v>
      </c>
      <c r="DN249" s="27"/>
      <c r="DO249" s="26"/>
      <c r="DP249" s="26"/>
      <c r="DQ249" s="26"/>
      <c r="DR249" s="26"/>
      <c r="DS249" s="26"/>
      <c r="DT249" s="25"/>
    </row>
    <row r="250" spans="2:124" x14ac:dyDescent="0.3"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2"/>
      <c r="I250" s="3">
        <f t="shared" si="120"/>
        <v>0</v>
      </c>
      <c r="J250" s="3">
        <f t="shared" si="121"/>
        <v>0</v>
      </c>
      <c r="K250" s="3">
        <f t="shared" si="122"/>
        <v>0</v>
      </c>
      <c r="L250" s="3">
        <f t="shared" si="123"/>
        <v>0</v>
      </c>
      <c r="M250" s="3">
        <f t="shared" si="124"/>
        <v>0</v>
      </c>
      <c r="N250" s="3">
        <f t="shared" si="125"/>
        <v>0</v>
      </c>
      <c r="O250" s="32"/>
      <c r="P250" s="3" cm="1">
        <f t="array" ref="P250">SUMPRODUCT(--(MOD(B250:G250,2)=1))</f>
        <v>0</v>
      </c>
      <c r="Q250" s="3">
        <f t="shared" si="126"/>
        <v>6</v>
      </c>
      <c r="R250" s="34"/>
      <c r="S250" s="3">
        <f t="shared" si="127"/>
        <v>0</v>
      </c>
      <c r="T250" s="3">
        <f t="shared" si="128"/>
        <v>6</v>
      </c>
      <c r="U250" s="34"/>
      <c r="V250" s="3" cm="1">
        <f t="array" ref="V250">SUMPRODUCT(--(MOD(B250:G250,10)&gt;=1), --(MOD(B250:G250,10)&lt;=5))</f>
        <v>0</v>
      </c>
      <c r="W250" s="3">
        <f t="shared" si="129"/>
        <v>6</v>
      </c>
      <c r="X250" s="34"/>
      <c r="Y250" s="3" cm="1">
        <f t="array" ref="Y250">IFERROR(COUNT(_xlfn._xlws.FILTER(B250:G250, ISNUMBER(MATCH(B250:G250, {2,3,5,7,11,13,17,19,23,29,31,37,41,43}, 0)))), 0)</f>
        <v>0</v>
      </c>
      <c r="Z250" s="3" cm="1">
        <f t="array" ref="Z250">IFERROR(COUNT(_xlfn._xlws.FILTER(B250:G250, ISNUMBER(MATCH(B250:G250, {1,4,8,10,14,16,20,22,25,26,28,32,34,35,38,40,44}, 0)))), 0)</f>
        <v>0</v>
      </c>
      <c r="AA250" s="3" cm="1">
        <f t="array" ref="AA250">IFERROR(COUNT(_xlfn._xlws.FILTER(B250:G250, ISNUMBER(MATCH(B250:G250, {6,9,12,15,18,21,24,27,30,33,36,39,42,45}, 0)))), 0)</f>
        <v>0</v>
      </c>
      <c r="AB250" s="30"/>
      <c r="AC250" s="26" cm="1">
        <f t="array" ref="AC250">_xlfn.IFS(
   OR(B250="",ISBLANK(B250),B250=0),0,
   ISNUMBER(MATCH(B250,{2,3,5,7,11,13,17,19,23,29,31,37,41,43},0)),"소",
   AND(ISNUMBER(B250),MOD(B250,3)=0),"배",
   AND(ISNUMBER(B250),B250&gt;0),"자"
)</f>
        <v>0</v>
      </c>
      <c r="AD250" s="26" cm="1">
        <f t="array" ref="AD250">_xlfn.IFS(
   OR(C250="",ISBLANK(C250),C250=0),0,
   ISNUMBER(MATCH(C250,{2,3,5,7,11,13,17,19,23,29,31,37,41,43},0)),"소",
   AND(ISNUMBER(C250),MOD(C250,3)=0),"배",
   AND(ISNUMBER(C250),C250&gt;0),"자"
)</f>
        <v>0</v>
      </c>
      <c r="AE250" s="26" cm="1">
        <f t="array" ref="AE250">_xlfn.IFS(
   OR(D250="",ISBLANK(D250),D250=0),0,
   ISNUMBER(MATCH(D250,{2,3,5,7,11,13,17,19,23,29,31,37,41,43},0)),"소",
   AND(ISNUMBER(D250),MOD(D250,3)=0),"배",
   AND(ISNUMBER(D250),D250&gt;0),"자"
)</f>
        <v>0</v>
      </c>
      <c r="AF250" s="26" cm="1">
        <f t="array" ref="AF250">_xlfn.IFS(
   OR(E250="",ISBLANK(E250),E250=0),0,
   ISNUMBER(MATCH(E250,{2,3,5,7,11,13,17,19,23,29,31,37,41,43},0)),"소",
   AND(ISNUMBER(E250),MOD(E250,3)=0),"배",
   AND(ISNUMBER(E250),E250&gt;0),"자"
)</f>
        <v>0</v>
      </c>
      <c r="AG250" s="26" cm="1">
        <f t="array" ref="AG250">_xlfn.IFS(
   OR(F250="",ISBLANK(F250),F250=0),0,
   ISNUMBER(MATCH(F250,{2,3,5,7,11,13,17,19,23,29,31,37,41,43},0)),"소",
   AND(ISNUMBER(F250),MOD(F250,3)=0),"배",
   AND(ISNUMBER(F250),F250&gt;0),"자"
)</f>
        <v>0</v>
      </c>
      <c r="AH250" s="26" cm="1">
        <f t="array" ref="AH250">_xlfn.IFS(
   OR(G250="",ISBLANK(G250),G250=0),0,
   ISNUMBER(MATCH(G250,{2,3,5,7,11,13,17,19,23,29,31,37,41,43},0)),"소",
   AND(ISNUMBER(G250),MOD(G250,3)=0),"배",
   AND(ISNUMBER(G250),G250&gt;0),"자"
)</f>
        <v>0</v>
      </c>
      <c r="AI250" s="30"/>
      <c r="AJ250" s="3">
        <f t="shared" si="130"/>
        <v>0</v>
      </c>
      <c r="AK250" s="3">
        <f t="shared" si="131"/>
        <v>0</v>
      </c>
      <c r="AL250" s="3">
        <f t="shared" si="132"/>
        <v>6</v>
      </c>
      <c r="AM250" s="33"/>
      <c r="AN250" s="3">
        <f t="shared" si="133"/>
        <v>0</v>
      </c>
      <c r="AO250" s="3">
        <f t="shared" si="134"/>
        <v>0</v>
      </c>
      <c r="AP250" s="3">
        <f t="shared" si="135"/>
        <v>0</v>
      </c>
      <c r="AQ250" s="3">
        <f t="shared" si="136"/>
        <v>0</v>
      </c>
      <c r="AR250" s="3">
        <f t="shared" si="137"/>
        <v>0</v>
      </c>
      <c r="AS250" s="28" t="e">
        <f>#REF!</f>
        <v>#REF!</v>
      </c>
      <c r="AT250" s="28" t="e">
        <f>#REF!*2</f>
        <v>#REF!</v>
      </c>
      <c r="AU250" s="28" t="e">
        <f>#REF!</f>
        <v>#REF!</v>
      </c>
      <c r="AV250" s="28" t="e">
        <f>#REF!*2</f>
        <v>#REF!</v>
      </c>
      <c r="AW250" s="28" t="e">
        <f>#REF!</f>
        <v>#REF!</v>
      </c>
      <c r="AX250" s="28" t="e">
        <f>#REF!*2</f>
        <v>#REF!</v>
      </c>
      <c r="AY250" s="28" t="e">
        <f>#REF!</f>
        <v>#REF!</v>
      </c>
      <c r="AZ250" s="28" t="e">
        <f>#REF!*2</f>
        <v>#REF!</v>
      </c>
      <c r="BA250" s="28" t="e">
        <f>#REF!</f>
        <v>#REF!</v>
      </c>
      <c r="BB250" s="28" t="e">
        <f>#REF!*2</f>
        <v>#REF!</v>
      </c>
      <c r="BC250" s="28" t="e">
        <f>#REF!</f>
        <v>#REF!</v>
      </c>
      <c r="BD250" s="28" t="e">
        <f>#REF!*2</f>
        <v>#REF!</v>
      </c>
      <c r="BE250" s="9" t="e">
        <f>#REF!-#REF!</f>
        <v>#REF!</v>
      </c>
      <c r="BF250" s="9" t="e">
        <f>#REF!-#REF!</f>
        <v>#REF!</v>
      </c>
      <c r="BG250" s="9" t="e">
        <f>#REF!-#REF!</f>
        <v>#REF!</v>
      </c>
      <c r="BH250" s="9" t="e">
        <f>#REF!-#REF!</f>
        <v>#REF!</v>
      </c>
      <c r="BI250" s="9" t="e">
        <f>#REF!-#REF!</f>
        <v>#REF!</v>
      </c>
      <c r="BJ250" s="33"/>
      <c r="BK250" s="3">
        <f t="shared" si="138"/>
        <v>0</v>
      </c>
      <c r="BL250" s="3">
        <f t="shared" si="139"/>
        <v>0</v>
      </c>
      <c r="BM250" s="3">
        <f t="shared" si="140"/>
        <v>0</v>
      </c>
      <c r="BN250" s="3">
        <f t="shared" si="141"/>
        <v>0</v>
      </c>
      <c r="BO250" s="3">
        <f t="shared" si="142"/>
        <v>0</v>
      </c>
      <c r="BP250" s="28" t="e">
        <f>#REF!</f>
        <v>#REF!</v>
      </c>
      <c r="BQ250" s="28" t="e">
        <f>#REF!*2</f>
        <v>#REF!</v>
      </c>
      <c r="BR250" s="28" t="e">
        <f>#REF!</f>
        <v>#REF!</v>
      </c>
      <c r="BS250" s="28" t="e">
        <f>#REF!*2</f>
        <v>#REF!</v>
      </c>
      <c r="BT250" s="28" t="e">
        <f>#REF!</f>
        <v>#REF!</v>
      </c>
      <c r="BU250" s="28" t="e">
        <f>#REF!*2</f>
        <v>#REF!</v>
      </c>
      <c r="BV250" s="28" t="e">
        <f>#REF!</f>
        <v>#REF!</v>
      </c>
      <c r="BW250" s="28" t="e">
        <f>#REF!*2</f>
        <v>#REF!</v>
      </c>
      <c r="BX250" s="28" t="e">
        <f>#REF!</f>
        <v>#REF!</v>
      </c>
      <c r="BY250" s="28" t="e">
        <f>#REF!*2</f>
        <v>#REF!</v>
      </c>
      <c r="BZ250" s="28" t="e">
        <f>#REF!</f>
        <v>#REF!</v>
      </c>
      <c r="CA250" s="28" t="e">
        <f>#REF!*2</f>
        <v>#REF!</v>
      </c>
      <c r="CB250" s="9">
        <f t="shared" si="143"/>
        <v>0</v>
      </c>
      <c r="CC250" s="9">
        <f t="shared" si="144"/>
        <v>0</v>
      </c>
      <c r="CD250" s="9">
        <f t="shared" si="145"/>
        <v>0</v>
      </c>
      <c r="CE250" s="9">
        <f t="shared" si="146"/>
        <v>0</v>
      </c>
      <c r="CF250" s="9">
        <f t="shared" si="147"/>
        <v>0</v>
      </c>
      <c r="CG250" s="33"/>
      <c r="CH250" s="3">
        <f t="shared" si="148"/>
        <v>0</v>
      </c>
      <c r="CI250" s="3">
        <f t="shared" si="149"/>
        <v>0</v>
      </c>
      <c r="CJ250" s="3">
        <f t="shared" si="150"/>
        <v>0</v>
      </c>
      <c r="CK250" s="3">
        <f t="shared" si="151"/>
        <v>0</v>
      </c>
      <c r="CL250" s="3">
        <f t="shared" si="152"/>
        <v>0</v>
      </c>
      <c r="CM250" s="32"/>
      <c r="CN250" s="3">
        <f t="shared" si="153"/>
        <v>0</v>
      </c>
      <c r="CO250" s="3">
        <f t="shared" si="154"/>
        <v>0</v>
      </c>
      <c r="CP250" s="3">
        <f t="shared" si="155"/>
        <v>0</v>
      </c>
      <c r="CQ250" s="3">
        <f t="shared" si="156"/>
        <v>0</v>
      </c>
      <c r="CR250" s="3">
        <f t="shared" si="157"/>
        <v>0</v>
      </c>
      <c r="CS250" s="31"/>
      <c r="CT250" s="3" cm="1">
        <f t="array" ref="CT250">SUMPRODUCT(--(MOD(CH250:CL250,2)=1))</f>
        <v>0</v>
      </c>
      <c r="CU250" s="3">
        <f t="shared" si="158"/>
        <v>5</v>
      </c>
      <c r="CV250" s="30"/>
      <c r="CW250" s="3" cm="1">
        <f t="array" ref="CW250">SUMPRODUCT(--(MOD(CH250:CL250,10)&gt;=1), --(MOD(CH250:CL250,10)&lt;=5))</f>
        <v>0</v>
      </c>
      <c r="CX250" s="3">
        <f t="shared" si="159"/>
        <v>5</v>
      </c>
      <c r="CY250" s="30"/>
      <c r="CZ250" s="3" cm="1">
        <f t="array" ref="CZ250">IFERROR(COUNT(_xlfn._xlws.FILTER(CH250:CL250, ISNUMBER(MATCH(CH250:CL250, {2,3,5,7,11,13,17,19,23,29,31,37,41,43}, 0)))), 0)</f>
        <v>0</v>
      </c>
      <c r="DA250" s="3" cm="1">
        <f t="array" ref="DA250">IFERROR(COUNT(_xlfn._xlws.FILTER(CH250:CL250, ISNUMBER(MATCH(CH250:CL250, {1,4,8,10,14,16,20,22,25,26,28,32,34,35,38,40,44}, 0)))), 0)</f>
        <v>0</v>
      </c>
      <c r="DB250" s="3" cm="1">
        <f t="array" ref="DB250">IFERROR(COUNT(_xlfn._xlws.FILTER(CH250:CL250, ISNUMBER(MATCH(CH250:CL250, {6,9,12,15,18,21,24,27,30,33,36,39,42,45}, 0)))), 0)</f>
        <v>0</v>
      </c>
      <c r="DC250" s="29"/>
      <c r="DD250" s="28" t="e">
        <f>#REF!</f>
        <v>#REF!</v>
      </c>
      <c r="DE250" s="28" t="e">
        <f>#REF!*2</f>
        <v>#REF!</v>
      </c>
      <c r="DF250" s="28" t="e">
        <f>#REF!</f>
        <v>#REF!</v>
      </c>
      <c r="DG250" s="28" t="e">
        <f>#REF!*2</f>
        <v>#REF!</v>
      </c>
      <c r="DH250" s="28" t="e">
        <f>#REF!</f>
        <v>#REF!</v>
      </c>
      <c r="DI250" s="28" t="e">
        <f>#REF!*2</f>
        <v>#REF!</v>
      </c>
      <c r="DJ250" s="28" t="e">
        <f>#REF!</f>
        <v>#REF!</v>
      </c>
      <c r="DK250" s="28" t="e">
        <f>#REF!*2</f>
        <v>#REF!</v>
      </c>
      <c r="DL250" s="28" t="e">
        <f>#REF!</f>
        <v>#REF!</v>
      </c>
      <c r="DM250" s="28" t="e">
        <f>#REF!*2</f>
        <v>#REF!</v>
      </c>
      <c r="DN250" s="27"/>
      <c r="DO250" s="26"/>
      <c r="DP250" s="26"/>
      <c r="DQ250" s="26"/>
      <c r="DR250" s="26"/>
      <c r="DS250" s="26"/>
      <c r="DT250" s="25"/>
    </row>
    <row r="251" spans="2:124" x14ac:dyDescent="0.3"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2"/>
      <c r="I251" s="3">
        <f t="shared" si="120"/>
        <v>0</v>
      </c>
      <c r="J251" s="3">
        <f t="shared" si="121"/>
        <v>0</v>
      </c>
      <c r="K251" s="3">
        <f t="shared" si="122"/>
        <v>0</v>
      </c>
      <c r="L251" s="3">
        <f t="shared" si="123"/>
        <v>0</v>
      </c>
      <c r="M251" s="3">
        <f t="shared" si="124"/>
        <v>0</v>
      </c>
      <c r="N251" s="3">
        <f t="shared" si="125"/>
        <v>0</v>
      </c>
      <c r="O251" s="32"/>
      <c r="P251" s="3" cm="1">
        <f t="array" ref="P251">SUMPRODUCT(--(MOD(B251:G251,2)=1))</f>
        <v>0</v>
      </c>
      <c r="Q251" s="3">
        <f t="shared" si="126"/>
        <v>6</v>
      </c>
      <c r="R251" s="34"/>
      <c r="S251" s="3">
        <f t="shared" si="127"/>
        <v>0</v>
      </c>
      <c r="T251" s="3">
        <f t="shared" si="128"/>
        <v>6</v>
      </c>
      <c r="U251" s="34"/>
      <c r="V251" s="3" cm="1">
        <f t="array" ref="V251">SUMPRODUCT(--(MOD(B251:G251,10)&gt;=1), --(MOD(B251:G251,10)&lt;=5))</f>
        <v>0</v>
      </c>
      <c r="W251" s="3">
        <f t="shared" si="129"/>
        <v>6</v>
      </c>
      <c r="X251" s="34"/>
      <c r="Y251" s="3" cm="1">
        <f t="array" ref="Y251">IFERROR(COUNT(_xlfn._xlws.FILTER(B251:G251, ISNUMBER(MATCH(B251:G251, {2,3,5,7,11,13,17,19,23,29,31,37,41,43}, 0)))), 0)</f>
        <v>0</v>
      </c>
      <c r="Z251" s="3" cm="1">
        <f t="array" ref="Z251">IFERROR(COUNT(_xlfn._xlws.FILTER(B251:G251, ISNUMBER(MATCH(B251:G251, {1,4,8,10,14,16,20,22,25,26,28,32,34,35,38,40,44}, 0)))), 0)</f>
        <v>0</v>
      </c>
      <c r="AA251" s="3" cm="1">
        <f t="array" ref="AA251">IFERROR(COUNT(_xlfn._xlws.FILTER(B251:G251, ISNUMBER(MATCH(B251:G251, {6,9,12,15,18,21,24,27,30,33,36,39,42,45}, 0)))), 0)</f>
        <v>0</v>
      </c>
      <c r="AB251" s="30"/>
      <c r="AC251" s="26" cm="1">
        <f t="array" ref="AC251">_xlfn.IFS(
   OR(B251="",ISBLANK(B251),B251=0),0,
   ISNUMBER(MATCH(B251,{2,3,5,7,11,13,17,19,23,29,31,37,41,43},0)),"소",
   AND(ISNUMBER(B251),MOD(B251,3)=0),"배",
   AND(ISNUMBER(B251),B251&gt;0),"자"
)</f>
        <v>0</v>
      </c>
      <c r="AD251" s="26" cm="1">
        <f t="array" ref="AD251">_xlfn.IFS(
   OR(C251="",ISBLANK(C251),C251=0),0,
   ISNUMBER(MATCH(C251,{2,3,5,7,11,13,17,19,23,29,31,37,41,43},0)),"소",
   AND(ISNUMBER(C251),MOD(C251,3)=0),"배",
   AND(ISNUMBER(C251),C251&gt;0),"자"
)</f>
        <v>0</v>
      </c>
      <c r="AE251" s="26" cm="1">
        <f t="array" ref="AE251">_xlfn.IFS(
   OR(D251="",ISBLANK(D251),D251=0),0,
   ISNUMBER(MATCH(D251,{2,3,5,7,11,13,17,19,23,29,31,37,41,43},0)),"소",
   AND(ISNUMBER(D251),MOD(D251,3)=0),"배",
   AND(ISNUMBER(D251),D251&gt;0),"자"
)</f>
        <v>0</v>
      </c>
      <c r="AF251" s="26" cm="1">
        <f t="array" ref="AF251">_xlfn.IFS(
   OR(E251="",ISBLANK(E251),E251=0),0,
   ISNUMBER(MATCH(E251,{2,3,5,7,11,13,17,19,23,29,31,37,41,43},0)),"소",
   AND(ISNUMBER(E251),MOD(E251,3)=0),"배",
   AND(ISNUMBER(E251),E251&gt;0),"자"
)</f>
        <v>0</v>
      </c>
      <c r="AG251" s="26" cm="1">
        <f t="array" ref="AG251">_xlfn.IFS(
   OR(F251="",ISBLANK(F251),F251=0),0,
   ISNUMBER(MATCH(F251,{2,3,5,7,11,13,17,19,23,29,31,37,41,43},0)),"소",
   AND(ISNUMBER(F251),MOD(F251,3)=0),"배",
   AND(ISNUMBER(F251),F251&gt;0),"자"
)</f>
        <v>0</v>
      </c>
      <c r="AH251" s="26" cm="1">
        <f t="array" ref="AH251">_xlfn.IFS(
   OR(G251="",ISBLANK(G251),G251=0),0,
   ISNUMBER(MATCH(G251,{2,3,5,7,11,13,17,19,23,29,31,37,41,43},0)),"소",
   AND(ISNUMBER(G251),MOD(G251,3)=0),"배",
   AND(ISNUMBER(G251),G251&gt;0),"자"
)</f>
        <v>0</v>
      </c>
      <c r="AI251" s="30"/>
      <c r="AJ251" s="3">
        <f t="shared" si="130"/>
        <v>0</v>
      </c>
      <c r="AK251" s="3">
        <f t="shared" si="131"/>
        <v>0</v>
      </c>
      <c r="AL251" s="3">
        <f t="shared" si="132"/>
        <v>6</v>
      </c>
      <c r="AM251" s="33"/>
      <c r="AN251" s="3">
        <f t="shared" si="133"/>
        <v>0</v>
      </c>
      <c r="AO251" s="3">
        <f t="shared" si="134"/>
        <v>0</v>
      </c>
      <c r="AP251" s="3">
        <f t="shared" si="135"/>
        <v>0</v>
      </c>
      <c r="AQ251" s="3">
        <f t="shared" si="136"/>
        <v>0</v>
      </c>
      <c r="AR251" s="3">
        <f t="shared" si="137"/>
        <v>0</v>
      </c>
      <c r="AS251" s="28" t="e">
        <f>#REF!</f>
        <v>#REF!</v>
      </c>
      <c r="AT251" s="28" t="e">
        <f>#REF!*2</f>
        <v>#REF!</v>
      </c>
      <c r="AU251" s="28" t="e">
        <f>#REF!</f>
        <v>#REF!</v>
      </c>
      <c r="AV251" s="28" t="e">
        <f>#REF!*2</f>
        <v>#REF!</v>
      </c>
      <c r="AW251" s="28" t="e">
        <f>#REF!</f>
        <v>#REF!</v>
      </c>
      <c r="AX251" s="28" t="e">
        <f>#REF!*2</f>
        <v>#REF!</v>
      </c>
      <c r="AY251" s="28" t="e">
        <f>#REF!</f>
        <v>#REF!</v>
      </c>
      <c r="AZ251" s="28" t="e">
        <f>#REF!*2</f>
        <v>#REF!</v>
      </c>
      <c r="BA251" s="28" t="e">
        <f>#REF!</f>
        <v>#REF!</v>
      </c>
      <c r="BB251" s="28" t="e">
        <f>#REF!*2</f>
        <v>#REF!</v>
      </c>
      <c r="BC251" s="28" t="e">
        <f>#REF!</f>
        <v>#REF!</v>
      </c>
      <c r="BD251" s="28" t="e">
        <f>#REF!*2</f>
        <v>#REF!</v>
      </c>
      <c r="BE251" s="9" t="e">
        <f>#REF!-#REF!</f>
        <v>#REF!</v>
      </c>
      <c r="BF251" s="9" t="e">
        <f>#REF!-#REF!</f>
        <v>#REF!</v>
      </c>
      <c r="BG251" s="9" t="e">
        <f>#REF!-#REF!</f>
        <v>#REF!</v>
      </c>
      <c r="BH251" s="9" t="e">
        <f>#REF!-#REF!</f>
        <v>#REF!</v>
      </c>
      <c r="BI251" s="9" t="e">
        <f>#REF!-#REF!</f>
        <v>#REF!</v>
      </c>
      <c r="BJ251" s="33"/>
      <c r="BK251" s="3">
        <f t="shared" si="138"/>
        <v>0</v>
      </c>
      <c r="BL251" s="3">
        <f t="shared" si="139"/>
        <v>0</v>
      </c>
      <c r="BM251" s="3">
        <f t="shared" si="140"/>
        <v>0</v>
      </c>
      <c r="BN251" s="3">
        <f t="shared" si="141"/>
        <v>0</v>
      </c>
      <c r="BO251" s="3">
        <f t="shared" si="142"/>
        <v>0</v>
      </c>
      <c r="BP251" s="28" t="e">
        <f>#REF!</f>
        <v>#REF!</v>
      </c>
      <c r="BQ251" s="28" t="e">
        <f>#REF!*2</f>
        <v>#REF!</v>
      </c>
      <c r="BR251" s="28" t="e">
        <f>#REF!</f>
        <v>#REF!</v>
      </c>
      <c r="BS251" s="28" t="e">
        <f>#REF!*2</f>
        <v>#REF!</v>
      </c>
      <c r="BT251" s="28" t="e">
        <f>#REF!</f>
        <v>#REF!</v>
      </c>
      <c r="BU251" s="28" t="e">
        <f>#REF!*2</f>
        <v>#REF!</v>
      </c>
      <c r="BV251" s="28" t="e">
        <f>#REF!</f>
        <v>#REF!</v>
      </c>
      <c r="BW251" s="28" t="e">
        <f>#REF!*2</f>
        <v>#REF!</v>
      </c>
      <c r="BX251" s="28" t="e">
        <f>#REF!</f>
        <v>#REF!</v>
      </c>
      <c r="BY251" s="28" t="e">
        <f>#REF!*2</f>
        <v>#REF!</v>
      </c>
      <c r="BZ251" s="28" t="e">
        <f>#REF!</f>
        <v>#REF!</v>
      </c>
      <c r="CA251" s="28" t="e">
        <f>#REF!*2</f>
        <v>#REF!</v>
      </c>
      <c r="CB251" s="9">
        <f t="shared" si="143"/>
        <v>0</v>
      </c>
      <c r="CC251" s="9">
        <f t="shared" si="144"/>
        <v>0</v>
      </c>
      <c r="CD251" s="9">
        <f t="shared" si="145"/>
        <v>0</v>
      </c>
      <c r="CE251" s="9">
        <f t="shared" si="146"/>
        <v>0</v>
      </c>
      <c r="CF251" s="9">
        <f t="shared" si="147"/>
        <v>0</v>
      </c>
      <c r="CG251" s="33"/>
      <c r="CH251" s="3">
        <f t="shared" si="148"/>
        <v>0</v>
      </c>
      <c r="CI251" s="3">
        <f t="shared" si="149"/>
        <v>0</v>
      </c>
      <c r="CJ251" s="3">
        <f t="shared" si="150"/>
        <v>0</v>
      </c>
      <c r="CK251" s="3">
        <f t="shared" si="151"/>
        <v>0</v>
      </c>
      <c r="CL251" s="3">
        <f t="shared" si="152"/>
        <v>0</v>
      </c>
      <c r="CM251" s="32"/>
      <c r="CN251" s="3">
        <f t="shared" si="153"/>
        <v>0</v>
      </c>
      <c r="CO251" s="3">
        <f t="shared" si="154"/>
        <v>0</v>
      </c>
      <c r="CP251" s="3">
        <f t="shared" si="155"/>
        <v>0</v>
      </c>
      <c r="CQ251" s="3">
        <f t="shared" si="156"/>
        <v>0</v>
      </c>
      <c r="CR251" s="3">
        <f t="shared" si="157"/>
        <v>0</v>
      </c>
      <c r="CS251" s="31"/>
      <c r="CT251" s="3" cm="1">
        <f t="array" ref="CT251">SUMPRODUCT(--(MOD(CH251:CL251,2)=1))</f>
        <v>0</v>
      </c>
      <c r="CU251" s="3">
        <f t="shared" si="158"/>
        <v>5</v>
      </c>
      <c r="CV251" s="30"/>
      <c r="CW251" s="3" cm="1">
        <f t="array" ref="CW251">SUMPRODUCT(--(MOD(CH251:CL251,10)&gt;=1), --(MOD(CH251:CL251,10)&lt;=5))</f>
        <v>0</v>
      </c>
      <c r="CX251" s="3">
        <f t="shared" si="159"/>
        <v>5</v>
      </c>
      <c r="CY251" s="30"/>
      <c r="CZ251" s="3" cm="1">
        <f t="array" ref="CZ251">IFERROR(COUNT(_xlfn._xlws.FILTER(CH251:CL251, ISNUMBER(MATCH(CH251:CL251, {2,3,5,7,11,13,17,19,23,29,31,37,41,43}, 0)))), 0)</f>
        <v>0</v>
      </c>
      <c r="DA251" s="3" cm="1">
        <f t="array" ref="DA251">IFERROR(COUNT(_xlfn._xlws.FILTER(CH251:CL251, ISNUMBER(MATCH(CH251:CL251, {1,4,8,10,14,16,20,22,25,26,28,32,34,35,38,40,44}, 0)))), 0)</f>
        <v>0</v>
      </c>
      <c r="DB251" s="3" cm="1">
        <f t="array" ref="DB251">IFERROR(COUNT(_xlfn._xlws.FILTER(CH251:CL251, ISNUMBER(MATCH(CH251:CL251, {6,9,12,15,18,21,24,27,30,33,36,39,42,45}, 0)))), 0)</f>
        <v>0</v>
      </c>
      <c r="DC251" s="29"/>
      <c r="DD251" s="28" t="e">
        <f>#REF!</f>
        <v>#REF!</v>
      </c>
      <c r="DE251" s="28" t="e">
        <f>#REF!*2</f>
        <v>#REF!</v>
      </c>
      <c r="DF251" s="28" t="e">
        <f>#REF!</f>
        <v>#REF!</v>
      </c>
      <c r="DG251" s="28" t="e">
        <f>#REF!*2</f>
        <v>#REF!</v>
      </c>
      <c r="DH251" s="28" t="e">
        <f>#REF!</f>
        <v>#REF!</v>
      </c>
      <c r="DI251" s="28" t="e">
        <f>#REF!*2</f>
        <v>#REF!</v>
      </c>
      <c r="DJ251" s="28" t="e">
        <f>#REF!</f>
        <v>#REF!</v>
      </c>
      <c r="DK251" s="28" t="e">
        <f>#REF!*2</f>
        <v>#REF!</v>
      </c>
      <c r="DL251" s="28" t="e">
        <f>#REF!</f>
        <v>#REF!</v>
      </c>
      <c r="DM251" s="28" t="e">
        <f>#REF!*2</f>
        <v>#REF!</v>
      </c>
      <c r="DN251" s="27"/>
      <c r="DO251" s="26"/>
      <c r="DP251" s="26"/>
      <c r="DQ251" s="26"/>
      <c r="DR251" s="26"/>
      <c r="DS251" s="26"/>
      <c r="DT251" s="25"/>
    </row>
    <row r="252" spans="2:124" x14ac:dyDescent="0.3"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2"/>
      <c r="I252" s="3">
        <f t="shared" si="120"/>
        <v>0</v>
      </c>
      <c r="J252" s="3">
        <f t="shared" si="121"/>
        <v>0</v>
      </c>
      <c r="K252" s="3">
        <f t="shared" si="122"/>
        <v>0</v>
      </c>
      <c r="L252" s="3">
        <f t="shared" si="123"/>
        <v>0</v>
      </c>
      <c r="M252" s="3">
        <f t="shared" si="124"/>
        <v>0</v>
      </c>
      <c r="N252" s="3">
        <f t="shared" si="125"/>
        <v>0</v>
      </c>
      <c r="O252" s="32"/>
      <c r="P252" s="3" cm="1">
        <f t="array" ref="P252">SUMPRODUCT(--(MOD(B252:G252,2)=1))</f>
        <v>0</v>
      </c>
      <c r="Q252" s="3">
        <f t="shared" si="126"/>
        <v>6</v>
      </c>
      <c r="R252" s="34"/>
      <c r="S252" s="3">
        <f t="shared" si="127"/>
        <v>0</v>
      </c>
      <c r="T252" s="3">
        <f t="shared" si="128"/>
        <v>6</v>
      </c>
      <c r="U252" s="34"/>
      <c r="V252" s="3" cm="1">
        <f t="array" ref="V252">SUMPRODUCT(--(MOD(B252:G252,10)&gt;=1), --(MOD(B252:G252,10)&lt;=5))</f>
        <v>0</v>
      </c>
      <c r="W252" s="3">
        <f t="shared" si="129"/>
        <v>6</v>
      </c>
      <c r="X252" s="34"/>
      <c r="Y252" s="3" cm="1">
        <f t="array" ref="Y252">IFERROR(COUNT(_xlfn._xlws.FILTER(B252:G252, ISNUMBER(MATCH(B252:G252, {2,3,5,7,11,13,17,19,23,29,31,37,41,43}, 0)))), 0)</f>
        <v>0</v>
      </c>
      <c r="Z252" s="3" cm="1">
        <f t="array" ref="Z252">IFERROR(COUNT(_xlfn._xlws.FILTER(B252:G252, ISNUMBER(MATCH(B252:G252, {1,4,8,10,14,16,20,22,25,26,28,32,34,35,38,40,44}, 0)))), 0)</f>
        <v>0</v>
      </c>
      <c r="AA252" s="3" cm="1">
        <f t="array" ref="AA252">IFERROR(COUNT(_xlfn._xlws.FILTER(B252:G252, ISNUMBER(MATCH(B252:G252, {6,9,12,15,18,21,24,27,30,33,36,39,42,45}, 0)))), 0)</f>
        <v>0</v>
      </c>
      <c r="AB252" s="30"/>
      <c r="AC252" s="26" cm="1">
        <f t="array" ref="AC252">_xlfn.IFS(
   OR(B252="",ISBLANK(B252),B252=0),0,
   ISNUMBER(MATCH(B252,{2,3,5,7,11,13,17,19,23,29,31,37,41,43},0)),"소",
   AND(ISNUMBER(B252),MOD(B252,3)=0),"배",
   AND(ISNUMBER(B252),B252&gt;0),"자"
)</f>
        <v>0</v>
      </c>
      <c r="AD252" s="26" cm="1">
        <f t="array" ref="AD252">_xlfn.IFS(
   OR(C252="",ISBLANK(C252),C252=0),0,
   ISNUMBER(MATCH(C252,{2,3,5,7,11,13,17,19,23,29,31,37,41,43},0)),"소",
   AND(ISNUMBER(C252),MOD(C252,3)=0),"배",
   AND(ISNUMBER(C252),C252&gt;0),"자"
)</f>
        <v>0</v>
      </c>
      <c r="AE252" s="26" cm="1">
        <f t="array" ref="AE252">_xlfn.IFS(
   OR(D252="",ISBLANK(D252),D252=0),0,
   ISNUMBER(MATCH(D252,{2,3,5,7,11,13,17,19,23,29,31,37,41,43},0)),"소",
   AND(ISNUMBER(D252),MOD(D252,3)=0),"배",
   AND(ISNUMBER(D252),D252&gt;0),"자"
)</f>
        <v>0</v>
      </c>
      <c r="AF252" s="26" cm="1">
        <f t="array" ref="AF252">_xlfn.IFS(
   OR(E252="",ISBLANK(E252),E252=0),0,
   ISNUMBER(MATCH(E252,{2,3,5,7,11,13,17,19,23,29,31,37,41,43},0)),"소",
   AND(ISNUMBER(E252),MOD(E252,3)=0),"배",
   AND(ISNUMBER(E252),E252&gt;0),"자"
)</f>
        <v>0</v>
      </c>
      <c r="AG252" s="26" cm="1">
        <f t="array" ref="AG252">_xlfn.IFS(
   OR(F252="",ISBLANK(F252),F252=0),0,
   ISNUMBER(MATCH(F252,{2,3,5,7,11,13,17,19,23,29,31,37,41,43},0)),"소",
   AND(ISNUMBER(F252),MOD(F252,3)=0),"배",
   AND(ISNUMBER(F252),F252&gt;0),"자"
)</f>
        <v>0</v>
      </c>
      <c r="AH252" s="26" cm="1">
        <f t="array" ref="AH252">_xlfn.IFS(
   OR(G252="",ISBLANK(G252),G252=0),0,
   ISNUMBER(MATCH(G252,{2,3,5,7,11,13,17,19,23,29,31,37,41,43},0)),"소",
   AND(ISNUMBER(G252),MOD(G252,3)=0),"배",
   AND(ISNUMBER(G252),G252&gt;0),"자"
)</f>
        <v>0</v>
      </c>
      <c r="AI252" s="30"/>
      <c r="AJ252" s="3">
        <f t="shared" si="130"/>
        <v>0</v>
      </c>
      <c r="AK252" s="3">
        <f t="shared" si="131"/>
        <v>0</v>
      </c>
      <c r="AL252" s="3">
        <f t="shared" si="132"/>
        <v>6</v>
      </c>
      <c r="AM252" s="33"/>
      <c r="AN252" s="3">
        <f t="shared" si="133"/>
        <v>0</v>
      </c>
      <c r="AO252" s="3">
        <f t="shared" si="134"/>
        <v>0</v>
      </c>
      <c r="AP252" s="3">
        <f t="shared" si="135"/>
        <v>0</v>
      </c>
      <c r="AQ252" s="3">
        <f t="shared" si="136"/>
        <v>0</v>
      </c>
      <c r="AR252" s="3">
        <f t="shared" si="137"/>
        <v>0</v>
      </c>
      <c r="AS252" s="28" t="e">
        <f>#REF!</f>
        <v>#REF!</v>
      </c>
      <c r="AT252" s="28" t="e">
        <f>#REF!*2</f>
        <v>#REF!</v>
      </c>
      <c r="AU252" s="28" t="e">
        <f>#REF!</f>
        <v>#REF!</v>
      </c>
      <c r="AV252" s="28" t="e">
        <f>#REF!*2</f>
        <v>#REF!</v>
      </c>
      <c r="AW252" s="28" t="e">
        <f>#REF!</f>
        <v>#REF!</v>
      </c>
      <c r="AX252" s="28" t="e">
        <f>#REF!*2</f>
        <v>#REF!</v>
      </c>
      <c r="AY252" s="28" t="e">
        <f>#REF!</f>
        <v>#REF!</v>
      </c>
      <c r="AZ252" s="28" t="e">
        <f>#REF!*2</f>
        <v>#REF!</v>
      </c>
      <c r="BA252" s="28" t="e">
        <f>#REF!</f>
        <v>#REF!</v>
      </c>
      <c r="BB252" s="28" t="e">
        <f>#REF!*2</f>
        <v>#REF!</v>
      </c>
      <c r="BC252" s="28" t="e">
        <f>#REF!</f>
        <v>#REF!</v>
      </c>
      <c r="BD252" s="28" t="e">
        <f>#REF!*2</f>
        <v>#REF!</v>
      </c>
      <c r="BE252" s="9" t="e">
        <f>#REF!-#REF!</f>
        <v>#REF!</v>
      </c>
      <c r="BF252" s="9" t="e">
        <f>#REF!-#REF!</f>
        <v>#REF!</v>
      </c>
      <c r="BG252" s="9" t="e">
        <f>#REF!-#REF!</f>
        <v>#REF!</v>
      </c>
      <c r="BH252" s="9" t="e">
        <f>#REF!-#REF!</f>
        <v>#REF!</v>
      </c>
      <c r="BI252" s="9" t="e">
        <f>#REF!-#REF!</f>
        <v>#REF!</v>
      </c>
      <c r="BJ252" s="33"/>
      <c r="BK252" s="3">
        <f t="shared" si="138"/>
        <v>0</v>
      </c>
      <c r="BL252" s="3">
        <f t="shared" si="139"/>
        <v>0</v>
      </c>
      <c r="BM252" s="3">
        <f t="shared" si="140"/>
        <v>0</v>
      </c>
      <c r="BN252" s="3">
        <f t="shared" si="141"/>
        <v>0</v>
      </c>
      <c r="BO252" s="3">
        <f t="shared" si="142"/>
        <v>0</v>
      </c>
      <c r="BP252" s="28" t="e">
        <f>#REF!</f>
        <v>#REF!</v>
      </c>
      <c r="BQ252" s="28" t="e">
        <f>#REF!*2</f>
        <v>#REF!</v>
      </c>
      <c r="BR252" s="28" t="e">
        <f>#REF!</f>
        <v>#REF!</v>
      </c>
      <c r="BS252" s="28" t="e">
        <f>#REF!*2</f>
        <v>#REF!</v>
      </c>
      <c r="BT252" s="28" t="e">
        <f>#REF!</f>
        <v>#REF!</v>
      </c>
      <c r="BU252" s="28" t="e">
        <f>#REF!*2</f>
        <v>#REF!</v>
      </c>
      <c r="BV252" s="28" t="e">
        <f>#REF!</f>
        <v>#REF!</v>
      </c>
      <c r="BW252" s="28" t="e">
        <f>#REF!*2</f>
        <v>#REF!</v>
      </c>
      <c r="BX252" s="28" t="e">
        <f>#REF!</f>
        <v>#REF!</v>
      </c>
      <c r="BY252" s="28" t="e">
        <f>#REF!*2</f>
        <v>#REF!</v>
      </c>
      <c r="BZ252" s="28" t="e">
        <f>#REF!</f>
        <v>#REF!</v>
      </c>
      <c r="CA252" s="28" t="e">
        <f>#REF!*2</f>
        <v>#REF!</v>
      </c>
      <c r="CB252" s="9">
        <f t="shared" si="143"/>
        <v>0</v>
      </c>
      <c r="CC252" s="9">
        <f t="shared" si="144"/>
        <v>0</v>
      </c>
      <c r="CD252" s="9">
        <f t="shared" si="145"/>
        <v>0</v>
      </c>
      <c r="CE252" s="9">
        <f t="shared" si="146"/>
        <v>0</v>
      </c>
      <c r="CF252" s="9">
        <f t="shared" si="147"/>
        <v>0</v>
      </c>
      <c r="CG252" s="33"/>
      <c r="CH252" s="3">
        <f t="shared" si="148"/>
        <v>0</v>
      </c>
      <c r="CI252" s="3">
        <f t="shared" si="149"/>
        <v>0</v>
      </c>
      <c r="CJ252" s="3">
        <f t="shared" si="150"/>
        <v>0</v>
      </c>
      <c r="CK252" s="3">
        <f t="shared" si="151"/>
        <v>0</v>
      </c>
      <c r="CL252" s="3">
        <f t="shared" si="152"/>
        <v>0</v>
      </c>
      <c r="CM252" s="32"/>
      <c r="CN252" s="3">
        <f t="shared" si="153"/>
        <v>0</v>
      </c>
      <c r="CO252" s="3">
        <f t="shared" si="154"/>
        <v>0</v>
      </c>
      <c r="CP252" s="3">
        <f t="shared" si="155"/>
        <v>0</v>
      </c>
      <c r="CQ252" s="3">
        <f t="shared" si="156"/>
        <v>0</v>
      </c>
      <c r="CR252" s="3">
        <f t="shared" si="157"/>
        <v>0</v>
      </c>
      <c r="CS252" s="31"/>
      <c r="CT252" s="3" cm="1">
        <f t="array" ref="CT252">SUMPRODUCT(--(MOD(CH252:CL252,2)=1))</f>
        <v>0</v>
      </c>
      <c r="CU252" s="3">
        <f t="shared" si="158"/>
        <v>5</v>
      </c>
      <c r="CV252" s="30"/>
      <c r="CW252" s="3" cm="1">
        <f t="array" ref="CW252">SUMPRODUCT(--(MOD(CH252:CL252,10)&gt;=1), --(MOD(CH252:CL252,10)&lt;=5))</f>
        <v>0</v>
      </c>
      <c r="CX252" s="3">
        <f t="shared" si="159"/>
        <v>5</v>
      </c>
      <c r="CY252" s="30"/>
      <c r="CZ252" s="3" cm="1">
        <f t="array" ref="CZ252">IFERROR(COUNT(_xlfn._xlws.FILTER(CH252:CL252, ISNUMBER(MATCH(CH252:CL252, {2,3,5,7,11,13,17,19,23,29,31,37,41,43}, 0)))), 0)</f>
        <v>0</v>
      </c>
      <c r="DA252" s="3" cm="1">
        <f t="array" ref="DA252">IFERROR(COUNT(_xlfn._xlws.FILTER(CH252:CL252, ISNUMBER(MATCH(CH252:CL252, {1,4,8,10,14,16,20,22,25,26,28,32,34,35,38,40,44}, 0)))), 0)</f>
        <v>0</v>
      </c>
      <c r="DB252" s="3" cm="1">
        <f t="array" ref="DB252">IFERROR(COUNT(_xlfn._xlws.FILTER(CH252:CL252, ISNUMBER(MATCH(CH252:CL252, {6,9,12,15,18,21,24,27,30,33,36,39,42,45}, 0)))), 0)</f>
        <v>0</v>
      </c>
      <c r="DC252" s="29"/>
      <c r="DD252" s="28" t="e">
        <f>#REF!</f>
        <v>#REF!</v>
      </c>
      <c r="DE252" s="28" t="e">
        <f>#REF!*2</f>
        <v>#REF!</v>
      </c>
      <c r="DF252" s="28" t="e">
        <f>#REF!</f>
        <v>#REF!</v>
      </c>
      <c r="DG252" s="28" t="e">
        <f>#REF!*2</f>
        <v>#REF!</v>
      </c>
      <c r="DH252" s="28" t="e">
        <f>#REF!</f>
        <v>#REF!</v>
      </c>
      <c r="DI252" s="28" t="e">
        <f>#REF!*2</f>
        <v>#REF!</v>
      </c>
      <c r="DJ252" s="28" t="e">
        <f>#REF!</f>
        <v>#REF!</v>
      </c>
      <c r="DK252" s="28" t="e">
        <f>#REF!*2</f>
        <v>#REF!</v>
      </c>
      <c r="DL252" s="28" t="e">
        <f>#REF!</f>
        <v>#REF!</v>
      </c>
      <c r="DM252" s="28" t="e">
        <f>#REF!*2</f>
        <v>#REF!</v>
      </c>
      <c r="DN252" s="27"/>
      <c r="DO252" s="26"/>
      <c r="DP252" s="26"/>
      <c r="DQ252" s="26"/>
      <c r="DR252" s="26"/>
      <c r="DS252" s="26"/>
      <c r="DT252" s="25"/>
    </row>
    <row r="253" spans="2:124" x14ac:dyDescent="0.3"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2"/>
      <c r="I253" s="3">
        <f t="shared" si="120"/>
        <v>0</v>
      </c>
      <c r="J253" s="3">
        <f t="shared" si="121"/>
        <v>0</v>
      </c>
      <c r="K253" s="3">
        <f t="shared" si="122"/>
        <v>0</v>
      </c>
      <c r="L253" s="3">
        <f t="shared" si="123"/>
        <v>0</v>
      </c>
      <c r="M253" s="3">
        <f t="shared" si="124"/>
        <v>0</v>
      </c>
      <c r="N253" s="3">
        <f t="shared" si="125"/>
        <v>0</v>
      </c>
      <c r="O253" s="32"/>
      <c r="P253" s="3" cm="1">
        <f t="array" ref="P253">SUMPRODUCT(--(MOD(B253:G253,2)=1))</f>
        <v>0</v>
      </c>
      <c r="Q253" s="3">
        <f t="shared" si="126"/>
        <v>6</v>
      </c>
      <c r="R253" s="34"/>
      <c r="S253" s="3">
        <f t="shared" si="127"/>
        <v>0</v>
      </c>
      <c r="T253" s="3">
        <f t="shared" si="128"/>
        <v>6</v>
      </c>
      <c r="U253" s="34"/>
      <c r="V253" s="3" cm="1">
        <f t="array" ref="V253">SUMPRODUCT(--(MOD(B253:G253,10)&gt;=1), --(MOD(B253:G253,10)&lt;=5))</f>
        <v>0</v>
      </c>
      <c r="W253" s="3">
        <f t="shared" si="129"/>
        <v>6</v>
      </c>
      <c r="X253" s="34"/>
      <c r="Y253" s="3" cm="1">
        <f t="array" ref="Y253">IFERROR(COUNT(_xlfn._xlws.FILTER(B253:G253, ISNUMBER(MATCH(B253:G253, {2,3,5,7,11,13,17,19,23,29,31,37,41,43}, 0)))), 0)</f>
        <v>0</v>
      </c>
      <c r="Z253" s="3" cm="1">
        <f t="array" ref="Z253">IFERROR(COUNT(_xlfn._xlws.FILTER(B253:G253, ISNUMBER(MATCH(B253:G253, {1,4,8,10,14,16,20,22,25,26,28,32,34,35,38,40,44}, 0)))), 0)</f>
        <v>0</v>
      </c>
      <c r="AA253" s="3" cm="1">
        <f t="array" ref="AA253">IFERROR(COUNT(_xlfn._xlws.FILTER(B253:G253, ISNUMBER(MATCH(B253:G253, {6,9,12,15,18,21,24,27,30,33,36,39,42,45}, 0)))), 0)</f>
        <v>0</v>
      </c>
      <c r="AB253" s="30"/>
      <c r="AC253" s="26" cm="1">
        <f t="array" ref="AC253">_xlfn.IFS(
   OR(B253="",ISBLANK(B253),B253=0),0,
   ISNUMBER(MATCH(B253,{2,3,5,7,11,13,17,19,23,29,31,37,41,43},0)),"소",
   AND(ISNUMBER(B253),MOD(B253,3)=0),"배",
   AND(ISNUMBER(B253),B253&gt;0),"자"
)</f>
        <v>0</v>
      </c>
      <c r="AD253" s="26" cm="1">
        <f t="array" ref="AD253">_xlfn.IFS(
   OR(C253="",ISBLANK(C253),C253=0),0,
   ISNUMBER(MATCH(C253,{2,3,5,7,11,13,17,19,23,29,31,37,41,43},0)),"소",
   AND(ISNUMBER(C253),MOD(C253,3)=0),"배",
   AND(ISNUMBER(C253),C253&gt;0),"자"
)</f>
        <v>0</v>
      </c>
      <c r="AE253" s="26" cm="1">
        <f t="array" ref="AE253">_xlfn.IFS(
   OR(D253="",ISBLANK(D253),D253=0),0,
   ISNUMBER(MATCH(D253,{2,3,5,7,11,13,17,19,23,29,31,37,41,43},0)),"소",
   AND(ISNUMBER(D253),MOD(D253,3)=0),"배",
   AND(ISNUMBER(D253),D253&gt;0),"자"
)</f>
        <v>0</v>
      </c>
      <c r="AF253" s="26" cm="1">
        <f t="array" ref="AF253">_xlfn.IFS(
   OR(E253="",ISBLANK(E253),E253=0),0,
   ISNUMBER(MATCH(E253,{2,3,5,7,11,13,17,19,23,29,31,37,41,43},0)),"소",
   AND(ISNUMBER(E253),MOD(E253,3)=0),"배",
   AND(ISNUMBER(E253),E253&gt;0),"자"
)</f>
        <v>0</v>
      </c>
      <c r="AG253" s="26" cm="1">
        <f t="array" ref="AG253">_xlfn.IFS(
   OR(F253="",ISBLANK(F253),F253=0),0,
   ISNUMBER(MATCH(F253,{2,3,5,7,11,13,17,19,23,29,31,37,41,43},0)),"소",
   AND(ISNUMBER(F253),MOD(F253,3)=0),"배",
   AND(ISNUMBER(F253),F253&gt;0),"자"
)</f>
        <v>0</v>
      </c>
      <c r="AH253" s="26" cm="1">
        <f t="array" ref="AH253">_xlfn.IFS(
   OR(G253="",ISBLANK(G253),G253=0),0,
   ISNUMBER(MATCH(G253,{2,3,5,7,11,13,17,19,23,29,31,37,41,43},0)),"소",
   AND(ISNUMBER(G253),MOD(G253,3)=0),"배",
   AND(ISNUMBER(G253),G253&gt;0),"자"
)</f>
        <v>0</v>
      </c>
      <c r="AI253" s="30"/>
      <c r="AJ253" s="3">
        <f t="shared" si="130"/>
        <v>0</v>
      </c>
      <c r="AK253" s="3">
        <f t="shared" si="131"/>
        <v>0</v>
      </c>
      <c r="AL253" s="3">
        <f t="shared" si="132"/>
        <v>6</v>
      </c>
      <c r="AM253" s="33"/>
      <c r="AN253" s="3">
        <f t="shared" si="133"/>
        <v>0</v>
      </c>
      <c r="AO253" s="3">
        <f t="shared" si="134"/>
        <v>0</v>
      </c>
      <c r="AP253" s="3">
        <f t="shared" si="135"/>
        <v>0</v>
      </c>
      <c r="AQ253" s="3">
        <f t="shared" si="136"/>
        <v>0</v>
      </c>
      <c r="AR253" s="3">
        <f t="shared" si="137"/>
        <v>0</v>
      </c>
      <c r="AS253" s="28" t="e">
        <f>#REF!</f>
        <v>#REF!</v>
      </c>
      <c r="AT253" s="28" t="e">
        <f>#REF!*2</f>
        <v>#REF!</v>
      </c>
      <c r="AU253" s="28" t="e">
        <f>#REF!</f>
        <v>#REF!</v>
      </c>
      <c r="AV253" s="28" t="e">
        <f>#REF!*2</f>
        <v>#REF!</v>
      </c>
      <c r="AW253" s="28" t="e">
        <f>#REF!</f>
        <v>#REF!</v>
      </c>
      <c r="AX253" s="28" t="e">
        <f>#REF!*2</f>
        <v>#REF!</v>
      </c>
      <c r="AY253" s="28" t="e">
        <f>#REF!</f>
        <v>#REF!</v>
      </c>
      <c r="AZ253" s="28" t="e">
        <f>#REF!*2</f>
        <v>#REF!</v>
      </c>
      <c r="BA253" s="28" t="e">
        <f>#REF!</f>
        <v>#REF!</v>
      </c>
      <c r="BB253" s="28" t="e">
        <f>#REF!*2</f>
        <v>#REF!</v>
      </c>
      <c r="BC253" s="28" t="e">
        <f>#REF!</f>
        <v>#REF!</v>
      </c>
      <c r="BD253" s="28" t="e">
        <f>#REF!*2</f>
        <v>#REF!</v>
      </c>
      <c r="BE253" s="9" t="e">
        <f>#REF!-#REF!</f>
        <v>#REF!</v>
      </c>
      <c r="BF253" s="9" t="e">
        <f>#REF!-#REF!</f>
        <v>#REF!</v>
      </c>
      <c r="BG253" s="9" t="e">
        <f>#REF!-#REF!</f>
        <v>#REF!</v>
      </c>
      <c r="BH253" s="9" t="e">
        <f>#REF!-#REF!</f>
        <v>#REF!</v>
      </c>
      <c r="BI253" s="9" t="e">
        <f>#REF!-#REF!</f>
        <v>#REF!</v>
      </c>
      <c r="BJ253" s="33"/>
      <c r="BK253" s="3">
        <f t="shared" si="138"/>
        <v>0</v>
      </c>
      <c r="BL253" s="3">
        <f t="shared" si="139"/>
        <v>0</v>
      </c>
      <c r="BM253" s="3">
        <f t="shared" si="140"/>
        <v>0</v>
      </c>
      <c r="BN253" s="3">
        <f t="shared" si="141"/>
        <v>0</v>
      </c>
      <c r="BO253" s="3">
        <f t="shared" si="142"/>
        <v>0</v>
      </c>
      <c r="BP253" s="28" t="e">
        <f>#REF!</f>
        <v>#REF!</v>
      </c>
      <c r="BQ253" s="28" t="e">
        <f>#REF!*2</f>
        <v>#REF!</v>
      </c>
      <c r="BR253" s="28" t="e">
        <f>#REF!</f>
        <v>#REF!</v>
      </c>
      <c r="BS253" s="28" t="e">
        <f>#REF!*2</f>
        <v>#REF!</v>
      </c>
      <c r="BT253" s="28" t="e">
        <f>#REF!</f>
        <v>#REF!</v>
      </c>
      <c r="BU253" s="28" t="e">
        <f>#REF!*2</f>
        <v>#REF!</v>
      </c>
      <c r="BV253" s="28" t="e">
        <f>#REF!</f>
        <v>#REF!</v>
      </c>
      <c r="BW253" s="28" t="e">
        <f>#REF!*2</f>
        <v>#REF!</v>
      </c>
      <c r="BX253" s="28" t="e">
        <f>#REF!</f>
        <v>#REF!</v>
      </c>
      <c r="BY253" s="28" t="e">
        <f>#REF!*2</f>
        <v>#REF!</v>
      </c>
      <c r="BZ253" s="28" t="e">
        <f>#REF!</f>
        <v>#REF!</v>
      </c>
      <c r="CA253" s="28" t="e">
        <f>#REF!*2</f>
        <v>#REF!</v>
      </c>
      <c r="CB253" s="9">
        <f t="shared" si="143"/>
        <v>0</v>
      </c>
      <c r="CC253" s="9">
        <f t="shared" si="144"/>
        <v>0</v>
      </c>
      <c r="CD253" s="9">
        <f t="shared" si="145"/>
        <v>0</v>
      </c>
      <c r="CE253" s="9">
        <f t="shared" si="146"/>
        <v>0</v>
      </c>
      <c r="CF253" s="9">
        <f t="shared" si="147"/>
        <v>0</v>
      </c>
      <c r="CG253" s="33"/>
      <c r="CH253" s="3">
        <f t="shared" si="148"/>
        <v>0</v>
      </c>
      <c r="CI253" s="3">
        <f t="shared" si="149"/>
        <v>0</v>
      </c>
      <c r="CJ253" s="3">
        <f t="shared" si="150"/>
        <v>0</v>
      </c>
      <c r="CK253" s="3">
        <f t="shared" si="151"/>
        <v>0</v>
      </c>
      <c r="CL253" s="3">
        <f t="shared" si="152"/>
        <v>0</v>
      </c>
      <c r="CM253" s="32"/>
      <c r="CN253" s="3">
        <f t="shared" si="153"/>
        <v>0</v>
      </c>
      <c r="CO253" s="3">
        <f t="shared" si="154"/>
        <v>0</v>
      </c>
      <c r="CP253" s="3">
        <f t="shared" si="155"/>
        <v>0</v>
      </c>
      <c r="CQ253" s="3">
        <f t="shared" si="156"/>
        <v>0</v>
      </c>
      <c r="CR253" s="3">
        <f t="shared" si="157"/>
        <v>0</v>
      </c>
      <c r="CS253" s="31"/>
      <c r="CT253" s="3" cm="1">
        <f t="array" ref="CT253">SUMPRODUCT(--(MOD(CH253:CL253,2)=1))</f>
        <v>0</v>
      </c>
      <c r="CU253" s="3">
        <f t="shared" si="158"/>
        <v>5</v>
      </c>
      <c r="CV253" s="30"/>
      <c r="CW253" s="3" cm="1">
        <f t="array" ref="CW253">SUMPRODUCT(--(MOD(CH253:CL253,10)&gt;=1), --(MOD(CH253:CL253,10)&lt;=5))</f>
        <v>0</v>
      </c>
      <c r="CX253" s="3">
        <f t="shared" si="159"/>
        <v>5</v>
      </c>
      <c r="CY253" s="30"/>
      <c r="CZ253" s="3" cm="1">
        <f t="array" ref="CZ253">IFERROR(COUNT(_xlfn._xlws.FILTER(CH253:CL253, ISNUMBER(MATCH(CH253:CL253, {2,3,5,7,11,13,17,19,23,29,31,37,41,43}, 0)))), 0)</f>
        <v>0</v>
      </c>
      <c r="DA253" s="3" cm="1">
        <f t="array" ref="DA253">IFERROR(COUNT(_xlfn._xlws.FILTER(CH253:CL253, ISNUMBER(MATCH(CH253:CL253, {1,4,8,10,14,16,20,22,25,26,28,32,34,35,38,40,44}, 0)))), 0)</f>
        <v>0</v>
      </c>
      <c r="DB253" s="3" cm="1">
        <f t="array" ref="DB253">IFERROR(COUNT(_xlfn._xlws.FILTER(CH253:CL253, ISNUMBER(MATCH(CH253:CL253, {6,9,12,15,18,21,24,27,30,33,36,39,42,45}, 0)))), 0)</f>
        <v>0</v>
      </c>
      <c r="DC253" s="29"/>
      <c r="DD253" s="28" t="e">
        <f>#REF!</f>
        <v>#REF!</v>
      </c>
      <c r="DE253" s="28" t="e">
        <f>#REF!*2</f>
        <v>#REF!</v>
      </c>
      <c r="DF253" s="28" t="e">
        <f>#REF!</f>
        <v>#REF!</v>
      </c>
      <c r="DG253" s="28" t="e">
        <f>#REF!*2</f>
        <v>#REF!</v>
      </c>
      <c r="DH253" s="28" t="e">
        <f>#REF!</f>
        <v>#REF!</v>
      </c>
      <c r="DI253" s="28" t="e">
        <f>#REF!*2</f>
        <v>#REF!</v>
      </c>
      <c r="DJ253" s="28" t="e">
        <f>#REF!</f>
        <v>#REF!</v>
      </c>
      <c r="DK253" s="28" t="e">
        <f>#REF!*2</f>
        <v>#REF!</v>
      </c>
      <c r="DL253" s="28" t="e">
        <f>#REF!</f>
        <v>#REF!</v>
      </c>
      <c r="DM253" s="28" t="e">
        <f>#REF!*2</f>
        <v>#REF!</v>
      </c>
      <c r="DN253" s="27"/>
      <c r="DO253" s="26"/>
      <c r="DP253" s="26"/>
      <c r="DQ253" s="26"/>
      <c r="DR253" s="26"/>
      <c r="DS253" s="26"/>
      <c r="DT253" s="25"/>
    </row>
    <row r="254" spans="2:124" x14ac:dyDescent="0.3"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2"/>
      <c r="I254" s="3">
        <f t="shared" si="120"/>
        <v>0</v>
      </c>
      <c r="J254" s="3">
        <f t="shared" si="121"/>
        <v>0</v>
      </c>
      <c r="K254" s="3">
        <f t="shared" si="122"/>
        <v>0</v>
      </c>
      <c r="L254" s="3">
        <f t="shared" si="123"/>
        <v>0</v>
      </c>
      <c r="M254" s="3">
        <f t="shared" si="124"/>
        <v>0</v>
      </c>
      <c r="N254" s="3">
        <f t="shared" si="125"/>
        <v>0</v>
      </c>
      <c r="O254" s="32"/>
      <c r="P254" s="3" cm="1">
        <f t="array" ref="P254">SUMPRODUCT(--(MOD(B254:G254,2)=1))</f>
        <v>0</v>
      </c>
      <c r="Q254" s="3">
        <f t="shared" si="126"/>
        <v>6</v>
      </c>
      <c r="R254" s="34"/>
      <c r="S254" s="3">
        <f t="shared" si="127"/>
        <v>0</v>
      </c>
      <c r="T254" s="3">
        <f t="shared" si="128"/>
        <v>6</v>
      </c>
      <c r="U254" s="34"/>
      <c r="V254" s="3" cm="1">
        <f t="array" ref="V254">SUMPRODUCT(--(MOD(B254:G254,10)&gt;=1), --(MOD(B254:G254,10)&lt;=5))</f>
        <v>0</v>
      </c>
      <c r="W254" s="3">
        <f t="shared" si="129"/>
        <v>6</v>
      </c>
      <c r="X254" s="34"/>
      <c r="Y254" s="3" cm="1">
        <f t="array" ref="Y254">IFERROR(COUNT(_xlfn._xlws.FILTER(B254:G254, ISNUMBER(MATCH(B254:G254, {2,3,5,7,11,13,17,19,23,29,31,37,41,43}, 0)))), 0)</f>
        <v>0</v>
      </c>
      <c r="Z254" s="3" cm="1">
        <f t="array" ref="Z254">IFERROR(COUNT(_xlfn._xlws.FILTER(B254:G254, ISNUMBER(MATCH(B254:G254, {1,4,8,10,14,16,20,22,25,26,28,32,34,35,38,40,44}, 0)))), 0)</f>
        <v>0</v>
      </c>
      <c r="AA254" s="3" cm="1">
        <f t="array" ref="AA254">IFERROR(COUNT(_xlfn._xlws.FILTER(B254:G254, ISNUMBER(MATCH(B254:G254, {6,9,12,15,18,21,24,27,30,33,36,39,42,45}, 0)))), 0)</f>
        <v>0</v>
      </c>
      <c r="AB254" s="30"/>
      <c r="AC254" s="26" cm="1">
        <f t="array" ref="AC254">_xlfn.IFS(
   OR(B254="",ISBLANK(B254),B254=0),0,
   ISNUMBER(MATCH(B254,{2,3,5,7,11,13,17,19,23,29,31,37,41,43},0)),"소",
   AND(ISNUMBER(B254),MOD(B254,3)=0),"배",
   AND(ISNUMBER(B254),B254&gt;0),"자"
)</f>
        <v>0</v>
      </c>
      <c r="AD254" s="26" cm="1">
        <f t="array" ref="AD254">_xlfn.IFS(
   OR(C254="",ISBLANK(C254),C254=0),0,
   ISNUMBER(MATCH(C254,{2,3,5,7,11,13,17,19,23,29,31,37,41,43},0)),"소",
   AND(ISNUMBER(C254),MOD(C254,3)=0),"배",
   AND(ISNUMBER(C254),C254&gt;0),"자"
)</f>
        <v>0</v>
      </c>
      <c r="AE254" s="26" cm="1">
        <f t="array" ref="AE254">_xlfn.IFS(
   OR(D254="",ISBLANK(D254),D254=0),0,
   ISNUMBER(MATCH(D254,{2,3,5,7,11,13,17,19,23,29,31,37,41,43},0)),"소",
   AND(ISNUMBER(D254),MOD(D254,3)=0),"배",
   AND(ISNUMBER(D254),D254&gt;0),"자"
)</f>
        <v>0</v>
      </c>
      <c r="AF254" s="26" cm="1">
        <f t="array" ref="AF254">_xlfn.IFS(
   OR(E254="",ISBLANK(E254),E254=0),0,
   ISNUMBER(MATCH(E254,{2,3,5,7,11,13,17,19,23,29,31,37,41,43},0)),"소",
   AND(ISNUMBER(E254),MOD(E254,3)=0),"배",
   AND(ISNUMBER(E254),E254&gt;0),"자"
)</f>
        <v>0</v>
      </c>
      <c r="AG254" s="26" cm="1">
        <f t="array" ref="AG254">_xlfn.IFS(
   OR(F254="",ISBLANK(F254),F254=0),0,
   ISNUMBER(MATCH(F254,{2,3,5,7,11,13,17,19,23,29,31,37,41,43},0)),"소",
   AND(ISNUMBER(F254),MOD(F254,3)=0),"배",
   AND(ISNUMBER(F254),F254&gt;0),"자"
)</f>
        <v>0</v>
      </c>
      <c r="AH254" s="26" cm="1">
        <f t="array" ref="AH254">_xlfn.IFS(
   OR(G254="",ISBLANK(G254),G254=0),0,
   ISNUMBER(MATCH(G254,{2,3,5,7,11,13,17,19,23,29,31,37,41,43},0)),"소",
   AND(ISNUMBER(G254),MOD(G254,3)=0),"배",
   AND(ISNUMBER(G254),G254&gt;0),"자"
)</f>
        <v>0</v>
      </c>
      <c r="AI254" s="30"/>
      <c r="AJ254" s="3">
        <f t="shared" si="130"/>
        <v>0</v>
      </c>
      <c r="AK254" s="3">
        <f t="shared" si="131"/>
        <v>0</v>
      </c>
      <c r="AL254" s="3">
        <f t="shared" si="132"/>
        <v>6</v>
      </c>
      <c r="AM254" s="33"/>
      <c r="AN254" s="3">
        <f t="shared" si="133"/>
        <v>0</v>
      </c>
      <c r="AO254" s="3">
        <f t="shared" si="134"/>
        <v>0</v>
      </c>
      <c r="AP254" s="3">
        <f t="shared" si="135"/>
        <v>0</v>
      </c>
      <c r="AQ254" s="3">
        <f t="shared" si="136"/>
        <v>0</v>
      </c>
      <c r="AR254" s="3">
        <f t="shared" si="137"/>
        <v>0</v>
      </c>
      <c r="AS254" s="28" t="e">
        <f>#REF!</f>
        <v>#REF!</v>
      </c>
      <c r="AT254" s="28" t="e">
        <f>#REF!*2</f>
        <v>#REF!</v>
      </c>
      <c r="AU254" s="28" t="e">
        <f>#REF!</f>
        <v>#REF!</v>
      </c>
      <c r="AV254" s="28" t="e">
        <f>#REF!*2</f>
        <v>#REF!</v>
      </c>
      <c r="AW254" s="28" t="e">
        <f>#REF!</f>
        <v>#REF!</v>
      </c>
      <c r="AX254" s="28" t="e">
        <f>#REF!*2</f>
        <v>#REF!</v>
      </c>
      <c r="AY254" s="28" t="e">
        <f>#REF!</f>
        <v>#REF!</v>
      </c>
      <c r="AZ254" s="28" t="e">
        <f>#REF!*2</f>
        <v>#REF!</v>
      </c>
      <c r="BA254" s="28" t="e">
        <f>#REF!</f>
        <v>#REF!</v>
      </c>
      <c r="BB254" s="28" t="e">
        <f>#REF!*2</f>
        <v>#REF!</v>
      </c>
      <c r="BC254" s="28" t="e">
        <f>#REF!</f>
        <v>#REF!</v>
      </c>
      <c r="BD254" s="28" t="e">
        <f>#REF!*2</f>
        <v>#REF!</v>
      </c>
      <c r="BE254" s="9" t="e">
        <f>#REF!-#REF!</f>
        <v>#REF!</v>
      </c>
      <c r="BF254" s="9" t="e">
        <f>#REF!-#REF!</f>
        <v>#REF!</v>
      </c>
      <c r="BG254" s="9" t="e">
        <f>#REF!-#REF!</f>
        <v>#REF!</v>
      </c>
      <c r="BH254" s="9" t="e">
        <f>#REF!-#REF!</f>
        <v>#REF!</v>
      </c>
      <c r="BI254" s="9" t="e">
        <f>#REF!-#REF!</f>
        <v>#REF!</v>
      </c>
      <c r="BJ254" s="33"/>
      <c r="BK254" s="3">
        <f t="shared" si="138"/>
        <v>0</v>
      </c>
      <c r="BL254" s="3">
        <f t="shared" si="139"/>
        <v>0</v>
      </c>
      <c r="BM254" s="3">
        <f t="shared" si="140"/>
        <v>0</v>
      </c>
      <c r="BN254" s="3">
        <f t="shared" si="141"/>
        <v>0</v>
      </c>
      <c r="BO254" s="3">
        <f t="shared" si="142"/>
        <v>0</v>
      </c>
      <c r="BP254" s="28" t="e">
        <f>#REF!</f>
        <v>#REF!</v>
      </c>
      <c r="BQ254" s="28" t="e">
        <f>#REF!*2</f>
        <v>#REF!</v>
      </c>
      <c r="BR254" s="28" t="e">
        <f>#REF!</f>
        <v>#REF!</v>
      </c>
      <c r="BS254" s="28" t="e">
        <f>#REF!*2</f>
        <v>#REF!</v>
      </c>
      <c r="BT254" s="28" t="e">
        <f>#REF!</f>
        <v>#REF!</v>
      </c>
      <c r="BU254" s="28" t="e">
        <f>#REF!*2</f>
        <v>#REF!</v>
      </c>
      <c r="BV254" s="28" t="e">
        <f>#REF!</f>
        <v>#REF!</v>
      </c>
      <c r="BW254" s="28" t="e">
        <f>#REF!*2</f>
        <v>#REF!</v>
      </c>
      <c r="BX254" s="28" t="e">
        <f>#REF!</f>
        <v>#REF!</v>
      </c>
      <c r="BY254" s="28" t="e">
        <f>#REF!*2</f>
        <v>#REF!</v>
      </c>
      <c r="BZ254" s="28" t="e">
        <f>#REF!</f>
        <v>#REF!</v>
      </c>
      <c r="CA254" s="28" t="e">
        <f>#REF!*2</f>
        <v>#REF!</v>
      </c>
      <c r="CB254" s="9">
        <f t="shared" si="143"/>
        <v>0</v>
      </c>
      <c r="CC254" s="9">
        <f t="shared" si="144"/>
        <v>0</v>
      </c>
      <c r="CD254" s="9">
        <f t="shared" si="145"/>
        <v>0</v>
      </c>
      <c r="CE254" s="9">
        <f t="shared" si="146"/>
        <v>0</v>
      </c>
      <c r="CF254" s="9">
        <f t="shared" si="147"/>
        <v>0</v>
      </c>
      <c r="CG254" s="33"/>
      <c r="CH254" s="3">
        <f t="shared" si="148"/>
        <v>0</v>
      </c>
      <c r="CI254" s="3">
        <f t="shared" si="149"/>
        <v>0</v>
      </c>
      <c r="CJ254" s="3">
        <f t="shared" si="150"/>
        <v>0</v>
      </c>
      <c r="CK254" s="3">
        <f t="shared" si="151"/>
        <v>0</v>
      </c>
      <c r="CL254" s="3">
        <f t="shared" si="152"/>
        <v>0</v>
      </c>
      <c r="CM254" s="32"/>
      <c r="CN254" s="3">
        <f t="shared" si="153"/>
        <v>0</v>
      </c>
      <c r="CO254" s="3">
        <f t="shared" si="154"/>
        <v>0</v>
      </c>
      <c r="CP254" s="3">
        <f t="shared" si="155"/>
        <v>0</v>
      </c>
      <c r="CQ254" s="3">
        <f t="shared" si="156"/>
        <v>0</v>
      </c>
      <c r="CR254" s="3">
        <f t="shared" si="157"/>
        <v>0</v>
      </c>
      <c r="CS254" s="31"/>
      <c r="CT254" s="3" cm="1">
        <f t="array" ref="CT254">SUMPRODUCT(--(MOD(CH254:CL254,2)=1))</f>
        <v>0</v>
      </c>
      <c r="CU254" s="3">
        <f t="shared" si="158"/>
        <v>5</v>
      </c>
      <c r="CV254" s="30"/>
      <c r="CW254" s="3" cm="1">
        <f t="array" ref="CW254">SUMPRODUCT(--(MOD(CH254:CL254,10)&gt;=1), --(MOD(CH254:CL254,10)&lt;=5))</f>
        <v>0</v>
      </c>
      <c r="CX254" s="3">
        <f t="shared" si="159"/>
        <v>5</v>
      </c>
      <c r="CY254" s="30"/>
      <c r="CZ254" s="3" cm="1">
        <f t="array" ref="CZ254">IFERROR(COUNT(_xlfn._xlws.FILTER(CH254:CL254, ISNUMBER(MATCH(CH254:CL254, {2,3,5,7,11,13,17,19,23,29,31,37,41,43}, 0)))), 0)</f>
        <v>0</v>
      </c>
      <c r="DA254" s="3" cm="1">
        <f t="array" ref="DA254">IFERROR(COUNT(_xlfn._xlws.FILTER(CH254:CL254, ISNUMBER(MATCH(CH254:CL254, {1,4,8,10,14,16,20,22,25,26,28,32,34,35,38,40,44}, 0)))), 0)</f>
        <v>0</v>
      </c>
      <c r="DB254" s="3" cm="1">
        <f t="array" ref="DB254">IFERROR(COUNT(_xlfn._xlws.FILTER(CH254:CL254, ISNUMBER(MATCH(CH254:CL254, {6,9,12,15,18,21,24,27,30,33,36,39,42,45}, 0)))), 0)</f>
        <v>0</v>
      </c>
      <c r="DC254" s="29"/>
      <c r="DD254" s="28" t="e">
        <f>#REF!</f>
        <v>#REF!</v>
      </c>
      <c r="DE254" s="28" t="e">
        <f>#REF!*2</f>
        <v>#REF!</v>
      </c>
      <c r="DF254" s="28" t="e">
        <f>#REF!</f>
        <v>#REF!</v>
      </c>
      <c r="DG254" s="28" t="e">
        <f>#REF!*2</f>
        <v>#REF!</v>
      </c>
      <c r="DH254" s="28" t="e">
        <f>#REF!</f>
        <v>#REF!</v>
      </c>
      <c r="DI254" s="28" t="e">
        <f>#REF!*2</f>
        <v>#REF!</v>
      </c>
      <c r="DJ254" s="28" t="e">
        <f>#REF!</f>
        <v>#REF!</v>
      </c>
      <c r="DK254" s="28" t="e">
        <f>#REF!*2</f>
        <v>#REF!</v>
      </c>
      <c r="DL254" s="28" t="e">
        <f>#REF!</f>
        <v>#REF!</v>
      </c>
      <c r="DM254" s="28" t="e">
        <f>#REF!*2</f>
        <v>#REF!</v>
      </c>
      <c r="DN254" s="27"/>
      <c r="DO254" s="26"/>
      <c r="DP254" s="26"/>
      <c r="DQ254" s="26"/>
      <c r="DR254" s="26"/>
      <c r="DS254" s="26"/>
      <c r="DT254" s="25"/>
    </row>
    <row r="255" spans="2:124" x14ac:dyDescent="0.3"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2"/>
      <c r="I255" s="3">
        <f t="shared" si="120"/>
        <v>0</v>
      </c>
      <c r="J255" s="3">
        <f t="shared" si="121"/>
        <v>0</v>
      </c>
      <c r="K255" s="3">
        <f t="shared" si="122"/>
        <v>0</v>
      </c>
      <c r="L255" s="3">
        <f t="shared" si="123"/>
        <v>0</v>
      </c>
      <c r="M255" s="3">
        <f t="shared" si="124"/>
        <v>0</v>
      </c>
      <c r="N255" s="3">
        <f t="shared" si="125"/>
        <v>0</v>
      </c>
      <c r="O255" s="32"/>
      <c r="P255" s="3" cm="1">
        <f t="array" ref="P255">SUMPRODUCT(--(MOD(B255:G255,2)=1))</f>
        <v>0</v>
      </c>
      <c r="Q255" s="3">
        <f t="shared" si="126"/>
        <v>6</v>
      </c>
      <c r="R255" s="34"/>
      <c r="S255" s="3">
        <f t="shared" si="127"/>
        <v>0</v>
      </c>
      <c r="T255" s="3">
        <f t="shared" si="128"/>
        <v>6</v>
      </c>
      <c r="U255" s="34"/>
      <c r="V255" s="3" cm="1">
        <f t="array" ref="V255">SUMPRODUCT(--(MOD(B255:G255,10)&gt;=1), --(MOD(B255:G255,10)&lt;=5))</f>
        <v>0</v>
      </c>
      <c r="W255" s="3">
        <f t="shared" si="129"/>
        <v>6</v>
      </c>
      <c r="X255" s="34"/>
      <c r="Y255" s="3" cm="1">
        <f t="array" ref="Y255">IFERROR(COUNT(_xlfn._xlws.FILTER(B255:G255, ISNUMBER(MATCH(B255:G255, {2,3,5,7,11,13,17,19,23,29,31,37,41,43}, 0)))), 0)</f>
        <v>0</v>
      </c>
      <c r="Z255" s="3" cm="1">
        <f t="array" ref="Z255">IFERROR(COUNT(_xlfn._xlws.FILTER(B255:G255, ISNUMBER(MATCH(B255:G255, {1,4,8,10,14,16,20,22,25,26,28,32,34,35,38,40,44}, 0)))), 0)</f>
        <v>0</v>
      </c>
      <c r="AA255" s="3" cm="1">
        <f t="array" ref="AA255">IFERROR(COUNT(_xlfn._xlws.FILTER(B255:G255, ISNUMBER(MATCH(B255:G255, {6,9,12,15,18,21,24,27,30,33,36,39,42,45}, 0)))), 0)</f>
        <v>0</v>
      </c>
      <c r="AB255" s="30"/>
      <c r="AC255" s="26" cm="1">
        <f t="array" ref="AC255">_xlfn.IFS(
   OR(B255="",ISBLANK(B255),B255=0),0,
   ISNUMBER(MATCH(B255,{2,3,5,7,11,13,17,19,23,29,31,37,41,43},0)),"소",
   AND(ISNUMBER(B255),MOD(B255,3)=0),"배",
   AND(ISNUMBER(B255),B255&gt;0),"자"
)</f>
        <v>0</v>
      </c>
      <c r="AD255" s="26" cm="1">
        <f t="array" ref="AD255">_xlfn.IFS(
   OR(C255="",ISBLANK(C255),C255=0),0,
   ISNUMBER(MATCH(C255,{2,3,5,7,11,13,17,19,23,29,31,37,41,43},0)),"소",
   AND(ISNUMBER(C255),MOD(C255,3)=0),"배",
   AND(ISNUMBER(C255),C255&gt;0),"자"
)</f>
        <v>0</v>
      </c>
      <c r="AE255" s="26" cm="1">
        <f t="array" ref="AE255">_xlfn.IFS(
   OR(D255="",ISBLANK(D255),D255=0),0,
   ISNUMBER(MATCH(D255,{2,3,5,7,11,13,17,19,23,29,31,37,41,43},0)),"소",
   AND(ISNUMBER(D255),MOD(D255,3)=0),"배",
   AND(ISNUMBER(D255),D255&gt;0),"자"
)</f>
        <v>0</v>
      </c>
      <c r="AF255" s="26" cm="1">
        <f t="array" ref="AF255">_xlfn.IFS(
   OR(E255="",ISBLANK(E255),E255=0),0,
   ISNUMBER(MATCH(E255,{2,3,5,7,11,13,17,19,23,29,31,37,41,43},0)),"소",
   AND(ISNUMBER(E255),MOD(E255,3)=0),"배",
   AND(ISNUMBER(E255),E255&gt;0),"자"
)</f>
        <v>0</v>
      </c>
      <c r="AG255" s="26" cm="1">
        <f t="array" ref="AG255">_xlfn.IFS(
   OR(F255="",ISBLANK(F255),F255=0),0,
   ISNUMBER(MATCH(F255,{2,3,5,7,11,13,17,19,23,29,31,37,41,43},0)),"소",
   AND(ISNUMBER(F255),MOD(F255,3)=0),"배",
   AND(ISNUMBER(F255),F255&gt;0),"자"
)</f>
        <v>0</v>
      </c>
      <c r="AH255" s="26" cm="1">
        <f t="array" ref="AH255">_xlfn.IFS(
   OR(G255="",ISBLANK(G255),G255=0),0,
   ISNUMBER(MATCH(G255,{2,3,5,7,11,13,17,19,23,29,31,37,41,43},0)),"소",
   AND(ISNUMBER(G255),MOD(G255,3)=0),"배",
   AND(ISNUMBER(G255),G255&gt;0),"자"
)</f>
        <v>0</v>
      </c>
      <c r="AI255" s="30"/>
      <c r="AJ255" s="3">
        <f t="shared" si="130"/>
        <v>0</v>
      </c>
      <c r="AK255" s="3">
        <f t="shared" si="131"/>
        <v>0</v>
      </c>
      <c r="AL255" s="3">
        <f t="shared" si="132"/>
        <v>6</v>
      </c>
      <c r="AM255" s="33"/>
      <c r="AN255" s="3">
        <f t="shared" si="133"/>
        <v>0</v>
      </c>
      <c r="AO255" s="3">
        <f t="shared" si="134"/>
        <v>0</v>
      </c>
      <c r="AP255" s="3">
        <f t="shared" si="135"/>
        <v>0</v>
      </c>
      <c r="AQ255" s="3">
        <f t="shared" si="136"/>
        <v>0</v>
      </c>
      <c r="AR255" s="3">
        <f t="shared" si="137"/>
        <v>0</v>
      </c>
      <c r="AS255" s="28" t="e">
        <f>#REF!</f>
        <v>#REF!</v>
      </c>
      <c r="AT255" s="28" t="e">
        <f>#REF!*2</f>
        <v>#REF!</v>
      </c>
      <c r="AU255" s="28" t="e">
        <f>#REF!</f>
        <v>#REF!</v>
      </c>
      <c r="AV255" s="28" t="e">
        <f>#REF!*2</f>
        <v>#REF!</v>
      </c>
      <c r="AW255" s="28" t="e">
        <f>#REF!</f>
        <v>#REF!</v>
      </c>
      <c r="AX255" s="28" t="e">
        <f>#REF!*2</f>
        <v>#REF!</v>
      </c>
      <c r="AY255" s="28" t="e">
        <f>#REF!</f>
        <v>#REF!</v>
      </c>
      <c r="AZ255" s="28" t="e">
        <f>#REF!*2</f>
        <v>#REF!</v>
      </c>
      <c r="BA255" s="28" t="e">
        <f>#REF!</f>
        <v>#REF!</v>
      </c>
      <c r="BB255" s="28" t="e">
        <f>#REF!*2</f>
        <v>#REF!</v>
      </c>
      <c r="BC255" s="28" t="e">
        <f>#REF!</f>
        <v>#REF!</v>
      </c>
      <c r="BD255" s="28" t="e">
        <f>#REF!*2</f>
        <v>#REF!</v>
      </c>
      <c r="BE255" s="9" t="e">
        <f>#REF!-#REF!</f>
        <v>#REF!</v>
      </c>
      <c r="BF255" s="9" t="e">
        <f>#REF!-#REF!</f>
        <v>#REF!</v>
      </c>
      <c r="BG255" s="9" t="e">
        <f>#REF!-#REF!</f>
        <v>#REF!</v>
      </c>
      <c r="BH255" s="9" t="e">
        <f>#REF!-#REF!</f>
        <v>#REF!</v>
      </c>
      <c r="BI255" s="9" t="e">
        <f>#REF!-#REF!</f>
        <v>#REF!</v>
      </c>
      <c r="BJ255" s="33"/>
      <c r="BK255" s="3">
        <f t="shared" si="138"/>
        <v>0</v>
      </c>
      <c r="BL255" s="3">
        <f t="shared" si="139"/>
        <v>0</v>
      </c>
      <c r="BM255" s="3">
        <f t="shared" si="140"/>
        <v>0</v>
      </c>
      <c r="BN255" s="3">
        <f t="shared" si="141"/>
        <v>0</v>
      </c>
      <c r="BO255" s="3">
        <f t="shared" si="142"/>
        <v>0</v>
      </c>
      <c r="BP255" s="28" t="e">
        <f>#REF!</f>
        <v>#REF!</v>
      </c>
      <c r="BQ255" s="28" t="e">
        <f>#REF!*2</f>
        <v>#REF!</v>
      </c>
      <c r="BR255" s="28" t="e">
        <f>#REF!</f>
        <v>#REF!</v>
      </c>
      <c r="BS255" s="28" t="e">
        <f>#REF!*2</f>
        <v>#REF!</v>
      </c>
      <c r="BT255" s="28" t="e">
        <f>#REF!</f>
        <v>#REF!</v>
      </c>
      <c r="BU255" s="28" t="e">
        <f>#REF!*2</f>
        <v>#REF!</v>
      </c>
      <c r="BV255" s="28" t="e">
        <f>#REF!</f>
        <v>#REF!</v>
      </c>
      <c r="BW255" s="28" t="e">
        <f>#REF!*2</f>
        <v>#REF!</v>
      </c>
      <c r="BX255" s="28" t="e">
        <f>#REF!</f>
        <v>#REF!</v>
      </c>
      <c r="BY255" s="28" t="e">
        <f>#REF!*2</f>
        <v>#REF!</v>
      </c>
      <c r="BZ255" s="28" t="e">
        <f>#REF!</f>
        <v>#REF!</v>
      </c>
      <c r="CA255" s="28" t="e">
        <f>#REF!*2</f>
        <v>#REF!</v>
      </c>
      <c r="CB255" s="9">
        <f t="shared" si="143"/>
        <v>0</v>
      </c>
      <c r="CC255" s="9">
        <f t="shared" si="144"/>
        <v>0</v>
      </c>
      <c r="CD255" s="9">
        <f t="shared" si="145"/>
        <v>0</v>
      </c>
      <c r="CE255" s="9">
        <f t="shared" si="146"/>
        <v>0</v>
      </c>
      <c r="CF255" s="9">
        <f t="shared" si="147"/>
        <v>0</v>
      </c>
      <c r="CG255" s="33"/>
      <c r="CH255" s="3">
        <f t="shared" si="148"/>
        <v>0</v>
      </c>
      <c r="CI255" s="3">
        <f t="shared" si="149"/>
        <v>0</v>
      </c>
      <c r="CJ255" s="3">
        <f t="shared" si="150"/>
        <v>0</v>
      </c>
      <c r="CK255" s="3">
        <f t="shared" si="151"/>
        <v>0</v>
      </c>
      <c r="CL255" s="3">
        <f t="shared" si="152"/>
        <v>0</v>
      </c>
      <c r="CM255" s="32"/>
      <c r="CN255" s="3">
        <f t="shared" si="153"/>
        <v>0</v>
      </c>
      <c r="CO255" s="3">
        <f t="shared" si="154"/>
        <v>0</v>
      </c>
      <c r="CP255" s="3">
        <f t="shared" si="155"/>
        <v>0</v>
      </c>
      <c r="CQ255" s="3">
        <f t="shared" si="156"/>
        <v>0</v>
      </c>
      <c r="CR255" s="3">
        <f t="shared" si="157"/>
        <v>0</v>
      </c>
      <c r="CS255" s="31"/>
      <c r="CT255" s="3" cm="1">
        <f t="array" ref="CT255">SUMPRODUCT(--(MOD(CH255:CL255,2)=1))</f>
        <v>0</v>
      </c>
      <c r="CU255" s="3">
        <f t="shared" si="158"/>
        <v>5</v>
      </c>
      <c r="CV255" s="30"/>
      <c r="CW255" s="3" cm="1">
        <f t="array" ref="CW255">SUMPRODUCT(--(MOD(CH255:CL255,10)&gt;=1), --(MOD(CH255:CL255,10)&lt;=5))</f>
        <v>0</v>
      </c>
      <c r="CX255" s="3">
        <f t="shared" si="159"/>
        <v>5</v>
      </c>
      <c r="CY255" s="30"/>
      <c r="CZ255" s="3" cm="1">
        <f t="array" ref="CZ255">IFERROR(COUNT(_xlfn._xlws.FILTER(CH255:CL255, ISNUMBER(MATCH(CH255:CL255, {2,3,5,7,11,13,17,19,23,29,31,37,41,43}, 0)))), 0)</f>
        <v>0</v>
      </c>
      <c r="DA255" s="3" cm="1">
        <f t="array" ref="DA255">IFERROR(COUNT(_xlfn._xlws.FILTER(CH255:CL255, ISNUMBER(MATCH(CH255:CL255, {1,4,8,10,14,16,20,22,25,26,28,32,34,35,38,40,44}, 0)))), 0)</f>
        <v>0</v>
      </c>
      <c r="DB255" s="3" cm="1">
        <f t="array" ref="DB255">IFERROR(COUNT(_xlfn._xlws.FILTER(CH255:CL255, ISNUMBER(MATCH(CH255:CL255, {6,9,12,15,18,21,24,27,30,33,36,39,42,45}, 0)))), 0)</f>
        <v>0</v>
      </c>
      <c r="DC255" s="29"/>
      <c r="DD255" s="28" t="e">
        <f>#REF!</f>
        <v>#REF!</v>
      </c>
      <c r="DE255" s="28" t="e">
        <f>#REF!*2</f>
        <v>#REF!</v>
      </c>
      <c r="DF255" s="28" t="e">
        <f>#REF!</f>
        <v>#REF!</v>
      </c>
      <c r="DG255" s="28" t="e">
        <f>#REF!*2</f>
        <v>#REF!</v>
      </c>
      <c r="DH255" s="28" t="e">
        <f>#REF!</f>
        <v>#REF!</v>
      </c>
      <c r="DI255" s="28" t="e">
        <f>#REF!*2</f>
        <v>#REF!</v>
      </c>
      <c r="DJ255" s="28" t="e">
        <f>#REF!</f>
        <v>#REF!</v>
      </c>
      <c r="DK255" s="28" t="e">
        <f>#REF!*2</f>
        <v>#REF!</v>
      </c>
      <c r="DL255" s="28" t="e">
        <f>#REF!</f>
        <v>#REF!</v>
      </c>
      <c r="DM255" s="28" t="e">
        <f>#REF!*2</f>
        <v>#REF!</v>
      </c>
      <c r="DN255" s="27"/>
      <c r="DO255" s="26"/>
      <c r="DP255" s="26"/>
      <c r="DQ255" s="26"/>
      <c r="DR255" s="26"/>
      <c r="DS255" s="26"/>
      <c r="DT255" s="25"/>
    </row>
    <row r="256" spans="2:124" x14ac:dyDescent="0.3"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2"/>
      <c r="I256" s="3">
        <f t="shared" si="120"/>
        <v>0</v>
      </c>
      <c r="J256" s="3">
        <f t="shared" si="121"/>
        <v>0</v>
      </c>
      <c r="K256" s="3">
        <f t="shared" si="122"/>
        <v>0</v>
      </c>
      <c r="L256" s="3">
        <f t="shared" si="123"/>
        <v>0</v>
      </c>
      <c r="M256" s="3">
        <f t="shared" si="124"/>
        <v>0</v>
      </c>
      <c r="N256" s="3">
        <f t="shared" si="125"/>
        <v>0</v>
      </c>
      <c r="O256" s="32"/>
      <c r="P256" s="3" cm="1">
        <f t="array" ref="P256">SUMPRODUCT(--(MOD(B256:G256,2)=1))</f>
        <v>0</v>
      </c>
      <c r="Q256" s="3">
        <f t="shared" si="126"/>
        <v>6</v>
      </c>
      <c r="R256" s="34"/>
      <c r="S256" s="3">
        <f t="shared" si="127"/>
        <v>0</v>
      </c>
      <c r="T256" s="3">
        <f t="shared" si="128"/>
        <v>6</v>
      </c>
      <c r="U256" s="34"/>
      <c r="V256" s="3" cm="1">
        <f t="array" ref="V256">SUMPRODUCT(--(MOD(B256:G256,10)&gt;=1), --(MOD(B256:G256,10)&lt;=5))</f>
        <v>0</v>
      </c>
      <c r="W256" s="3">
        <f t="shared" si="129"/>
        <v>6</v>
      </c>
      <c r="X256" s="34"/>
      <c r="Y256" s="3" cm="1">
        <f t="array" ref="Y256">IFERROR(COUNT(_xlfn._xlws.FILTER(B256:G256, ISNUMBER(MATCH(B256:G256, {2,3,5,7,11,13,17,19,23,29,31,37,41,43}, 0)))), 0)</f>
        <v>0</v>
      </c>
      <c r="Z256" s="3" cm="1">
        <f t="array" ref="Z256">IFERROR(COUNT(_xlfn._xlws.FILTER(B256:G256, ISNUMBER(MATCH(B256:G256, {1,4,8,10,14,16,20,22,25,26,28,32,34,35,38,40,44}, 0)))), 0)</f>
        <v>0</v>
      </c>
      <c r="AA256" s="3" cm="1">
        <f t="array" ref="AA256">IFERROR(COUNT(_xlfn._xlws.FILTER(B256:G256, ISNUMBER(MATCH(B256:G256, {6,9,12,15,18,21,24,27,30,33,36,39,42,45}, 0)))), 0)</f>
        <v>0</v>
      </c>
      <c r="AB256" s="30"/>
      <c r="AC256" s="26" cm="1">
        <f t="array" ref="AC256">_xlfn.IFS(
   OR(B256="",ISBLANK(B256),B256=0),0,
   ISNUMBER(MATCH(B256,{2,3,5,7,11,13,17,19,23,29,31,37,41,43},0)),"소",
   AND(ISNUMBER(B256),MOD(B256,3)=0),"배",
   AND(ISNUMBER(B256),B256&gt;0),"자"
)</f>
        <v>0</v>
      </c>
      <c r="AD256" s="26" cm="1">
        <f t="array" ref="AD256">_xlfn.IFS(
   OR(C256="",ISBLANK(C256),C256=0),0,
   ISNUMBER(MATCH(C256,{2,3,5,7,11,13,17,19,23,29,31,37,41,43},0)),"소",
   AND(ISNUMBER(C256),MOD(C256,3)=0),"배",
   AND(ISNUMBER(C256),C256&gt;0),"자"
)</f>
        <v>0</v>
      </c>
      <c r="AE256" s="26" cm="1">
        <f t="array" ref="AE256">_xlfn.IFS(
   OR(D256="",ISBLANK(D256),D256=0),0,
   ISNUMBER(MATCH(D256,{2,3,5,7,11,13,17,19,23,29,31,37,41,43},0)),"소",
   AND(ISNUMBER(D256),MOD(D256,3)=0),"배",
   AND(ISNUMBER(D256),D256&gt;0),"자"
)</f>
        <v>0</v>
      </c>
      <c r="AF256" s="26" cm="1">
        <f t="array" ref="AF256">_xlfn.IFS(
   OR(E256="",ISBLANK(E256),E256=0),0,
   ISNUMBER(MATCH(E256,{2,3,5,7,11,13,17,19,23,29,31,37,41,43},0)),"소",
   AND(ISNUMBER(E256),MOD(E256,3)=0),"배",
   AND(ISNUMBER(E256),E256&gt;0),"자"
)</f>
        <v>0</v>
      </c>
      <c r="AG256" s="26" cm="1">
        <f t="array" ref="AG256">_xlfn.IFS(
   OR(F256="",ISBLANK(F256),F256=0),0,
   ISNUMBER(MATCH(F256,{2,3,5,7,11,13,17,19,23,29,31,37,41,43},0)),"소",
   AND(ISNUMBER(F256),MOD(F256,3)=0),"배",
   AND(ISNUMBER(F256),F256&gt;0),"자"
)</f>
        <v>0</v>
      </c>
      <c r="AH256" s="26" cm="1">
        <f t="array" ref="AH256">_xlfn.IFS(
   OR(G256="",ISBLANK(G256),G256=0),0,
   ISNUMBER(MATCH(G256,{2,3,5,7,11,13,17,19,23,29,31,37,41,43},0)),"소",
   AND(ISNUMBER(G256),MOD(G256,3)=0),"배",
   AND(ISNUMBER(G256),G256&gt;0),"자"
)</f>
        <v>0</v>
      </c>
      <c r="AI256" s="30"/>
      <c r="AJ256" s="3">
        <f t="shared" si="130"/>
        <v>0</v>
      </c>
      <c r="AK256" s="3">
        <f t="shared" si="131"/>
        <v>0</v>
      </c>
      <c r="AL256" s="3">
        <f t="shared" si="132"/>
        <v>6</v>
      </c>
      <c r="AM256" s="33"/>
      <c r="AN256" s="3">
        <f t="shared" si="133"/>
        <v>0</v>
      </c>
      <c r="AO256" s="3">
        <f t="shared" si="134"/>
        <v>0</v>
      </c>
      <c r="AP256" s="3">
        <f t="shared" si="135"/>
        <v>0</v>
      </c>
      <c r="AQ256" s="3">
        <f t="shared" si="136"/>
        <v>0</v>
      </c>
      <c r="AR256" s="3">
        <f t="shared" si="137"/>
        <v>0</v>
      </c>
      <c r="AS256" s="28" t="e">
        <f>#REF!</f>
        <v>#REF!</v>
      </c>
      <c r="AT256" s="28" t="e">
        <f>#REF!*2</f>
        <v>#REF!</v>
      </c>
      <c r="AU256" s="28" t="e">
        <f>#REF!</f>
        <v>#REF!</v>
      </c>
      <c r="AV256" s="28" t="e">
        <f>#REF!*2</f>
        <v>#REF!</v>
      </c>
      <c r="AW256" s="28" t="e">
        <f>#REF!</f>
        <v>#REF!</v>
      </c>
      <c r="AX256" s="28" t="e">
        <f>#REF!*2</f>
        <v>#REF!</v>
      </c>
      <c r="AY256" s="28" t="e">
        <f>#REF!</f>
        <v>#REF!</v>
      </c>
      <c r="AZ256" s="28" t="e">
        <f>#REF!*2</f>
        <v>#REF!</v>
      </c>
      <c r="BA256" s="28" t="e">
        <f>#REF!</f>
        <v>#REF!</v>
      </c>
      <c r="BB256" s="28" t="e">
        <f>#REF!*2</f>
        <v>#REF!</v>
      </c>
      <c r="BC256" s="28" t="e">
        <f>#REF!</f>
        <v>#REF!</v>
      </c>
      <c r="BD256" s="28" t="e">
        <f>#REF!*2</f>
        <v>#REF!</v>
      </c>
      <c r="BE256" s="9" t="e">
        <f>#REF!-#REF!</f>
        <v>#REF!</v>
      </c>
      <c r="BF256" s="9" t="e">
        <f>#REF!-#REF!</f>
        <v>#REF!</v>
      </c>
      <c r="BG256" s="9" t="e">
        <f>#REF!-#REF!</f>
        <v>#REF!</v>
      </c>
      <c r="BH256" s="9" t="e">
        <f>#REF!-#REF!</f>
        <v>#REF!</v>
      </c>
      <c r="BI256" s="9" t="e">
        <f>#REF!-#REF!</f>
        <v>#REF!</v>
      </c>
      <c r="BJ256" s="33"/>
      <c r="BK256" s="3">
        <f t="shared" si="138"/>
        <v>0</v>
      </c>
      <c r="BL256" s="3">
        <f t="shared" si="139"/>
        <v>0</v>
      </c>
      <c r="BM256" s="3">
        <f t="shared" si="140"/>
        <v>0</v>
      </c>
      <c r="BN256" s="3">
        <f t="shared" si="141"/>
        <v>0</v>
      </c>
      <c r="BO256" s="3">
        <f t="shared" si="142"/>
        <v>0</v>
      </c>
      <c r="BP256" s="28" t="e">
        <f>#REF!</f>
        <v>#REF!</v>
      </c>
      <c r="BQ256" s="28" t="e">
        <f>#REF!*2</f>
        <v>#REF!</v>
      </c>
      <c r="BR256" s="28" t="e">
        <f>#REF!</f>
        <v>#REF!</v>
      </c>
      <c r="BS256" s="28" t="e">
        <f>#REF!*2</f>
        <v>#REF!</v>
      </c>
      <c r="BT256" s="28" t="e">
        <f>#REF!</f>
        <v>#REF!</v>
      </c>
      <c r="BU256" s="28" t="e">
        <f>#REF!*2</f>
        <v>#REF!</v>
      </c>
      <c r="BV256" s="28" t="e">
        <f>#REF!</f>
        <v>#REF!</v>
      </c>
      <c r="BW256" s="28" t="e">
        <f>#REF!*2</f>
        <v>#REF!</v>
      </c>
      <c r="BX256" s="28" t="e">
        <f>#REF!</f>
        <v>#REF!</v>
      </c>
      <c r="BY256" s="28" t="e">
        <f>#REF!*2</f>
        <v>#REF!</v>
      </c>
      <c r="BZ256" s="28" t="e">
        <f>#REF!</f>
        <v>#REF!</v>
      </c>
      <c r="CA256" s="28" t="e">
        <f>#REF!*2</f>
        <v>#REF!</v>
      </c>
      <c r="CB256" s="9">
        <f t="shared" si="143"/>
        <v>0</v>
      </c>
      <c r="CC256" s="9">
        <f t="shared" si="144"/>
        <v>0</v>
      </c>
      <c r="CD256" s="9">
        <f t="shared" si="145"/>
        <v>0</v>
      </c>
      <c r="CE256" s="9">
        <f t="shared" si="146"/>
        <v>0</v>
      </c>
      <c r="CF256" s="9">
        <f t="shared" si="147"/>
        <v>0</v>
      </c>
      <c r="CG256" s="33"/>
      <c r="CH256" s="3">
        <f t="shared" si="148"/>
        <v>0</v>
      </c>
      <c r="CI256" s="3">
        <f t="shared" si="149"/>
        <v>0</v>
      </c>
      <c r="CJ256" s="3">
        <f t="shared" si="150"/>
        <v>0</v>
      </c>
      <c r="CK256" s="3">
        <f t="shared" si="151"/>
        <v>0</v>
      </c>
      <c r="CL256" s="3">
        <f t="shared" si="152"/>
        <v>0</v>
      </c>
      <c r="CM256" s="32"/>
      <c r="CN256" s="3">
        <f t="shared" si="153"/>
        <v>0</v>
      </c>
      <c r="CO256" s="3">
        <f t="shared" si="154"/>
        <v>0</v>
      </c>
      <c r="CP256" s="3">
        <f t="shared" si="155"/>
        <v>0</v>
      </c>
      <c r="CQ256" s="3">
        <f t="shared" si="156"/>
        <v>0</v>
      </c>
      <c r="CR256" s="3">
        <f t="shared" si="157"/>
        <v>0</v>
      </c>
      <c r="CS256" s="31"/>
      <c r="CT256" s="3" cm="1">
        <f t="array" ref="CT256">SUMPRODUCT(--(MOD(CH256:CL256,2)=1))</f>
        <v>0</v>
      </c>
      <c r="CU256" s="3">
        <f t="shared" si="158"/>
        <v>5</v>
      </c>
      <c r="CV256" s="30"/>
      <c r="CW256" s="3" cm="1">
        <f t="array" ref="CW256">SUMPRODUCT(--(MOD(CH256:CL256,10)&gt;=1), --(MOD(CH256:CL256,10)&lt;=5))</f>
        <v>0</v>
      </c>
      <c r="CX256" s="3">
        <f t="shared" si="159"/>
        <v>5</v>
      </c>
      <c r="CY256" s="30"/>
      <c r="CZ256" s="3" cm="1">
        <f t="array" ref="CZ256">IFERROR(COUNT(_xlfn._xlws.FILTER(CH256:CL256, ISNUMBER(MATCH(CH256:CL256, {2,3,5,7,11,13,17,19,23,29,31,37,41,43}, 0)))), 0)</f>
        <v>0</v>
      </c>
      <c r="DA256" s="3" cm="1">
        <f t="array" ref="DA256">IFERROR(COUNT(_xlfn._xlws.FILTER(CH256:CL256, ISNUMBER(MATCH(CH256:CL256, {1,4,8,10,14,16,20,22,25,26,28,32,34,35,38,40,44}, 0)))), 0)</f>
        <v>0</v>
      </c>
      <c r="DB256" s="3" cm="1">
        <f t="array" ref="DB256">IFERROR(COUNT(_xlfn._xlws.FILTER(CH256:CL256, ISNUMBER(MATCH(CH256:CL256, {6,9,12,15,18,21,24,27,30,33,36,39,42,45}, 0)))), 0)</f>
        <v>0</v>
      </c>
      <c r="DC256" s="29"/>
      <c r="DD256" s="28" t="e">
        <f>#REF!</f>
        <v>#REF!</v>
      </c>
      <c r="DE256" s="28" t="e">
        <f>#REF!*2</f>
        <v>#REF!</v>
      </c>
      <c r="DF256" s="28" t="e">
        <f>#REF!</f>
        <v>#REF!</v>
      </c>
      <c r="DG256" s="28" t="e">
        <f>#REF!*2</f>
        <v>#REF!</v>
      </c>
      <c r="DH256" s="28" t="e">
        <f>#REF!</f>
        <v>#REF!</v>
      </c>
      <c r="DI256" s="28" t="e">
        <f>#REF!*2</f>
        <v>#REF!</v>
      </c>
      <c r="DJ256" s="28" t="e">
        <f>#REF!</f>
        <v>#REF!</v>
      </c>
      <c r="DK256" s="28" t="e">
        <f>#REF!*2</f>
        <v>#REF!</v>
      </c>
      <c r="DL256" s="28" t="e">
        <f>#REF!</f>
        <v>#REF!</v>
      </c>
      <c r="DM256" s="28" t="e">
        <f>#REF!*2</f>
        <v>#REF!</v>
      </c>
      <c r="DN256" s="27"/>
      <c r="DO256" s="26"/>
      <c r="DP256" s="26"/>
      <c r="DQ256" s="26"/>
      <c r="DR256" s="26"/>
      <c r="DS256" s="26"/>
      <c r="DT256" s="25"/>
    </row>
    <row r="257" spans="2:124" x14ac:dyDescent="0.3"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2"/>
      <c r="I257" s="3">
        <f t="shared" si="120"/>
        <v>0</v>
      </c>
      <c r="J257" s="3">
        <f t="shared" si="121"/>
        <v>0</v>
      </c>
      <c r="K257" s="3">
        <f t="shared" si="122"/>
        <v>0</v>
      </c>
      <c r="L257" s="3">
        <f t="shared" si="123"/>
        <v>0</v>
      </c>
      <c r="M257" s="3">
        <f t="shared" si="124"/>
        <v>0</v>
      </c>
      <c r="N257" s="3">
        <f t="shared" si="125"/>
        <v>0</v>
      </c>
      <c r="O257" s="32"/>
      <c r="P257" s="3" cm="1">
        <f t="array" ref="P257">SUMPRODUCT(--(MOD(B257:G257,2)=1))</f>
        <v>0</v>
      </c>
      <c r="Q257" s="3">
        <f t="shared" si="126"/>
        <v>6</v>
      </c>
      <c r="R257" s="34"/>
      <c r="S257" s="3">
        <f t="shared" si="127"/>
        <v>0</v>
      </c>
      <c r="T257" s="3">
        <f t="shared" si="128"/>
        <v>6</v>
      </c>
      <c r="U257" s="34"/>
      <c r="V257" s="3" cm="1">
        <f t="array" ref="V257">SUMPRODUCT(--(MOD(B257:G257,10)&gt;=1), --(MOD(B257:G257,10)&lt;=5))</f>
        <v>0</v>
      </c>
      <c r="W257" s="3">
        <f t="shared" si="129"/>
        <v>6</v>
      </c>
      <c r="X257" s="34"/>
      <c r="Y257" s="3" cm="1">
        <f t="array" ref="Y257">IFERROR(COUNT(_xlfn._xlws.FILTER(B257:G257, ISNUMBER(MATCH(B257:G257, {2,3,5,7,11,13,17,19,23,29,31,37,41,43}, 0)))), 0)</f>
        <v>0</v>
      </c>
      <c r="Z257" s="3" cm="1">
        <f t="array" ref="Z257">IFERROR(COUNT(_xlfn._xlws.FILTER(B257:G257, ISNUMBER(MATCH(B257:G257, {1,4,8,10,14,16,20,22,25,26,28,32,34,35,38,40,44}, 0)))), 0)</f>
        <v>0</v>
      </c>
      <c r="AA257" s="3" cm="1">
        <f t="array" ref="AA257">IFERROR(COUNT(_xlfn._xlws.FILTER(B257:G257, ISNUMBER(MATCH(B257:G257, {6,9,12,15,18,21,24,27,30,33,36,39,42,45}, 0)))), 0)</f>
        <v>0</v>
      </c>
      <c r="AB257" s="30"/>
      <c r="AC257" s="26" cm="1">
        <f t="array" ref="AC257">_xlfn.IFS(
   OR(B257="",ISBLANK(B257),B257=0),0,
   ISNUMBER(MATCH(B257,{2,3,5,7,11,13,17,19,23,29,31,37,41,43},0)),"소",
   AND(ISNUMBER(B257),MOD(B257,3)=0),"배",
   AND(ISNUMBER(B257),B257&gt;0),"자"
)</f>
        <v>0</v>
      </c>
      <c r="AD257" s="26" cm="1">
        <f t="array" ref="AD257">_xlfn.IFS(
   OR(C257="",ISBLANK(C257),C257=0),0,
   ISNUMBER(MATCH(C257,{2,3,5,7,11,13,17,19,23,29,31,37,41,43},0)),"소",
   AND(ISNUMBER(C257),MOD(C257,3)=0),"배",
   AND(ISNUMBER(C257),C257&gt;0),"자"
)</f>
        <v>0</v>
      </c>
      <c r="AE257" s="26" cm="1">
        <f t="array" ref="AE257">_xlfn.IFS(
   OR(D257="",ISBLANK(D257),D257=0),0,
   ISNUMBER(MATCH(D257,{2,3,5,7,11,13,17,19,23,29,31,37,41,43},0)),"소",
   AND(ISNUMBER(D257),MOD(D257,3)=0),"배",
   AND(ISNUMBER(D257),D257&gt;0),"자"
)</f>
        <v>0</v>
      </c>
      <c r="AF257" s="26" cm="1">
        <f t="array" ref="AF257">_xlfn.IFS(
   OR(E257="",ISBLANK(E257),E257=0),0,
   ISNUMBER(MATCH(E257,{2,3,5,7,11,13,17,19,23,29,31,37,41,43},0)),"소",
   AND(ISNUMBER(E257),MOD(E257,3)=0),"배",
   AND(ISNUMBER(E257),E257&gt;0),"자"
)</f>
        <v>0</v>
      </c>
      <c r="AG257" s="26" cm="1">
        <f t="array" ref="AG257">_xlfn.IFS(
   OR(F257="",ISBLANK(F257),F257=0),0,
   ISNUMBER(MATCH(F257,{2,3,5,7,11,13,17,19,23,29,31,37,41,43},0)),"소",
   AND(ISNUMBER(F257),MOD(F257,3)=0),"배",
   AND(ISNUMBER(F257),F257&gt;0),"자"
)</f>
        <v>0</v>
      </c>
      <c r="AH257" s="26" cm="1">
        <f t="array" ref="AH257">_xlfn.IFS(
   OR(G257="",ISBLANK(G257),G257=0),0,
   ISNUMBER(MATCH(G257,{2,3,5,7,11,13,17,19,23,29,31,37,41,43},0)),"소",
   AND(ISNUMBER(G257),MOD(G257,3)=0),"배",
   AND(ISNUMBER(G257),G257&gt;0),"자"
)</f>
        <v>0</v>
      </c>
      <c r="AI257" s="30"/>
      <c r="AJ257" s="3">
        <f t="shared" si="130"/>
        <v>0</v>
      </c>
      <c r="AK257" s="3">
        <f t="shared" si="131"/>
        <v>0</v>
      </c>
      <c r="AL257" s="3">
        <f t="shared" si="132"/>
        <v>6</v>
      </c>
      <c r="AM257" s="33"/>
      <c r="AN257" s="3">
        <f t="shared" si="133"/>
        <v>0</v>
      </c>
      <c r="AO257" s="3">
        <f t="shared" si="134"/>
        <v>0</v>
      </c>
      <c r="AP257" s="3">
        <f t="shared" si="135"/>
        <v>0</v>
      </c>
      <c r="AQ257" s="3">
        <f t="shared" si="136"/>
        <v>0</v>
      </c>
      <c r="AR257" s="3">
        <f t="shared" si="137"/>
        <v>0</v>
      </c>
      <c r="AS257" s="28" t="e">
        <f>#REF!</f>
        <v>#REF!</v>
      </c>
      <c r="AT257" s="28" t="e">
        <f>#REF!*2</f>
        <v>#REF!</v>
      </c>
      <c r="AU257" s="28" t="e">
        <f>#REF!</f>
        <v>#REF!</v>
      </c>
      <c r="AV257" s="28" t="e">
        <f>#REF!*2</f>
        <v>#REF!</v>
      </c>
      <c r="AW257" s="28" t="e">
        <f>#REF!</f>
        <v>#REF!</v>
      </c>
      <c r="AX257" s="28" t="e">
        <f>#REF!*2</f>
        <v>#REF!</v>
      </c>
      <c r="AY257" s="28" t="e">
        <f>#REF!</f>
        <v>#REF!</v>
      </c>
      <c r="AZ257" s="28" t="e">
        <f>#REF!*2</f>
        <v>#REF!</v>
      </c>
      <c r="BA257" s="28" t="e">
        <f>#REF!</f>
        <v>#REF!</v>
      </c>
      <c r="BB257" s="28" t="e">
        <f>#REF!*2</f>
        <v>#REF!</v>
      </c>
      <c r="BC257" s="28" t="e">
        <f>#REF!</f>
        <v>#REF!</v>
      </c>
      <c r="BD257" s="28" t="e">
        <f>#REF!*2</f>
        <v>#REF!</v>
      </c>
      <c r="BE257" s="9" t="e">
        <f>#REF!-#REF!</f>
        <v>#REF!</v>
      </c>
      <c r="BF257" s="9" t="e">
        <f>#REF!-#REF!</f>
        <v>#REF!</v>
      </c>
      <c r="BG257" s="9" t="e">
        <f>#REF!-#REF!</f>
        <v>#REF!</v>
      </c>
      <c r="BH257" s="9" t="e">
        <f>#REF!-#REF!</f>
        <v>#REF!</v>
      </c>
      <c r="BI257" s="9" t="e">
        <f>#REF!-#REF!</f>
        <v>#REF!</v>
      </c>
      <c r="BJ257" s="33"/>
      <c r="BK257" s="3">
        <f t="shared" si="138"/>
        <v>0</v>
      </c>
      <c r="BL257" s="3">
        <f t="shared" si="139"/>
        <v>0</v>
      </c>
      <c r="BM257" s="3">
        <f t="shared" si="140"/>
        <v>0</v>
      </c>
      <c r="BN257" s="3">
        <f t="shared" si="141"/>
        <v>0</v>
      </c>
      <c r="BO257" s="3">
        <f t="shared" si="142"/>
        <v>0</v>
      </c>
      <c r="BP257" s="28" t="e">
        <f>#REF!</f>
        <v>#REF!</v>
      </c>
      <c r="BQ257" s="28" t="e">
        <f>#REF!*2</f>
        <v>#REF!</v>
      </c>
      <c r="BR257" s="28" t="e">
        <f>#REF!</f>
        <v>#REF!</v>
      </c>
      <c r="BS257" s="28" t="e">
        <f>#REF!*2</f>
        <v>#REF!</v>
      </c>
      <c r="BT257" s="28" t="e">
        <f>#REF!</f>
        <v>#REF!</v>
      </c>
      <c r="BU257" s="28" t="e">
        <f>#REF!*2</f>
        <v>#REF!</v>
      </c>
      <c r="BV257" s="28" t="e">
        <f>#REF!</f>
        <v>#REF!</v>
      </c>
      <c r="BW257" s="28" t="e">
        <f>#REF!*2</f>
        <v>#REF!</v>
      </c>
      <c r="BX257" s="28" t="e">
        <f>#REF!</f>
        <v>#REF!</v>
      </c>
      <c r="BY257" s="28" t="e">
        <f>#REF!*2</f>
        <v>#REF!</v>
      </c>
      <c r="BZ257" s="28" t="e">
        <f>#REF!</f>
        <v>#REF!</v>
      </c>
      <c r="CA257" s="28" t="e">
        <f>#REF!*2</f>
        <v>#REF!</v>
      </c>
      <c r="CB257" s="9">
        <f t="shared" si="143"/>
        <v>0</v>
      </c>
      <c r="CC257" s="9">
        <f t="shared" si="144"/>
        <v>0</v>
      </c>
      <c r="CD257" s="9">
        <f t="shared" si="145"/>
        <v>0</v>
      </c>
      <c r="CE257" s="9">
        <f t="shared" si="146"/>
        <v>0</v>
      </c>
      <c r="CF257" s="9">
        <f t="shared" si="147"/>
        <v>0</v>
      </c>
      <c r="CG257" s="33"/>
      <c r="CH257" s="3">
        <f t="shared" si="148"/>
        <v>0</v>
      </c>
      <c r="CI257" s="3">
        <f t="shared" si="149"/>
        <v>0</v>
      </c>
      <c r="CJ257" s="3">
        <f t="shared" si="150"/>
        <v>0</v>
      </c>
      <c r="CK257" s="3">
        <f t="shared" si="151"/>
        <v>0</v>
      </c>
      <c r="CL257" s="3">
        <f t="shared" si="152"/>
        <v>0</v>
      </c>
      <c r="CM257" s="32"/>
      <c r="CN257" s="3">
        <f t="shared" si="153"/>
        <v>0</v>
      </c>
      <c r="CO257" s="3">
        <f t="shared" si="154"/>
        <v>0</v>
      </c>
      <c r="CP257" s="3">
        <f t="shared" si="155"/>
        <v>0</v>
      </c>
      <c r="CQ257" s="3">
        <f t="shared" si="156"/>
        <v>0</v>
      </c>
      <c r="CR257" s="3">
        <f t="shared" si="157"/>
        <v>0</v>
      </c>
      <c r="CS257" s="31"/>
      <c r="CT257" s="3" cm="1">
        <f t="array" ref="CT257">SUMPRODUCT(--(MOD(CH257:CL257,2)=1))</f>
        <v>0</v>
      </c>
      <c r="CU257" s="3">
        <f t="shared" si="158"/>
        <v>5</v>
      </c>
      <c r="CV257" s="30"/>
      <c r="CW257" s="3" cm="1">
        <f t="array" ref="CW257">SUMPRODUCT(--(MOD(CH257:CL257,10)&gt;=1), --(MOD(CH257:CL257,10)&lt;=5))</f>
        <v>0</v>
      </c>
      <c r="CX257" s="3">
        <f t="shared" si="159"/>
        <v>5</v>
      </c>
      <c r="CY257" s="30"/>
      <c r="CZ257" s="3" cm="1">
        <f t="array" ref="CZ257">IFERROR(COUNT(_xlfn._xlws.FILTER(CH257:CL257, ISNUMBER(MATCH(CH257:CL257, {2,3,5,7,11,13,17,19,23,29,31,37,41,43}, 0)))), 0)</f>
        <v>0</v>
      </c>
      <c r="DA257" s="3" cm="1">
        <f t="array" ref="DA257">IFERROR(COUNT(_xlfn._xlws.FILTER(CH257:CL257, ISNUMBER(MATCH(CH257:CL257, {1,4,8,10,14,16,20,22,25,26,28,32,34,35,38,40,44}, 0)))), 0)</f>
        <v>0</v>
      </c>
      <c r="DB257" s="3" cm="1">
        <f t="array" ref="DB257">IFERROR(COUNT(_xlfn._xlws.FILTER(CH257:CL257, ISNUMBER(MATCH(CH257:CL257, {6,9,12,15,18,21,24,27,30,33,36,39,42,45}, 0)))), 0)</f>
        <v>0</v>
      </c>
      <c r="DC257" s="29"/>
      <c r="DD257" s="28" t="e">
        <f>#REF!</f>
        <v>#REF!</v>
      </c>
      <c r="DE257" s="28" t="e">
        <f>#REF!*2</f>
        <v>#REF!</v>
      </c>
      <c r="DF257" s="28" t="e">
        <f>#REF!</f>
        <v>#REF!</v>
      </c>
      <c r="DG257" s="28" t="e">
        <f>#REF!*2</f>
        <v>#REF!</v>
      </c>
      <c r="DH257" s="28" t="e">
        <f>#REF!</f>
        <v>#REF!</v>
      </c>
      <c r="DI257" s="28" t="e">
        <f>#REF!*2</f>
        <v>#REF!</v>
      </c>
      <c r="DJ257" s="28" t="e">
        <f>#REF!</f>
        <v>#REF!</v>
      </c>
      <c r="DK257" s="28" t="e">
        <f>#REF!*2</f>
        <v>#REF!</v>
      </c>
      <c r="DL257" s="28" t="e">
        <f>#REF!</f>
        <v>#REF!</v>
      </c>
      <c r="DM257" s="28" t="e">
        <f>#REF!*2</f>
        <v>#REF!</v>
      </c>
      <c r="DN257" s="27"/>
      <c r="DO257" s="26"/>
      <c r="DP257" s="26"/>
      <c r="DQ257" s="26"/>
      <c r="DR257" s="26"/>
      <c r="DS257" s="26"/>
      <c r="DT257" s="25"/>
    </row>
    <row r="258" spans="2:124" x14ac:dyDescent="0.3"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2"/>
      <c r="I258" s="3">
        <f t="shared" si="120"/>
        <v>0</v>
      </c>
      <c r="J258" s="3">
        <f t="shared" si="121"/>
        <v>0</v>
      </c>
      <c r="K258" s="3">
        <f t="shared" si="122"/>
        <v>0</v>
      </c>
      <c r="L258" s="3">
        <f t="shared" si="123"/>
        <v>0</v>
      </c>
      <c r="M258" s="3">
        <f t="shared" si="124"/>
        <v>0</v>
      </c>
      <c r="N258" s="3">
        <f t="shared" si="125"/>
        <v>0</v>
      </c>
      <c r="O258" s="32"/>
      <c r="P258" s="3" cm="1">
        <f t="array" ref="P258">SUMPRODUCT(--(MOD(B258:G258,2)=1))</f>
        <v>0</v>
      </c>
      <c r="Q258" s="3">
        <f t="shared" si="126"/>
        <v>6</v>
      </c>
      <c r="R258" s="34"/>
      <c r="S258" s="3">
        <f t="shared" si="127"/>
        <v>0</v>
      </c>
      <c r="T258" s="3">
        <f t="shared" si="128"/>
        <v>6</v>
      </c>
      <c r="U258" s="34"/>
      <c r="V258" s="3" cm="1">
        <f t="array" ref="V258">SUMPRODUCT(--(MOD(B258:G258,10)&gt;=1), --(MOD(B258:G258,10)&lt;=5))</f>
        <v>0</v>
      </c>
      <c r="W258" s="3">
        <f t="shared" si="129"/>
        <v>6</v>
      </c>
      <c r="X258" s="34"/>
      <c r="Y258" s="3" cm="1">
        <f t="array" ref="Y258">IFERROR(COUNT(_xlfn._xlws.FILTER(B258:G258, ISNUMBER(MATCH(B258:G258, {2,3,5,7,11,13,17,19,23,29,31,37,41,43}, 0)))), 0)</f>
        <v>0</v>
      </c>
      <c r="Z258" s="3" cm="1">
        <f t="array" ref="Z258">IFERROR(COUNT(_xlfn._xlws.FILTER(B258:G258, ISNUMBER(MATCH(B258:G258, {1,4,8,10,14,16,20,22,25,26,28,32,34,35,38,40,44}, 0)))), 0)</f>
        <v>0</v>
      </c>
      <c r="AA258" s="3" cm="1">
        <f t="array" ref="AA258">IFERROR(COUNT(_xlfn._xlws.FILTER(B258:G258, ISNUMBER(MATCH(B258:G258, {6,9,12,15,18,21,24,27,30,33,36,39,42,45}, 0)))), 0)</f>
        <v>0</v>
      </c>
      <c r="AB258" s="30"/>
      <c r="AC258" s="26" cm="1">
        <f t="array" ref="AC258">_xlfn.IFS(
   OR(B258="",ISBLANK(B258),B258=0),0,
   ISNUMBER(MATCH(B258,{2,3,5,7,11,13,17,19,23,29,31,37,41,43},0)),"소",
   AND(ISNUMBER(B258),MOD(B258,3)=0),"배",
   AND(ISNUMBER(B258),B258&gt;0),"자"
)</f>
        <v>0</v>
      </c>
      <c r="AD258" s="26" cm="1">
        <f t="array" ref="AD258">_xlfn.IFS(
   OR(C258="",ISBLANK(C258),C258=0),0,
   ISNUMBER(MATCH(C258,{2,3,5,7,11,13,17,19,23,29,31,37,41,43},0)),"소",
   AND(ISNUMBER(C258),MOD(C258,3)=0),"배",
   AND(ISNUMBER(C258),C258&gt;0),"자"
)</f>
        <v>0</v>
      </c>
      <c r="AE258" s="26" cm="1">
        <f t="array" ref="AE258">_xlfn.IFS(
   OR(D258="",ISBLANK(D258),D258=0),0,
   ISNUMBER(MATCH(D258,{2,3,5,7,11,13,17,19,23,29,31,37,41,43},0)),"소",
   AND(ISNUMBER(D258),MOD(D258,3)=0),"배",
   AND(ISNUMBER(D258),D258&gt;0),"자"
)</f>
        <v>0</v>
      </c>
      <c r="AF258" s="26" cm="1">
        <f t="array" ref="AF258">_xlfn.IFS(
   OR(E258="",ISBLANK(E258),E258=0),0,
   ISNUMBER(MATCH(E258,{2,3,5,7,11,13,17,19,23,29,31,37,41,43},0)),"소",
   AND(ISNUMBER(E258),MOD(E258,3)=0),"배",
   AND(ISNUMBER(E258),E258&gt;0),"자"
)</f>
        <v>0</v>
      </c>
      <c r="AG258" s="26" cm="1">
        <f t="array" ref="AG258">_xlfn.IFS(
   OR(F258="",ISBLANK(F258),F258=0),0,
   ISNUMBER(MATCH(F258,{2,3,5,7,11,13,17,19,23,29,31,37,41,43},0)),"소",
   AND(ISNUMBER(F258),MOD(F258,3)=0),"배",
   AND(ISNUMBER(F258),F258&gt;0),"자"
)</f>
        <v>0</v>
      </c>
      <c r="AH258" s="26" cm="1">
        <f t="array" ref="AH258">_xlfn.IFS(
   OR(G258="",ISBLANK(G258),G258=0),0,
   ISNUMBER(MATCH(G258,{2,3,5,7,11,13,17,19,23,29,31,37,41,43},0)),"소",
   AND(ISNUMBER(G258),MOD(G258,3)=0),"배",
   AND(ISNUMBER(G258),G258&gt;0),"자"
)</f>
        <v>0</v>
      </c>
      <c r="AI258" s="30"/>
      <c r="AJ258" s="3">
        <f t="shared" si="130"/>
        <v>0</v>
      </c>
      <c r="AK258" s="3">
        <f t="shared" si="131"/>
        <v>0</v>
      </c>
      <c r="AL258" s="3">
        <f t="shared" si="132"/>
        <v>6</v>
      </c>
      <c r="AM258" s="33"/>
      <c r="AN258" s="3">
        <f t="shared" si="133"/>
        <v>0</v>
      </c>
      <c r="AO258" s="3">
        <f t="shared" si="134"/>
        <v>0</v>
      </c>
      <c r="AP258" s="3">
        <f t="shared" si="135"/>
        <v>0</v>
      </c>
      <c r="AQ258" s="3">
        <f t="shared" si="136"/>
        <v>0</v>
      </c>
      <c r="AR258" s="3">
        <f t="shared" si="137"/>
        <v>0</v>
      </c>
      <c r="AS258" s="28" t="e">
        <f>#REF!</f>
        <v>#REF!</v>
      </c>
      <c r="AT258" s="28" t="e">
        <f>#REF!*2</f>
        <v>#REF!</v>
      </c>
      <c r="AU258" s="28" t="e">
        <f>#REF!</f>
        <v>#REF!</v>
      </c>
      <c r="AV258" s="28" t="e">
        <f>#REF!*2</f>
        <v>#REF!</v>
      </c>
      <c r="AW258" s="28" t="e">
        <f>#REF!</f>
        <v>#REF!</v>
      </c>
      <c r="AX258" s="28" t="e">
        <f>#REF!*2</f>
        <v>#REF!</v>
      </c>
      <c r="AY258" s="28" t="e">
        <f>#REF!</f>
        <v>#REF!</v>
      </c>
      <c r="AZ258" s="28" t="e">
        <f>#REF!*2</f>
        <v>#REF!</v>
      </c>
      <c r="BA258" s="28" t="e">
        <f>#REF!</f>
        <v>#REF!</v>
      </c>
      <c r="BB258" s="28" t="e">
        <f>#REF!*2</f>
        <v>#REF!</v>
      </c>
      <c r="BC258" s="28" t="e">
        <f>#REF!</f>
        <v>#REF!</v>
      </c>
      <c r="BD258" s="28" t="e">
        <f>#REF!*2</f>
        <v>#REF!</v>
      </c>
      <c r="BE258" s="9" t="e">
        <f>#REF!-#REF!</f>
        <v>#REF!</v>
      </c>
      <c r="BF258" s="9" t="e">
        <f>#REF!-#REF!</f>
        <v>#REF!</v>
      </c>
      <c r="BG258" s="9" t="e">
        <f>#REF!-#REF!</f>
        <v>#REF!</v>
      </c>
      <c r="BH258" s="9" t="e">
        <f>#REF!-#REF!</f>
        <v>#REF!</v>
      </c>
      <c r="BI258" s="9" t="e">
        <f>#REF!-#REF!</f>
        <v>#REF!</v>
      </c>
      <c r="BJ258" s="33"/>
      <c r="BK258" s="3">
        <f t="shared" si="138"/>
        <v>0</v>
      </c>
      <c r="BL258" s="3">
        <f t="shared" si="139"/>
        <v>0</v>
      </c>
      <c r="BM258" s="3">
        <f t="shared" si="140"/>
        <v>0</v>
      </c>
      <c r="BN258" s="3">
        <f t="shared" si="141"/>
        <v>0</v>
      </c>
      <c r="BO258" s="3">
        <f t="shared" si="142"/>
        <v>0</v>
      </c>
      <c r="BP258" s="28" t="e">
        <f>#REF!</f>
        <v>#REF!</v>
      </c>
      <c r="BQ258" s="28" t="e">
        <f>#REF!*2</f>
        <v>#REF!</v>
      </c>
      <c r="BR258" s="28" t="e">
        <f>#REF!</f>
        <v>#REF!</v>
      </c>
      <c r="BS258" s="28" t="e">
        <f>#REF!*2</f>
        <v>#REF!</v>
      </c>
      <c r="BT258" s="28" t="e">
        <f>#REF!</f>
        <v>#REF!</v>
      </c>
      <c r="BU258" s="28" t="e">
        <f>#REF!*2</f>
        <v>#REF!</v>
      </c>
      <c r="BV258" s="28" t="e">
        <f>#REF!</f>
        <v>#REF!</v>
      </c>
      <c r="BW258" s="28" t="e">
        <f>#REF!*2</f>
        <v>#REF!</v>
      </c>
      <c r="BX258" s="28" t="e">
        <f>#REF!</f>
        <v>#REF!</v>
      </c>
      <c r="BY258" s="28" t="e">
        <f>#REF!*2</f>
        <v>#REF!</v>
      </c>
      <c r="BZ258" s="28" t="e">
        <f>#REF!</f>
        <v>#REF!</v>
      </c>
      <c r="CA258" s="28" t="e">
        <f>#REF!*2</f>
        <v>#REF!</v>
      </c>
      <c r="CB258" s="9">
        <f t="shared" si="143"/>
        <v>0</v>
      </c>
      <c r="CC258" s="9">
        <f t="shared" si="144"/>
        <v>0</v>
      </c>
      <c r="CD258" s="9">
        <f t="shared" si="145"/>
        <v>0</v>
      </c>
      <c r="CE258" s="9">
        <f t="shared" si="146"/>
        <v>0</v>
      </c>
      <c r="CF258" s="9">
        <f t="shared" si="147"/>
        <v>0</v>
      </c>
      <c r="CG258" s="33"/>
      <c r="CH258" s="3">
        <f t="shared" si="148"/>
        <v>0</v>
      </c>
      <c r="CI258" s="3">
        <f t="shared" si="149"/>
        <v>0</v>
      </c>
      <c r="CJ258" s="3">
        <f t="shared" si="150"/>
        <v>0</v>
      </c>
      <c r="CK258" s="3">
        <f t="shared" si="151"/>
        <v>0</v>
      </c>
      <c r="CL258" s="3">
        <f t="shared" si="152"/>
        <v>0</v>
      </c>
      <c r="CM258" s="32"/>
      <c r="CN258" s="3">
        <f t="shared" si="153"/>
        <v>0</v>
      </c>
      <c r="CO258" s="3">
        <f t="shared" si="154"/>
        <v>0</v>
      </c>
      <c r="CP258" s="3">
        <f t="shared" si="155"/>
        <v>0</v>
      </c>
      <c r="CQ258" s="3">
        <f t="shared" si="156"/>
        <v>0</v>
      </c>
      <c r="CR258" s="3">
        <f t="shared" si="157"/>
        <v>0</v>
      </c>
      <c r="CS258" s="31"/>
      <c r="CT258" s="3" cm="1">
        <f t="array" ref="CT258">SUMPRODUCT(--(MOD(CH258:CL258,2)=1))</f>
        <v>0</v>
      </c>
      <c r="CU258" s="3">
        <f t="shared" si="158"/>
        <v>5</v>
      </c>
      <c r="CV258" s="30"/>
      <c r="CW258" s="3" cm="1">
        <f t="array" ref="CW258">SUMPRODUCT(--(MOD(CH258:CL258,10)&gt;=1), --(MOD(CH258:CL258,10)&lt;=5))</f>
        <v>0</v>
      </c>
      <c r="CX258" s="3">
        <f t="shared" si="159"/>
        <v>5</v>
      </c>
      <c r="CY258" s="30"/>
      <c r="CZ258" s="3" cm="1">
        <f t="array" ref="CZ258">IFERROR(COUNT(_xlfn._xlws.FILTER(CH258:CL258, ISNUMBER(MATCH(CH258:CL258, {2,3,5,7,11,13,17,19,23,29,31,37,41,43}, 0)))), 0)</f>
        <v>0</v>
      </c>
      <c r="DA258" s="3" cm="1">
        <f t="array" ref="DA258">IFERROR(COUNT(_xlfn._xlws.FILTER(CH258:CL258, ISNUMBER(MATCH(CH258:CL258, {1,4,8,10,14,16,20,22,25,26,28,32,34,35,38,40,44}, 0)))), 0)</f>
        <v>0</v>
      </c>
      <c r="DB258" s="3" cm="1">
        <f t="array" ref="DB258">IFERROR(COUNT(_xlfn._xlws.FILTER(CH258:CL258, ISNUMBER(MATCH(CH258:CL258, {6,9,12,15,18,21,24,27,30,33,36,39,42,45}, 0)))), 0)</f>
        <v>0</v>
      </c>
      <c r="DC258" s="29"/>
      <c r="DD258" s="28" t="e">
        <f>#REF!</f>
        <v>#REF!</v>
      </c>
      <c r="DE258" s="28" t="e">
        <f>#REF!*2</f>
        <v>#REF!</v>
      </c>
      <c r="DF258" s="28" t="e">
        <f>#REF!</f>
        <v>#REF!</v>
      </c>
      <c r="DG258" s="28" t="e">
        <f>#REF!*2</f>
        <v>#REF!</v>
      </c>
      <c r="DH258" s="28" t="e">
        <f>#REF!</f>
        <v>#REF!</v>
      </c>
      <c r="DI258" s="28" t="e">
        <f>#REF!*2</f>
        <v>#REF!</v>
      </c>
      <c r="DJ258" s="28" t="e">
        <f>#REF!</f>
        <v>#REF!</v>
      </c>
      <c r="DK258" s="28" t="e">
        <f>#REF!*2</f>
        <v>#REF!</v>
      </c>
      <c r="DL258" s="28" t="e">
        <f>#REF!</f>
        <v>#REF!</v>
      </c>
      <c r="DM258" s="28" t="e">
        <f>#REF!*2</f>
        <v>#REF!</v>
      </c>
      <c r="DN258" s="27"/>
      <c r="DO258" s="26"/>
      <c r="DP258" s="26"/>
      <c r="DQ258" s="26"/>
      <c r="DR258" s="26"/>
      <c r="DS258" s="26"/>
      <c r="DT258" s="25"/>
    </row>
    <row r="259" spans="2:124" x14ac:dyDescent="0.3"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2"/>
      <c r="I259" s="3">
        <f t="shared" si="120"/>
        <v>0</v>
      </c>
      <c r="J259" s="3">
        <f t="shared" si="121"/>
        <v>0</v>
      </c>
      <c r="K259" s="3">
        <f t="shared" si="122"/>
        <v>0</v>
      </c>
      <c r="L259" s="3">
        <f t="shared" si="123"/>
        <v>0</v>
      </c>
      <c r="M259" s="3">
        <f t="shared" si="124"/>
        <v>0</v>
      </c>
      <c r="N259" s="3">
        <f t="shared" si="125"/>
        <v>0</v>
      </c>
      <c r="O259" s="32"/>
      <c r="P259" s="3" cm="1">
        <f t="array" ref="P259">SUMPRODUCT(--(MOD(B259:G259,2)=1))</f>
        <v>0</v>
      </c>
      <c r="Q259" s="3">
        <f t="shared" si="126"/>
        <v>6</v>
      </c>
      <c r="R259" s="34"/>
      <c r="S259" s="3">
        <f t="shared" si="127"/>
        <v>0</v>
      </c>
      <c r="T259" s="3">
        <f t="shared" si="128"/>
        <v>6</v>
      </c>
      <c r="U259" s="34"/>
      <c r="V259" s="3" cm="1">
        <f t="array" ref="V259">SUMPRODUCT(--(MOD(B259:G259,10)&gt;=1), --(MOD(B259:G259,10)&lt;=5))</f>
        <v>0</v>
      </c>
      <c r="W259" s="3">
        <f t="shared" si="129"/>
        <v>6</v>
      </c>
      <c r="X259" s="34"/>
      <c r="Y259" s="3" cm="1">
        <f t="array" ref="Y259">IFERROR(COUNT(_xlfn._xlws.FILTER(B259:G259, ISNUMBER(MATCH(B259:G259, {2,3,5,7,11,13,17,19,23,29,31,37,41,43}, 0)))), 0)</f>
        <v>0</v>
      </c>
      <c r="Z259" s="3" cm="1">
        <f t="array" ref="Z259">IFERROR(COUNT(_xlfn._xlws.FILTER(B259:G259, ISNUMBER(MATCH(B259:G259, {1,4,8,10,14,16,20,22,25,26,28,32,34,35,38,40,44}, 0)))), 0)</f>
        <v>0</v>
      </c>
      <c r="AA259" s="3" cm="1">
        <f t="array" ref="AA259">IFERROR(COUNT(_xlfn._xlws.FILTER(B259:G259, ISNUMBER(MATCH(B259:G259, {6,9,12,15,18,21,24,27,30,33,36,39,42,45}, 0)))), 0)</f>
        <v>0</v>
      </c>
      <c r="AB259" s="30"/>
      <c r="AC259" s="26" cm="1">
        <f t="array" ref="AC259">_xlfn.IFS(
   OR(B259="",ISBLANK(B259),B259=0),0,
   ISNUMBER(MATCH(B259,{2,3,5,7,11,13,17,19,23,29,31,37,41,43},0)),"소",
   AND(ISNUMBER(B259),MOD(B259,3)=0),"배",
   AND(ISNUMBER(B259),B259&gt;0),"자"
)</f>
        <v>0</v>
      </c>
      <c r="AD259" s="26" cm="1">
        <f t="array" ref="AD259">_xlfn.IFS(
   OR(C259="",ISBLANK(C259),C259=0),0,
   ISNUMBER(MATCH(C259,{2,3,5,7,11,13,17,19,23,29,31,37,41,43},0)),"소",
   AND(ISNUMBER(C259),MOD(C259,3)=0),"배",
   AND(ISNUMBER(C259),C259&gt;0),"자"
)</f>
        <v>0</v>
      </c>
      <c r="AE259" s="26" cm="1">
        <f t="array" ref="AE259">_xlfn.IFS(
   OR(D259="",ISBLANK(D259),D259=0),0,
   ISNUMBER(MATCH(D259,{2,3,5,7,11,13,17,19,23,29,31,37,41,43},0)),"소",
   AND(ISNUMBER(D259),MOD(D259,3)=0),"배",
   AND(ISNUMBER(D259),D259&gt;0),"자"
)</f>
        <v>0</v>
      </c>
      <c r="AF259" s="26" cm="1">
        <f t="array" ref="AF259">_xlfn.IFS(
   OR(E259="",ISBLANK(E259),E259=0),0,
   ISNUMBER(MATCH(E259,{2,3,5,7,11,13,17,19,23,29,31,37,41,43},0)),"소",
   AND(ISNUMBER(E259),MOD(E259,3)=0),"배",
   AND(ISNUMBER(E259),E259&gt;0),"자"
)</f>
        <v>0</v>
      </c>
      <c r="AG259" s="26" cm="1">
        <f t="array" ref="AG259">_xlfn.IFS(
   OR(F259="",ISBLANK(F259),F259=0),0,
   ISNUMBER(MATCH(F259,{2,3,5,7,11,13,17,19,23,29,31,37,41,43},0)),"소",
   AND(ISNUMBER(F259),MOD(F259,3)=0),"배",
   AND(ISNUMBER(F259),F259&gt;0),"자"
)</f>
        <v>0</v>
      </c>
      <c r="AH259" s="26" cm="1">
        <f t="array" ref="AH259">_xlfn.IFS(
   OR(G259="",ISBLANK(G259),G259=0),0,
   ISNUMBER(MATCH(G259,{2,3,5,7,11,13,17,19,23,29,31,37,41,43},0)),"소",
   AND(ISNUMBER(G259),MOD(G259,3)=0),"배",
   AND(ISNUMBER(G259),G259&gt;0),"자"
)</f>
        <v>0</v>
      </c>
      <c r="AI259" s="30"/>
      <c r="AJ259" s="3">
        <f t="shared" si="130"/>
        <v>0</v>
      </c>
      <c r="AK259" s="3">
        <f t="shared" si="131"/>
        <v>0</v>
      </c>
      <c r="AL259" s="3">
        <f t="shared" si="132"/>
        <v>6</v>
      </c>
      <c r="AM259" s="33"/>
      <c r="AN259" s="3">
        <f t="shared" si="133"/>
        <v>0</v>
      </c>
      <c r="AO259" s="3">
        <f t="shared" si="134"/>
        <v>0</v>
      </c>
      <c r="AP259" s="3">
        <f t="shared" si="135"/>
        <v>0</v>
      </c>
      <c r="AQ259" s="3">
        <f t="shared" si="136"/>
        <v>0</v>
      </c>
      <c r="AR259" s="3">
        <f t="shared" si="137"/>
        <v>0</v>
      </c>
      <c r="AS259" s="28" t="e">
        <f>#REF!</f>
        <v>#REF!</v>
      </c>
      <c r="AT259" s="28" t="e">
        <f>#REF!*2</f>
        <v>#REF!</v>
      </c>
      <c r="AU259" s="28" t="e">
        <f>#REF!</f>
        <v>#REF!</v>
      </c>
      <c r="AV259" s="28" t="e">
        <f>#REF!*2</f>
        <v>#REF!</v>
      </c>
      <c r="AW259" s="28" t="e">
        <f>#REF!</f>
        <v>#REF!</v>
      </c>
      <c r="AX259" s="28" t="e">
        <f>#REF!*2</f>
        <v>#REF!</v>
      </c>
      <c r="AY259" s="28" t="e">
        <f>#REF!</f>
        <v>#REF!</v>
      </c>
      <c r="AZ259" s="28" t="e">
        <f>#REF!*2</f>
        <v>#REF!</v>
      </c>
      <c r="BA259" s="28" t="e">
        <f>#REF!</f>
        <v>#REF!</v>
      </c>
      <c r="BB259" s="28" t="e">
        <f>#REF!*2</f>
        <v>#REF!</v>
      </c>
      <c r="BC259" s="28" t="e">
        <f>#REF!</f>
        <v>#REF!</v>
      </c>
      <c r="BD259" s="28" t="e">
        <f>#REF!*2</f>
        <v>#REF!</v>
      </c>
      <c r="BE259" s="9" t="e">
        <f>#REF!-#REF!</f>
        <v>#REF!</v>
      </c>
      <c r="BF259" s="9" t="e">
        <f>#REF!-#REF!</f>
        <v>#REF!</v>
      </c>
      <c r="BG259" s="9" t="e">
        <f>#REF!-#REF!</f>
        <v>#REF!</v>
      </c>
      <c r="BH259" s="9" t="e">
        <f>#REF!-#REF!</f>
        <v>#REF!</v>
      </c>
      <c r="BI259" s="9" t="e">
        <f>#REF!-#REF!</f>
        <v>#REF!</v>
      </c>
      <c r="BJ259" s="33"/>
      <c r="BK259" s="3">
        <f t="shared" si="138"/>
        <v>0</v>
      </c>
      <c r="BL259" s="3">
        <f t="shared" si="139"/>
        <v>0</v>
      </c>
      <c r="BM259" s="3">
        <f t="shared" si="140"/>
        <v>0</v>
      </c>
      <c r="BN259" s="3">
        <f t="shared" si="141"/>
        <v>0</v>
      </c>
      <c r="BO259" s="3">
        <f t="shared" si="142"/>
        <v>0</v>
      </c>
      <c r="BP259" s="28" t="e">
        <f>#REF!</f>
        <v>#REF!</v>
      </c>
      <c r="BQ259" s="28" t="e">
        <f>#REF!*2</f>
        <v>#REF!</v>
      </c>
      <c r="BR259" s="28" t="e">
        <f>#REF!</f>
        <v>#REF!</v>
      </c>
      <c r="BS259" s="28" t="e">
        <f>#REF!*2</f>
        <v>#REF!</v>
      </c>
      <c r="BT259" s="28" t="e">
        <f>#REF!</f>
        <v>#REF!</v>
      </c>
      <c r="BU259" s="28" t="e">
        <f>#REF!*2</f>
        <v>#REF!</v>
      </c>
      <c r="BV259" s="28" t="e">
        <f>#REF!</f>
        <v>#REF!</v>
      </c>
      <c r="BW259" s="28" t="e">
        <f>#REF!*2</f>
        <v>#REF!</v>
      </c>
      <c r="BX259" s="28" t="e">
        <f>#REF!</f>
        <v>#REF!</v>
      </c>
      <c r="BY259" s="28" t="e">
        <f>#REF!*2</f>
        <v>#REF!</v>
      </c>
      <c r="BZ259" s="28" t="e">
        <f>#REF!</f>
        <v>#REF!</v>
      </c>
      <c r="CA259" s="28" t="e">
        <f>#REF!*2</f>
        <v>#REF!</v>
      </c>
      <c r="CB259" s="9">
        <f t="shared" si="143"/>
        <v>0</v>
      </c>
      <c r="CC259" s="9">
        <f t="shared" si="144"/>
        <v>0</v>
      </c>
      <c r="CD259" s="9">
        <f t="shared" si="145"/>
        <v>0</v>
      </c>
      <c r="CE259" s="9">
        <f t="shared" si="146"/>
        <v>0</v>
      </c>
      <c r="CF259" s="9">
        <f t="shared" si="147"/>
        <v>0</v>
      </c>
      <c r="CG259" s="33"/>
      <c r="CH259" s="3">
        <f t="shared" si="148"/>
        <v>0</v>
      </c>
      <c r="CI259" s="3">
        <f t="shared" si="149"/>
        <v>0</v>
      </c>
      <c r="CJ259" s="3">
        <f t="shared" si="150"/>
        <v>0</v>
      </c>
      <c r="CK259" s="3">
        <f t="shared" si="151"/>
        <v>0</v>
      </c>
      <c r="CL259" s="3">
        <f t="shared" si="152"/>
        <v>0</v>
      </c>
      <c r="CM259" s="32"/>
      <c r="CN259" s="3">
        <f t="shared" si="153"/>
        <v>0</v>
      </c>
      <c r="CO259" s="3">
        <f t="shared" si="154"/>
        <v>0</v>
      </c>
      <c r="CP259" s="3">
        <f t="shared" si="155"/>
        <v>0</v>
      </c>
      <c r="CQ259" s="3">
        <f t="shared" si="156"/>
        <v>0</v>
      </c>
      <c r="CR259" s="3">
        <f t="shared" si="157"/>
        <v>0</v>
      </c>
      <c r="CS259" s="31"/>
      <c r="CT259" s="3" cm="1">
        <f t="array" ref="CT259">SUMPRODUCT(--(MOD(CH259:CL259,2)=1))</f>
        <v>0</v>
      </c>
      <c r="CU259" s="3">
        <f t="shared" si="158"/>
        <v>5</v>
      </c>
      <c r="CV259" s="30"/>
      <c r="CW259" s="3" cm="1">
        <f t="array" ref="CW259">SUMPRODUCT(--(MOD(CH259:CL259,10)&gt;=1), --(MOD(CH259:CL259,10)&lt;=5))</f>
        <v>0</v>
      </c>
      <c r="CX259" s="3">
        <f t="shared" si="159"/>
        <v>5</v>
      </c>
      <c r="CY259" s="30"/>
      <c r="CZ259" s="3" cm="1">
        <f t="array" ref="CZ259">IFERROR(COUNT(_xlfn._xlws.FILTER(CH259:CL259, ISNUMBER(MATCH(CH259:CL259, {2,3,5,7,11,13,17,19,23,29,31,37,41,43}, 0)))), 0)</f>
        <v>0</v>
      </c>
      <c r="DA259" s="3" cm="1">
        <f t="array" ref="DA259">IFERROR(COUNT(_xlfn._xlws.FILTER(CH259:CL259, ISNUMBER(MATCH(CH259:CL259, {1,4,8,10,14,16,20,22,25,26,28,32,34,35,38,40,44}, 0)))), 0)</f>
        <v>0</v>
      </c>
      <c r="DB259" s="3" cm="1">
        <f t="array" ref="DB259">IFERROR(COUNT(_xlfn._xlws.FILTER(CH259:CL259, ISNUMBER(MATCH(CH259:CL259, {6,9,12,15,18,21,24,27,30,33,36,39,42,45}, 0)))), 0)</f>
        <v>0</v>
      </c>
      <c r="DC259" s="29"/>
      <c r="DD259" s="28" t="e">
        <f>#REF!</f>
        <v>#REF!</v>
      </c>
      <c r="DE259" s="28" t="e">
        <f>#REF!*2</f>
        <v>#REF!</v>
      </c>
      <c r="DF259" s="28" t="e">
        <f>#REF!</f>
        <v>#REF!</v>
      </c>
      <c r="DG259" s="28" t="e">
        <f>#REF!*2</f>
        <v>#REF!</v>
      </c>
      <c r="DH259" s="28" t="e">
        <f>#REF!</f>
        <v>#REF!</v>
      </c>
      <c r="DI259" s="28" t="e">
        <f>#REF!*2</f>
        <v>#REF!</v>
      </c>
      <c r="DJ259" s="28" t="e">
        <f>#REF!</f>
        <v>#REF!</v>
      </c>
      <c r="DK259" s="28" t="e">
        <f>#REF!*2</f>
        <v>#REF!</v>
      </c>
      <c r="DL259" s="28" t="e">
        <f>#REF!</f>
        <v>#REF!</v>
      </c>
      <c r="DM259" s="28" t="e">
        <f>#REF!*2</f>
        <v>#REF!</v>
      </c>
      <c r="DN259" s="27"/>
      <c r="DO259" s="26"/>
      <c r="DP259" s="26"/>
      <c r="DQ259" s="26"/>
      <c r="DR259" s="26"/>
      <c r="DS259" s="26"/>
      <c r="DT259" s="25"/>
    </row>
    <row r="260" spans="2:124" x14ac:dyDescent="0.3"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2"/>
      <c r="I260" s="3">
        <f t="shared" ref="I260:I303" si="160">IF(OR(B260="",ISBLANK(B260),B260=0),0,IF(MOD(B260,2)=1,1,2))</f>
        <v>0</v>
      </c>
      <c r="J260" s="3">
        <f t="shared" ref="J260:J303" si="161">IF(OR(C260="",ISBLANK(C260),C260=0),0,IF(MOD(C260,2)=1,1,2))</f>
        <v>0</v>
      </c>
      <c r="K260" s="3">
        <f t="shared" ref="K260:K303" si="162">IF(OR(D260="",ISBLANK(D260),D260=0),0,IF(MOD(D260,2)=1,1,2))</f>
        <v>0</v>
      </c>
      <c r="L260" s="3">
        <f t="shared" ref="L260:L303" si="163">IF(OR(E260="",ISBLANK(E260),E260=0),0,IF(MOD(E260,2)=1,1,2))</f>
        <v>0</v>
      </c>
      <c r="M260" s="3">
        <f t="shared" ref="M260:M303" si="164">IF(OR(F260="",ISBLANK(F260),F260=0),0,IF(MOD(F260,2)=1,1,2))</f>
        <v>0</v>
      </c>
      <c r="N260" s="3">
        <f t="shared" ref="N260:N303" si="165">IF(OR(G260="",ISBLANK(G260),G260=0),0,IF(MOD(G260,2)=1,1,2))</f>
        <v>0</v>
      </c>
      <c r="O260" s="32"/>
      <c r="P260" s="3" cm="1">
        <f t="array" ref="P260">SUMPRODUCT(--(MOD(B260:G260,2)=1))</f>
        <v>0</v>
      </c>
      <c r="Q260" s="3">
        <f t="shared" ref="Q260:Q303" si="166">6-P260</f>
        <v>6</v>
      </c>
      <c r="R260" s="34"/>
      <c r="S260" s="3">
        <f t="shared" ref="S260:S303" si="167">COUNTIFS(B260:G260,"&gt;=1",B260:G260,"&lt;=23")</f>
        <v>0</v>
      </c>
      <c r="T260" s="3">
        <f t="shared" ref="T260:T303" si="168">6-S260</f>
        <v>6</v>
      </c>
      <c r="U260" s="34"/>
      <c r="V260" s="3" cm="1">
        <f t="array" ref="V260">SUMPRODUCT(--(MOD(B260:G260,10)&gt;=1), --(MOD(B260:G260,10)&lt;=5))</f>
        <v>0</v>
      </c>
      <c r="W260" s="3">
        <f t="shared" ref="W260:W303" si="169">6-V260</f>
        <v>6</v>
      </c>
      <c r="X260" s="34"/>
      <c r="Y260" s="3" cm="1">
        <f t="array" ref="Y260">IFERROR(COUNT(_xlfn._xlws.FILTER(B260:G260, ISNUMBER(MATCH(B260:G260, {2,3,5,7,11,13,17,19,23,29,31,37,41,43}, 0)))), 0)</f>
        <v>0</v>
      </c>
      <c r="Z260" s="3" cm="1">
        <f t="array" ref="Z260">IFERROR(COUNT(_xlfn._xlws.FILTER(B260:G260, ISNUMBER(MATCH(B260:G260, {1,4,8,10,14,16,20,22,25,26,28,32,34,35,38,40,44}, 0)))), 0)</f>
        <v>0</v>
      </c>
      <c r="AA260" s="3" cm="1">
        <f t="array" ref="AA260">IFERROR(COUNT(_xlfn._xlws.FILTER(B260:G260, ISNUMBER(MATCH(B260:G260, {6,9,12,15,18,21,24,27,30,33,36,39,42,45}, 0)))), 0)</f>
        <v>0</v>
      </c>
      <c r="AB260" s="30"/>
      <c r="AC260" s="26" cm="1">
        <f t="array" ref="AC260">_xlfn.IFS(
   OR(B260="",ISBLANK(B260),B260=0),0,
   ISNUMBER(MATCH(B260,{2,3,5,7,11,13,17,19,23,29,31,37,41,43},0)),"소",
   AND(ISNUMBER(B260),MOD(B260,3)=0),"배",
   AND(ISNUMBER(B260),B260&gt;0),"자"
)</f>
        <v>0</v>
      </c>
      <c r="AD260" s="26" cm="1">
        <f t="array" ref="AD260">_xlfn.IFS(
   OR(C260="",ISBLANK(C260),C260=0),0,
   ISNUMBER(MATCH(C260,{2,3,5,7,11,13,17,19,23,29,31,37,41,43},0)),"소",
   AND(ISNUMBER(C260),MOD(C260,3)=0),"배",
   AND(ISNUMBER(C260),C260&gt;0),"자"
)</f>
        <v>0</v>
      </c>
      <c r="AE260" s="26" cm="1">
        <f t="array" ref="AE260">_xlfn.IFS(
   OR(D260="",ISBLANK(D260),D260=0),0,
   ISNUMBER(MATCH(D260,{2,3,5,7,11,13,17,19,23,29,31,37,41,43},0)),"소",
   AND(ISNUMBER(D260),MOD(D260,3)=0),"배",
   AND(ISNUMBER(D260),D260&gt;0),"자"
)</f>
        <v>0</v>
      </c>
      <c r="AF260" s="26" cm="1">
        <f t="array" ref="AF260">_xlfn.IFS(
   OR(E260="",ISBLANK(E260),E260=0),0,
   ISNUMBER(MATCH(E260,{2,3,5,7,11,13,17,19,23,29,31,37,41,43},0)),"소",
   AND(ISNUMBER(E260),MOD(E260,3)=0),"배",
   AND(ISNUMBER(E260),E260&gt;0),"자"
)</f>
        <v>0</v>
      </c>
      <c r="AG260" s="26" cm="1">
        <f t="array" ref="AG260">_xlfn.IFS(
   OR(F260="",ISBLANK(F260),F260=0),0,
   ISNUMBER(MATCH(F260,{2,3,5,7,11,13,17,19,23,29,31,37,41,43},0)),"소",
   AND(ISNUMBER(F260),MOD(F260,3)=0),"배",
   AND(ISNUMBER(F260),F260&gt;0),"자"
)</f>
        <v>0</v>
      </c>
      <c r="AH260" s="26" cm="1">
        <f t="array" ref="AH260">_xlfn.IFS(
   OR(G260="",ISBLANK(G260),G260=0),0,
   ISNUMBER(MATCH(G260,{2,3,5,7,11,13,17,19,23,29,31,37,41,43},0)),"소",
   AND(ISNUMBER(G260),MOD(G260,3)=0),"배",
   AND(ISNUMBER(G260),G260&gt;0),"자"
)</f>
        <v>0</v>
      </c>
      <c r="AI260" s="30"/>
      <c r="AJ260" s="3">
        <f t="shared" ref="AJ260:AJ303" si="170">COUNTIFS(B260:G260,"&gt;=1",B260:G260,"&lt;=14")</f>
        <v>0</v>
      </c>
      <c r="AK260" s="3">
        <f t="shared" ref="AK260:AK303" si="171">COUNTIFS(B260:G260,"&gt;=15",B260:G260,"&lt;=31")</f>
        <v>0</v>
      </c>
      <c r="AL260" s="3">
        <f t="shared" ref="AL260:AL303" si="172">6-AK260-AJ260</f>
        <v>6</v>
      </c>
      <c r="AM260" s="33"/>
      <c r="AN260" s="3">
        <f t="shared" ref="AN260:AN303" si="173">COUNTIFS($B260:$G260, "&gt;=1",$B260:$G260, "&lt;=9")</f>
        <v>0</v>
      </c>
      <c r="AO260" s="3">
        <f t="shared" ref="AO260:AO303" si="174">COUNTIFS($B260:$G260, "&gt;=10",$B260:$G260, "&lt;=18")</f>
        <v>0</v>
      </c>
      <c r="AP260" s="3">
        <f t="shared" ref="AP260:AP303" si="175">COUNTIFS($B260:$G260, "&gt;=19",$B260:$G260, "&lt;=27")</f>
        <v>0</v>
      </c>
      <c r="AQ260" s="3">
        <f t="shared" ref="AQ260:AQ303" si="176">COUNTIFS($B260:$G260, "&gt;=28",$B260:$G260, "&lt;=36")</f>
        <v>0</v>
      </c>
      <c r="AR260" s="3">
        <f t="shared" ref="AR260:AR303" si="177">COUNTIFS($B260:$G260, "&gt;=37",$B260:$G260, "&lt;=45")</f>
        <v>0</v>
      </c>
      <c r="AS260" s="28" t="e">
        <f>#REF!</f>
        <v>#REF!</v>
      </c>
      <c r="AT260" s="28" t="e">
        <f>#REF!*2</f>
        <v>#REF!</v>
      </c>
      <c r="AU260" s="28" t="e">
        <f>#REF!</f>
        <v>#REF!</v>
      </c>
      <c r="AV260" s="28" t="e">
        <f>#REF!*2</f>
        <v>#REF!</v>
      </c>
      <c r="AW260" s="28" t="e">
        <f>#REF!</f>
        <v>#REF!</v>
      </c>
      <c r="AX260" s="28" t="e">
        <f>#REF!*2</f>
        <v>#REF!</v>
      </c>
      <c r="AY260" s="28" t="e">
        <f>#REF!</f>
        <v>#REF!</v>
      </c>
      <c r="AZ260" s="28" t="e">
        <f>#REF!*2</f>
        <v>#REF!</v>
      </c>
      <c r="BA260" s="28" t="e">
        <f>#REF!</f>
        <v>#REF!</v>
      </c>
      <c r="BB260" s="28" t="e">
        <f>#REF!*2</f>
        <v>#REF!</v>
      </c>
      <c r="BC260" s="28" t="e">
        <f>#REF!</f>
        <v>#REF!</v>
      </c>
      <c r="BD260" s="28" t="e">
        <f>#REF!*2</f>
        <v>#REF!</v>
      </c>
      <c r="BE260" s="9" t="e">
        <f>#REF!-#REF!</f>
        <v>#REF!</v>
      </c>
      <c r="BF260" s="9" t="e">
        <f>#REF!-#REF!</f>
        <v>#REF!</v>
      </c>
      <c r="BG260" s="9" t="e">
        <f>#REF!-#REF!</f>
        <v>#REF!</v>
      </c>
      <c r="BH260" s="9" t="e">
        <f>#REF!-#REF!</f>
        <v>#REF!</v>
      </c>
      <c r="BI260" s="9" t="e">
        <f>#REF!-#REF!</f>
        <v>#REF!</v>
      </c>
      <c r="BJ260" s="33"/>
      <c r="BK260" s="3">
        <f t="shared" ref="BK260:BK303" si="178">COUNTIFS(B260:G260, "&gt;=1", B260:G260, "&lt;=9")</f>
        <v>0</v>
      </c>
      <c r="BL260" s="3">
        <f t="shared" ref="BL260:BL303" si="179">COUNTIFS(B260:G260, "&gt;=10", B260:G260, "&lt;=19")</f>
        <v>0</v>
      </c>
      <c r="BM260" s="3">
        <f t="shared" ref="BM260:BM303" si="180">COUNTIFS(B260:G260, "&gt;=20", B260:G260, "&lt;=29")</f>
        <v>0</v>
      </c>
      <c r="BN260" s="3">
        <f t="shared" ref="BN260:BN303" si="181">COUNTIFS(B260:G260, "&gt;=30", B260:G260, "&lt;=39")</f>
        <v>0</v>
      </c>
      <c r="BO260" s="3">
        <f t="shared" ref="BO260:BO303" si="182">COUNTIFS(B260:G260, "&gt;=40", B260:G260, "&lt;=45")</f>
        <v>0</v>
      </c>
      <c r="BP260" s="28" t="e">
        <f>#REF!</f>
        <v>#REF!</v>
      </c>
      <c r="BQ260" s="28" t="e">
        <f>#REF!*2</f>
        <v>#REF!</v>
      </c>
      <c r="BR260" s="28" t="e">
        <f>#REF!</f>
        <v>#REF!</v>
      </c>
      <c r="BS260" s="28" t="e">
        <f>#REF!*2</f>
        <v>#REF!</v>
      </c>
      <c r="BT260" s="28" t="e">
        <f>#REF!</f>
        <v>#REF!</v>
      </c>
      <c r="BU260" s="28" t="e">
        <f>#REF!*2</f>
        <v>#REF!</v>
      </c>
      <c r="BV260" s="28" t="e">
        <f>#REF!</f>
        <v>#REF!</v>
      </c>
      <c r="BW260" s="28" t="e">
        <f>#REF!*2</f>
        <v>#REF!</v>
      </c>
      <c r="BX260" s="28" t="e">
        <f>#REF!</f>
        <v>#REF!</v>
      </c>
      <c r="BY260" s="28" t="e">
        <f>#REF!*2</f>
        <v>#REF!</v>
      </c>
      <c r="BZ260" s="28" t="e">
        <f>#REF!</f>
        <v>#REF!</v>
      </c>
      <c r="CA260" s="28" t="e">
        <f>#REF!*2</f>
        <v>#REF!</v>
      </c>
      <c r="CB260" s="9">
        <f t="shared" ref="CB260:CB303" si="183">C260-B260</f>
        <v>0</v>
      </c>
      <c r="CC260" s="9">
        <f t="shared" ref="CC260:CC303" si="184">D260-C260</f>
        <v>0</v>
      </c>
      <c r="CD260" s="9">
        <f t="shared" ref="CD260:CD303" si="185">E260-D260</f>
        <v>0</v>
      </c>
      <c r="CE260" s="9">
        <f t="shared" ref="CE260:CE303" si="186">F260-E260</f>
        <v>0</v>
      </c>
      <c r="CF260" s="9">
        <f t="shared" ref="CF260:CF303" si="187">G260-F260</f>
        <v>0</v>
      </c>
      <c r="CG260" s="33"/>
      <c r="CH260" s="3">
        <f t="shared" ref="CH260:CH303" si="188">C260-B260</f>
        <v>0</v>
      </c>
      <c r="CI260" s="3">
        <f t="shared" ref="CI260:CI303" si="189">D260-C260</f>
        <v>0</v>
      </c>
      <c r="CJ260" s="3">
        <f t="shared" ref="CJ260:CJ303" si="190">E260-D260</f>
        <v>0</v>
      </c>
      <c r="CK260" s="3">
        <f t="shared" ref="CK260:CK303" si="191">F260-E260</f>
        <v>0</v>
      </c>
      <c r="CL260" s="3">
        <f t="shared" ref="CL260:CL303" si="192">G260-F260</f>
        <v>0</v>
      </c>
      <c r="CM260" s="32"/>
      <c r="CN260" s="3">
        <f t="shared" ref="CN260:CN303" si="193">IF(OR(CH260="",ISBLANK(CH260),CH260=0),0,IF(MOD(CH260,2)=1,1,2))</f>
        <v>0</v>
      </c>
      <c r="CO260" s="3">
        <f t="shared" ref="CO260:CO303" si="194">IF(OR(CI260="",ISBLANK(CI260),CI260=0),0,IF(MOD(CI260,2)=1,1,2))</f>
        <v>0</v>
      </c>
      <c r="CP260" s="3">
        <f t="shared" ref="CP260:CP303" si="195">IF(OR(CJ260="",ISBLANK(CJ260),CJ260=0),0,IF(MOD(CJ260,2)=1,1,2))</f>
        <v>0</v>
      </c>
      <c r="CQ260" s="3">
        <f t="shared" ref="CQ260:CQ303" si="196">IF(OR(CK260="",ISBLANK(CK260),CK260=0),0,IF(MOD(CK260,2)=1,1,2))</f>
        <v>0</v>
      </c>
      <c r="CR260" s="3">
        <f t="shared" ref="CR260:CR303" si="197">IF(OR(CL260="",ISBLANK(CL260),CL260=0),0,IF(MOD(CL260,2)=1,1,2))</f>
        <v>0</v>
      </c>
      <c r="CS260" s="31"/>
      <c r="CT260" s="3" cm="1">
        <f t="array" ref="CT260">SUMPRODUCT(--(MOD(CH260:CL260,2)=1))</f>
        <v>0</v>
      </c>
      <c r="CU260" s="3">
        <f t="shared" ref="CU260:CU303" si="198">5-CT260</f>
        <v>5</v>
      </c>
      <c r="CV260" s="30"/>
      <c r="CW260" s="3" cm="1">
        <f t="array" ref="CW260">SUMPRODUCT(--(MOD(CH260:CL260,10)&gt;=1), --(MOD(CH260:CL260,10)&lt;=5))</f>
        <v>0</v>
      </c>
      <c r="CX260" s="3">
        <f t="shared" ref="CX260:CX303" si="199">5-CW260</f>
        <v>5</v>
      </c>
      <c r="CY260" s="30"/>
      <c r="CZ260" s="3" cm="1">
        <f t="array" ref="CZ260">IFERROR(COUNT(_xlfn._xlws.FILTER(CH260:CL260, ISNUMBER(MATCH(CH260:CL260, {2,3,5,7,11,13,17,19,23,29,31,37,41,43}, 0)))), 0)</f>
        <v>0</v>
      </c>
      <c r="DA260" s="3" cm="1">
        <f t="array" ref="DA260">IFERROR(COUNT(_xlfn._xlws.FILTER(CH260:CL260, ISNUMBER(MATCH(CH260:CL260, {1,4,8,10,14,16,20,22,25,26,28,32,34,35,38,40,44}, 0)))), 0)</f>
        <v>0</v>
      </c>
      <c r="DB260" s="3" cm="1">
        <f t="array" ref="DB260">IFERROR(COUNT(_xlfn._xlws.FILTER(CH260:CL260, ISNUMBER(MATCH(CH260:CL260, {6,9,12,15,18,21,24,27,30,33,36,39,42,45}, 0)))), 0)</f>
        <v>0</v>
      </c>
      <c r="DC260" s="29"/>
      <c r="DD260" s="28" t="e">
        <f>#REF!</f>
        <v>#REF!</v>
      </c>
      <c r="DE260" s="28" t="e">
        <f>#REF!*2</f>
        <v>#REF!</v>
      </c>
      <c r="DF260" s="28" t="e">
        <f>#REF!</f>
        <v>#REF!</v>
      </c>
      <c r="DG260" s="28" t="e">
        <f>#REF!*2</f>
        <v>#REF!</v>
      </c>
      <c r="DH260" s="28" t="e">
        <f>#REF!</f>
        <v>#REF!</v>
      </c>
      <c r="DI260" s="28" t="e">
        <f>#REF!*2</f>
        <v>#REF!</v>
      </c>
      <c r="DJ260" s="28" t="e">
        <f>#REF!</f>
        <v>#REF!</v>
      </c>
      <c r="DK260" s="28" t="e">
        <f>#REF!*2</f>
        <v>#REF!</v>
      </c>
      <c r="DL260" s="28" t="e">
        <f>#REF!</f>
        <v>#REF!</v>
      </c>
      <c r="DM260" s="28" t="e">
        <f>#REF!*2</f>
        <v>#REF!</v>
      </c>
      <c r="DN260" s="27"/>
      <c r="DO260" s="26"/>
      <c r="DP260" s="26"/>
      <c r="DQ260" s="26"/>
      <c r="DR260" s="26"/>
      <c r="DS260" s="26"/>
      <c r="DT260" s="25"/>
    </row>
    <row r="261" spans="2:124" x14ac:dyDescent="0.3"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2"/>
      <c r="I261" s="3">
        <f t="shared" si="160"/>
        <v>0</v>
      </c>
      <c r="J261" s="3">
        <f t="shared" si="161"/>
        <v>0</v>
      </c>
      <c r="K261" s="3">
        <f t="shared" si="162"/>
        <v>0</v>
      </c>
      <c r="L261" s="3">
        <f t="shared" si="163"/>
        <v>0</v>
      </c>
      <c r="M261" s="3">
        <f t="shared" si="164"/>
        <v>0</v>
      </c>
      <c r="N261" s="3">
        <f t="shared" si="165"/>
        <v>0</v>
      </c>
      <c r="O261" s="32"/>
      <c r="P261" s="3" cm="1">
        <f t="array" ref="P261">SUMPRODUCT(--(MOD(B261:G261,2)=1))</f>
        <v>0</v>
      </c>
      <c r="Q261" s="3">
        <f t="shared" si="166"/>
        <v>6</v>
      </c>
      <c r="R261" s="34"/>
      <c r="S261" s="3">
        <f t="shared" si="167"/>
        <v>0</v>
      </c>
      <c r="T261" s="3">
        <f t="shared" si="168"/>
        <v>6</v>
      </c>
      <c r="U261" s="34"/>
      <c r="V261" s="3" cm="1">
        <f t="array" ref="V261">SUMPRODUCT(--(MOD(B261:G261,10)&gt;=1), --(MOD(B261:G261,10)&lt;=5))</f>
        <v>0</v>
      </c>
      <c r="W261" s="3">
        <f t="shared" si="169"/>
        <v>6</v>
      </c>
      <c r="X261" s="34"/>
      <c r="Y261" s="3" cm="1">
        <f t="array" ref="Y261">IFERROR(COUNT(_xlfn._xlws.FILTER(B261:G261, ISNUMBER(MATCH(B261:G261, {2,3,5,7,11,13,17,19,23,29,31,37,41,43}, 0)))), 0)</f>
        <v>0</v>
      </c>
      <c r="Z261" s="3" cm="1">
        <f t="array" ref="Z261">IFERROR(COUNT(_xlfn._xlws.FILTER(B261:G261, ISNUMBER(MATCH(B261:G261, {1,4,8,10,14,16,20,22,25,26,28,32,34,35,38,40,44}, 0)))), 0)</f>
        <v>0</v>
      </c>
      <c r="AA261" s="3" cm="1">
        <f t="array" ref="AA261">IFERROR(COUNT(_xlfn._xlws.FILTER(B261:G261, ISNUMBER(MATCH(B261:G261, {6,9,12,15,18,21,24,27,30,33,36,39,42,45}, 0)))), 0)</f>
        <v>0</v>
      </c>
      <c r="AB261" s="30"/>
      <c r="AC261" s="26" cm="1">
        <f t="array" ref="AC261">_xlfn.IFS(
   OR(B261="",ISBLANK(B261),B261=0),0,
   ISNUMBER(MATCH(B261,{2,3,5,7,11,13,17,19,23,29,31,37,41,43},0)),"소",
   AND(ISNUMBER(B261),MOD(B261,3)=0),"배",
   AND(ISNUMBER(B261),B261&gt;0),"자"
)</f>
        <v>0</v>
      </c>
      <c r="AD261" s="26" cm="1">
        <f t="array" ref="AD261">_xlfn.IFS(
   OR(C261="",ISBLANK(C261),C261=0),0,
   ISNUMBER(MATCH(C261,{2,3,5,7,11,13,17,19,23,29,31,37,41,43},0)),"소",
   AND(ISNUMBER(C261),MOD(C261,3)=0),"배",
   AND(ISNUMBER(C261),C261&gt;0),"자"
)</f>
        <v>0</v>
      </c>
      <c r="AE261" s="26" cm="1">
        <f t="array" ref="AE261">_xlfn.IFS(
   OR(D261="",ISBLANK(D261),D261=0),0,
   ISNUMBER(MATCH(D261,{2,3,5,7,11,13,17,19,23,29,31,37,41,43},0)),"소",
   AND(ISNUMBER(D261),MOD(D261,3)=0),"배",
   AND(ISNUMBER(D261),D261&gt;0),"자"
)</f>
        <v>0</v>
      </c>
      <c r="AF261" s="26" cm="1">
        <f t="array" ref="AF261">_xlfn.IFS(
   OR(E261="",ISBLANK(E261),E261=0),0,
   ISNUMBER(MATCH(E261,{2,3,5,7,11,13,17,19,23,29,31,37,41,43},0)),"소",
   AND(ISNUMBER(E261),MOD(E261,3)=0),"배",
   AND(ISNUMBER(E261),E261&gt;0),"자"
)</f>
        <v>0</v>
      </c>
      <c r="AG261" s="26" cm="1">
        <f t="array" ref="AG261">_xlfn.IFS(
   OR(F261="",ISBLANK(F261),F261=0),0,
   ISNUMBER(MATCH(F261,{2,3,5,7,11,13,17,19,23,29,31,37,41,43},0)),"소",
   AND(ISNUMBER(F261),MOD(F261,3)=0),"배",
   AND(ISNUMBER(F261),F261&gt;0),"자"
)</f>
        <v>0</v>
      </c>
      <c r="AH261" s="26" cm="1">
        <f t="array" ref="AH261">_xlfn.IFS(
   OR(G261="",ISBLANK(G261),G261=0),0,
   ISNUMBER(MATCH(G261,{2,3,5,7,11,13,17,19,23,29,31,37,41,43},0)),"소",
   AND(ISNUMBER(G261),MOD(G261,3)=0),"배",
   AND(ISNUMBER(G261),G261&gt;0),"자"
)</f>
        <v>0</v>
      </c>
      <c r="AI261" s="30"/>
      <c r="AJ261" s="3">
        <f t="shared" si="170"/>
        <v>0</v>
      </c>
      <c r="AK261" s="3">
        <f t="shared" si="171"/>
        <v>0</v>
      </c>
      <c r="AL261" s="3">
        <f t="shared" si="172"/>
        <v>6</v>
      </c>
      <c r="AM261" s="33"/>
      <c r="AN261" s="3">
        <f t="shared" si="173"/>
        <v>0</v>
      </c>
      <c r="AO261" s="3">
        <f t="shared" si="174"/>
        <v>0</v>
      </c>
      <c r="AP261" s="3">
        <f t="shared" si="175"/>
        <v>0</v>
      </c>
      <c r="AQ261" s="3">
        <f t="shared" si="176"/>
        <v>0</v>
      </c>
      <c r="AR261" s="3">
        <f t="shared" si="177"/>
        <v>0</v>
      </c>
      <c r="AS261" s="28" t="e">
        <f>#REF!</f>
        <v>#REF!</v>
      </c>
      <c r="AT261" s="28" t="e">
        <f>#REF!*2</f>
        <v>#REF!</v>
      </c>
      <c r="AU261" s="28" t="e">
        <f>#REF!</f>
        <v>#REF!</v>
      </c>
      <c r="AV261" s="28" t="e">
        <f>#REF!*2</f>
        <v>#REF!</v>
      </c>
      <c r="AW261" s="28" t="e">
        <f>#REF!</f>
        <v>#REF!</v>
      </c>
      <c r="AX261" s="28" t="e">
        <f>#REF!*2</f>
        <v>#REF!</v>
      </c>
      <c r="AY261" s="28" t="e">
        <f>#REF!</f>
        <v>#REF!</v>
      </c>
      <c r="AZ261" s="28" t="e">
        <f>#REF!*2</f>
        <v>#REF!</v>
      </c>
      <c r="BA261" s="28" t="e">
        <f>#REF!</f>
        <v>#REF!</v>
      </c>
      <c r="BB261" s="28" t="e">
        <f>#REF!*2</f>
        <v>#REF!</v>
      </c>
      <c r="BC261" s="28" t="e">
        <f>#REF!</f>
        <v>#REF!</v>
      </c>
      <c r="BD261" s="28" t="e">
        <f>#REF!*2</f>
        <v>#REF!</v>
      </c>
      <c r="BE261" s="9" t="e">
        <f>#REF!-#REF!</f>
        <v>#REF!</v>
      </c>
      <c r="BF261" s="9" t="e">
        <f>#REF!-#REF!</f>
        <v>#REF!</v>
      </c>
      <c r="BG261" s="9" t="e">
        <f>#REF!-#REF!</f>
        <v>#REF!</v>
      </c>
      <c r="BH261" s="9" t="e">
        <f>#REF!-#REF!</f>
        <v>#REF!</v>
      </c>
      <c r="BI261" s="9" t="e">
        <f>#REF!-#REF!</f>
        <v>#REF!</v>
      </c>
      <c r="BJ261" s="33"/>
      <c r="BK261" s="3">
        <f t="shared" si="178"/>
        <v>0</v>
      </c>
      <c r="BL261" s="3">
        <f t="shared" si="179"/>
        <v>0</v>
      </c>
      <c r="BM261" s="3">
        <f t="shared" si="180"/>
        <v>0</v>
      </c>
      <c r="BN261" s="3">
        <f t="shared" si="181"/>
        <v>0</v>
      </c>
      <c r="BO261" s="3">
        <f t="shared" si="182"/>
        <v>0</v>
      </c>
      <c r="BP261" s="28" t="e">
        <f>#REF!</f>
        <v>#REF!</v>
      </c>
      <c r="BQ261" s="28" t="e">
        <f>#REF!*2</f>
        <v>#REF!</v>
      </c>
      <c r="BR261" s="28" t="e">
        <f>#REF!</f>
        <v>#REF!</v>
      </c>
      <c r="BS261" s="28" t="e">
        <f>#REF!*2</f>
        <v>#REF!</v>
      </c>
      <c r="BT261" s="28" t="e">
        <f>#REF!</f>
        <v>#REF!</v>
      </c>
      <c r="BU261" s="28" t="e">
        <f>#REF!*2</f>
        <v>#REF!</v>
      </c>
      <c r="BV261" s="28" t="e">
        <f>#REF!</f>
        <v>#REF!</v>
      </c>
      <c r="BW261" s="28" t="e">
        <f>#REF!*2</f>
        <v>#REF!</v>
      </c>
      <c r="BX261" s="28" t="e">
        <f>#REF!</f>
        <v>#REF!</v>
      </c>
      <c r="BY261" s="28" t="e">
        <f>#REF!*2</f>
        <v>#REF!</v>
      </c>
      <c r="BZ261" s="28" t="e">
        <f>#REF!</f>
        <v>#REF!</v>
      </c>
      <c r="CA261" s="28" t="e">
        <f>#REF!*2</f>
        <v>#REF!</v>
      </c>
      <c r="CB261" s="9">
        <f t="shared" si="183"/>
        <v>0</v>
      </c>
      <c r="CC261" s="9">
        <f t="shared" si="184"/>
        <v>0</v>
      </c>
      <c r="CD261" s="9">
        <f t="shared" si="185"/>
        <v>0</v>
      </c>
      <c r="CE261" s="9">
        <f t="shared" si="186"/>
        <v>0</v>
      </c>
      <c r="CF261" s="9">
        <f t="shared" si="187"/>
        <v>0</v>
      </c>
      <c r="CG261" s="33"/>
      <c r="CH261" s="3">
        <f t="shared" si="188"/>
        <v>0</v>
      </c>
      <c r="CI261" s="3">
        <f t="shared" si="189"/>
        <v>0</v>
      </c>
      <c r="CJ261" s="3">
        <f t="shared" si="190"/>
        <v>0</v>
      </c>
      <c r="CK261" s="3">
        <f t="shared" si="191"/>
        <v>0</v>
      </c>
      <c r="CL261" s="3">
        <f t="shared" si="192"/>
        <v>0</v>
      </c>
      <c r="CM261" s="32"/>
      <c r="CN261" s="3">
        <f t="shared" si="193"/>
        <v>0</v>
      </c>
      <c r="CO261" s="3">
        <f t="shared" si="194"/>
        <v>0</v>
      </c>
      <c r="CP261" s="3">
        <f t="shared" si="195"/>
        <v>0</v>
      </c>
      <c r="CQ261" s="3">
        <f t="shared" si="196"/>
        <v>0</v>
      </c>
      <c r="CR261" s="3">
        <f t="shared" si="197"/>
        <v>0</v>
      </c>
      <c r="CS261" s="31"/>
      <c r="CT261" s="3" cm="1">
        <f t="array" ref="CT261">SUMPRODUCT(--(MOD(CH261:CL261,2)=1))</f>
        <v>0</v>
      </c>
      <c r="CU261" s="3">
        <f t="shared" si="198"/>
        <v>5</v>
      </c>
      <c r="CV261" s="30"/>
      <c r="CW261" s="3" cm="1">
        <f t="array" ref="CW261">SUMPRODUCT(--(MOD(CH261:CL261,10)&gt;=1), --(MOD(CH261:CL261,10)&lt;=5))</f>
        <v>0</v>
      </c>
      <c r="CX261" s="3">
        <f t="shared" si="199"/>
        <v>5</v>
      </c>
      <c r="CY261" s="30"/>
      <c r="CZ261" s="3" cm="1">
        <f t="array" ref="CZ261">IFERROR(COUNT(_xlfn._xlws.FILTER(CH261:CL261, ISNUMBER(MATCH(CH261:CL261, {2,3,5,7,11,13,17,19,23,29,31,37,41,43}, 0)))), 0)</f>
        <v>0</v>
      </c>
      <c r="DA261" s="3" cm="1">
        <f t="array" ref="DA261">IFERROR(COUNT(_xlfn._xlws.FILTER(CH261:CL261, ISNUMBER(MATCH(CH261:CL261, {1,4,8,10,14,16,20,22,25,26,28,32,34,35,38,40,44}, 0)))), 0)</f>
        <v>0</v>
      </c>
      <c r="DB261" s="3" cm="1">
        <f t="array" ref="DB261">IFERROR(COUNT(_xlfn._xlws.FILTER(CH261:CL261, ISNUMBER(MATCH(CH261:CL261, {6,9,12,15,18,21,24,27,30,33,36,39,42,45}, 0)))), 0)</f>
        <v>0</v>
      </c>
      <c r="DC261" s="29"/>
      <c r="DD261" s="28" t="e">
        <f>#REF!</f>
        <v>#REF!</v>
      </c>
      <c r="DE261" s="28" t="e">
        <f>#REF!*2</f>
        <v>#REF!</v>
      </c>
      <c r="DF261" s="28" t="e">
        <f>#REF!</f>
        <v>#REF!</v>
      </c>
      <c r="DG261" s="28" t="e">
        <f>#REF!*2</f>
        <v>#REF!</v>
      </c>
      <c r="DH261" s="28" t="e">
        <f>#REF!</f>
        <v>#REF!</v>
      </c>
      <c r="DI261" s="28" t="e">
        <f>#REF!*2</f>
        <v>#REF!</v>
      </c>
      <c r="DJ261" s="28" t="e">
        <f>#REF!</f>
        <v>#REF!</v>
      </c>
      <c r="DK261" s="28" t="e">
        <f>#REF!*2</f>
        <v>#REF!</v>
      </c>
      <c r="DL261" s="28" t="e">
        <f>#REF!</f>
        <v>#REF!</v>
      </c>
      <c r="DM261" s="28" t="e">
        <f>#REF!*2</f>
        <v>#REF!</v>
      </c>
      <c r="DN261" s="27"/>
      <c r="DO261" s="26"/>
      <c r="DP261" s="26"/>
      <c r="DQ261" s="26"/>
      <c r="DR261" s="26"/>
      <c r="DS261" s="26"/>
      <c r="DT261" s="25"/>
    </row>
    <row r="262" spans="2:124" x14ac:dyDescent="0.3"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2"/>
      <c r="I262" s="3">
        <f t="shared" si="160"/>
        <v>0</v>
      </c>
      <c r="J262" s="3">
        <f t="shared" si="161"/>
        <v>0</v>
      </c>
      <c r="K262" s="3">
        <f t="shared" si="162"/>
        <v>0</v>
      </c>
      <c r="L262" s="3">
        <f t="shared" si="163"/>
        <v>0</v>
      </c>
      <c r="M262" s="3">
        <f t="shared" si="164"/>
        <v>0</v>
      </c>
      <c r="N262" s="3">
        <f t="shared" si="165"/>
        <v>0</v>
      </c>
      <c r="O262" s="32"/>
      <c r="P262" s="3" cm="1">
        <f t="array" ref="P262">SUMPRODUCT(--(MOD(B262:G262,2)=1))</f>
        <v>0</v>
      </c>
      <c r="Q262" s="3">
        <f t="shared" si="166"/>
        <v>6</v>
      </c>
      <c r="R262" s="34"/>
      <c r="S262" s="3">
        <f t="shared" si="167"/>
        <v>0</v>
      </c>
      <c r="T262" s="3">
        <f t="shared" si="168"/>
        <v>6</v>
      </c>
      <c r="U262" s="34"/>
      <c r="V262" s="3" cm="1">
        <f t="array" ref="V262">SUMPRODUCT(--(MOD(B262:G262,10)&gt;=1), --(MOD(B262:G262,10)&lt;=5))</f>
        <v>0</v>
      </c>
      <c r="W262" s="3">
        <f t="shared" si="169"/>
        <v>6</v>
      </c>
      <c r="X262" s="34"/>
      <c r="Y262" s="3" cm="1">
        <f t="array" ref="Y262">IFERROR(COUNT(_xlfn._xlws.FILTER(B262:G262, ISNUMBER(MATCH(B262:G262, {2,3,5,7,11,13,17,19,23,29,31,37,41,43}, 0)))), 0)</f>
        <v>0</v>
      </c>
      <c r="Z262" s="3" cm="1">
        <f t="array" ref="Z262">IFERROR(COUNT(_xlfn._xlws.FILTER(B262:G262, ISNUMBER(MATCH(B262:G262, {1,4,8,10,14,16,20,22,25,26,28,32,34,35,38,40,44}, 0)))), 0)</f>
        <v>0</v>
      </c>
      <c r="AA262" s="3" cm="1">
        <f t="array" ref="AA262">IFERROR(COUNT(_xlfn._xlws.FILTER(B262:G262, ISNUMBER(MATCH(B262:G262, {6,9,12,15,18,21,24,27,30,33,36,39,42,45}, 0)))), 0)</f>
        <v>0</v>
      </c>
      <c r="AB262" s="30"/>
      <c r="AC262" s="26" cm="1">
        <f t="array" ref="AC262">_xlfn.IFS(
   OR(B262="",ISBLANK(B262),B262=0),0,
   ISNUMBER(MATCH(B262,{2,3,5,7,11,13,17,19,23,29,31,37,41,43},0)),"소",
   AND(ISNUMBER(B262),MOD(B262,3)=0),"배",
   AND(ISNUMBER(B262),B262&gt;0),"자"
)</f>
        <v>0</v>
      </c>
      <c r="AD262" s="26" cm="1">
        <f t="array" ref="AD262">_xlfn.IFS(
   OR(C262="",ISBLANK(C262),C262=0),0,
   ISNUMBER(MATCH(C262,{2,3,5,7,11,13,17,19,23,29,31,37,41,43},0)),"소",
   AND(ISNUMBER(C262),MOD(C262,3)=0),"배",
   AND(ISNUMBER(C262),C262&gt;0),"자"
)</f>
        <v>0</v>
      </c>
      <c r="AE262" s="26" cm="1">
        <f t="array" ref="AE262">_xlfn.IFS(
   OR(D262="",ISBLANK(D262),D262=0),0,
   ISNUMBER(MATCH(D262,{2,3,5,7,11,13,17,19,23,29,31,37,41,43},0)),"소",
   AND(ISNUMBER(D262),MOD(D262,3)=0),"배",
   AND(ISNUMBER(D262),D262&gt;0),"자"
)</f>
        <v>0</v>
      </c>
      <c r="AF262" s="26" cm="1">
        <f t="array" ref="AF262">_xlfn.IFS(
   OR(E262="",ISBLANK(E262),E262=0),0,
   ISNUMBER(MATCH(E262,{2,3,5,7,11,13,17,19,23,29,31,37,41,43},0)),"소",
   AND(ISNUMBER(E262),MOD(E262,3)=0),"배",
   AND(ISNUMBER(E262),E262&gt;0),"자"
)</f>
        <v>0</v>
      </c>
      <c r="AG262" s="26" cm="1">
        <f t="array" ref="AG262">_xlfn.IFS(
   OR(F262="",ISBLANK(F262),F262=0),0,
   ISNUMBER(MATCH(F262,{2,3,5,7,11,13,17,19,23,29,31,37,41,43},0)),"소",
   AND(ISNUMBER(F262),MOD(F262,3)=0),"배",
   AND(ISNUMBER(F262),F262&gt;0),"자"
)</f>
        <v>0</v>
      </c>
      <c r="AH262" s="26" cm="1">
        <f t="array" ref="AH262">_xlfn.IFS(
   OR(G262="",ISBLANK(G262),G262=0),0,
   ISNUMBER(MATCH(G262,{2,3,5,7,11,13,17,19,23,29,31,37,41,43},0)),"소",
   AND(ISNUMBER(G262),MOD(G262,3)=0),"배",
   AND(ISNUMBER(G262),G262&gt;0),"자"
)</f>
        <v>0</v>
      </c>
      <c r="AI262" s="30"/>
      <c r="AJ262" s="3">
        <f t="shared" si="170"/>
        <v>0</v>
      </c>
      <c r="AK262" s="3">
        <f t="shared" si="171"/>
        <v>0</v>
      </c>
      <c r="AL262" s="3">
        <f t="shared" si="172"/>
        <v>6</v>
      </c>
      <c r="AM262" s="33"/>
      <c r="AN262" s="3">
        <f t="shared" si="173"/>
        <v>0</v>
      </c>
      <c r="AO262" s="3">
        <f t="shared" si="174"/>
        <v>0</v>
      </c>
      <c r="AP262" s="3">
        <f t="shared" si="175"/>
        <v>0</v>
      </c>
      <c r="AQ262" s="3">
        <f t="shared" si="176"/>
        <v>0</v>
      </c>
      <c r="AR262" s="3">
        <f t="shared" si="177"/>
        <v>0</v>
      </c>
      <c r="AS262" s="28" t="e">
        <f>#REF!</f>
        <v>#REF!</v>
      </c>
      <c r="AT262" s="28" t="e">
        <f>#REF!*2</f>
        <v>#REF!</v>
      </c>
      <c r="AU262" s="28" t="e">
        <f>#REF!</f>
        <v>#REF!</v>
      </c>
      <c r="AV262" s="28" t="e">
        <f>#REF!*2</f>
        <v>#REF!</v>
      </c>
      <c r="AW262" s="28" t="e">
        <f>#REF!</f>
        <v>#REF!</v>
      </c>
      <c r="AX262" s="28" t="e">
        <f>#REF!*2</f>
        <v>#REF!</v>
      </c>
      <c r="AY262" s="28" t="e">
        <f>#REF!</f>
        <v>#REF!</v>
      </c>
      <c r="AZ262" s="28" t="e">
        <f>#REF!*2</f>
        <v>#REF!</v>
      </c>
      <c r="BA262" s="28" t="e">
        <f>#REF!</f>
        <v>#REF!</v>
      </c>
      <c r="BB262" s="28" t="e">
        <f>#REF!*2</f>
        <v>#REF!</v>
      </c>
      <c r="BC262" s="28" t="e">
        <f>#REF!</f>
        <v>#REF!</v>
      </c>
      <c r="BD262" s="28" t="e">
        <f>#REF!*2</f>
        <v>#REF!</v>
      </c>
      <c r="BE262" s="9" t="e">
        <f>#REF!-#REF!</f>
        <v>#REF!</v>
      </c>
      <c r="BF262" s="9" t="e">
        <f>#REF!-#REF!</f>
        <v>#REF!</v>
      </c>
      <c r="BG262" s="9" t="e">
        <f>#REF!-#REF!</f>
        <v>#REF!</v>
      </c>
      <c r="BH262" s="9" t="e">
        <f>#REF!-#REF!</f>
        <v>#REF!</v>
      </c>
      <c r="BI262" s="9" t="e">
        <f>#REF!-#REF!</f>
        <v>#REF!</v>
      </c>
      <c r="BJ262" s="33"/>
      <c r="BK262" s="3">
        <f t="shared" si="178"/>
        <v>0</v>
      </c>
      <c r="BL262" s="3">
        <f t="shared" si="179"/>
        <v>0</v>
      </c>
      <c r="BM262" s="3">
        <f t="shared" si="180"/>
        <v>0</v>
      </c>
      <c r="BN262" s="3">
        <f t="shared" si="181"/>
        <v>0</v>
      </c>
      <c r="BO262" s="3">
        <f t="shared" si="182"/>
        <v>0</v>
      </c>
      <c r="BP262" s="28" t="e">
        <f>#REF!</f>
        <v>#REF!</v>
      </c>
      <c r="BQ262" s="28" t="e">
        <f>#REF!*2</f>
        <v>#REF!</v>
      </c>
      <c r="BR262" s="28" t="e">
        <f>#REF!</f>
        <v>#REF!</v>
      </c>
      <c r="BS262" s="28" t="e">
        <f>#REF!*2</f>
        <v>#REF!</v>
      </c>
      <c r="BT262" s="28" t="e">
        <f>#REF!</f>
        <v>#REF!</v>
      </c>
      <c r="BU262" s="28" t="e">
        <f>#REF!*2</f>
        <v>#REF!</v>
      </c>
      <c r="BV262" s="28" t="e">
        <f>#REF!</f>
        <v>#REF!</v>
      </c>
      <c r="BW262" s="28" t="e">
        <f>#REF!*2</f>
        <v>#REF!</v>
      </c>
      <c r="BX262" s="28" t="e">
        <f>#REF!</f>
        <v>#REF!</v>
      </c>
      <c r="BY262" s="28" t="e">
        <f>#REF!*2</f>
        <v>#REF!</v>
      </c>
      <c r="BZ262" s="28" t="e">
        <f>#REF!</f>
        <v>#REF!</v>
      </c>
      <c r="CA262" s="28" t="e">
        <f>#REF!*2</f>
        <v>#REF!</v>
      </c>
      <c r="CB262" s="9">
        <f t="shared" si="183"/>
        <v>0</v>
      </c>
      <c r="CC262" s="9">
        <f t="shared" si="184"/>
        <v>0</v>
      </c>
      <c r="CD262" s="9">
        <f t="shared" si="185"/>
        <v>0</v>
      </c>
      <c r="CE262" s="9">
        <f t="shared" si="186"/>
        <v>0</v>
      </c>
      <c r="CF262" s="9">
        <f t="shared" si="187"/>
        <v>0</v>
      </c>
      <c r="CG262" s="33"/>
      <c r="CH262" s="3">
        <f t="shared" si="188"/>
        <v>0</v>
      </c>
      <c r="CI262" s="3">
        <f t="shared" si="189"/>
        <v>0</v>
      </c>
      <c r="CJ262" s="3">
        <f t="shared" si="190"/>
        <v>0</v>
      </c>
      <c r="CK262" s="3">
        <f t="shared" si="191"/>
        <v>0</v>
      </c>
      <c r="CL262" s="3">
        <f t="shared" si="192"/>
        <v>0</v>
      </c>
      <c r="CM262" s="32"/>
      <c r="CN262" s="3">
        <f t="shared" si="193"/>
        <v>0</v>
      </c>
      <c r="CO262" s="3">
        <f t="shared" si="194"/>
        <v>0</v>
      </c>
      <c r="CP262" s="3">
        <f t="shared" si="195"/>
        <v>0</v>
      </c>
      <c r="CQ262" s="3">
        <f t="shared" si="196"/>
        <v>0</v>
      </c>
      <c r="CR262" s="3">
        <f t="shared" si="197"/>
        <v>0</v>
      </c>
      <c r="CS262" s="31"/>
      <c r="CT262" s="3" cm="1">
        <f t="array" ref="CT262">SUMPRODUCT(--(MOD(CH262:CL262,2)=1))</f>
        <v>0</v>
      </c>
      <c r="CU262" s="3">
        <f t="shared" si="198"/>
        <v>5</v>
      </c>
      <c r="CV262" s="30"/>
      <c r="CW262" s="3" cm="1">
        <f t="array" ref="CW262">SUMPRODUCT(--(MOD(CH262:CL262,10)&gt;=1), --(MOD(CH262:CL262,10)&lt;=5))</f>
        <v>0</v>
      </c>
      <c r="CX262" s="3">
        <f t="shared" si="199"/>
        <v>5</v>
      </c>
      <c r="CY262" s="30"/>
      <c r="CZ262" s="3" cm="1">
        <f t="array" ref="CZ262">IFERROR(COUNT(_xlfn._xlws.FILTER(CH262:CL262, ISNUMBER(MATCH(CH262:CL262, {2,3,5,7,11,13,17,19,23,29,31,37,41,43}, 0)))), 0)</f>
        <v>0</v>
      </c>
      <c r="DA262" s="3" cm="1">
        <f t="array" ref="DA262">IFERROR(COUNT(_xlfn._xlws.FILTER(CH262:CL262, ISNUMBER(MATCH(CH262:CL262, {1,4,8,10,14,16,20,22,25,26,28,32,34,35,38,40,44}, 0)))), 0)</f>
        <v>0</v>
      </c>
      <c r="DB262" s="3" cm="1">
        <f t="array" ref="DB262">IFERROR(COUNT(_xlfn._xlws.FILTER(CH262:CL262, ISNUMBER(MATCH(CH262:CL262, {6,9,12,15,18,21,24,27,30,33,36,39,42,45}, 0)))), 0)</f>
        <v>0</v>
      </c>
      <c r="DC262" s="29"/>
      <c r="DD262" s="28" t="e">
        <f>#REF!</f>
        <v>#REF!</v>
      </c>
      <c r="DE262" s="28" t="e">
        <f>#REF!*2</f>
        <v>#REF!</v>
      </c>
      <c r="DF262" s="28" t="e">
        <f>#REF!</f>
        <v>#REF!</v>
      </c>
      <c r="DG262" s="28" t="e">
        <f>#REF!*2</f>
        <v>#REF!</v>
      </c>
      <c r="DH262" s="28" t="e">
        <f>#REF!</f>
        <v>#REF!</v>
      </c>
      <c r="DI262" s="28" t="e">
        <f>#REF!*2</f>
        <v>#REF!</v>
      </c>
      <c r="DJ262" s="28" t="e">
        <f>#REF!</f>
        <v>#REF!</v>
      </c>
      <c r="DK262" s="28" t="e">
        <f>#REF!*2</f>
        <v>#REF!</v>
      </c>
      <c r="DL262" s="28" t="e">
        <f>#REF!</f>
        <v>#REF!</v>
      </c>
      <c r="DM262" s="28" t="e">
        <f>#REF!*2</f>
        <v>#REF!</v>
      </c>
      <c r="DN262" s="27"/>
      <c r="DO262" s="26"/>
      <c r="DP262" s="26"/>
      <c r="DQ262" s="26"/>
      <c r="DR262" s="26"/>
      <c r="DS262" s="26"/>
      <c r="DT262" s="25"/>
    </row>
    <row r="263" spans="2:124" x14ac:dyDescent="0.3"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2"/>
      <c r="I263" s="3">
        <f t="shared" si="160"/>
        <v>0</v>
      </c>
      <c r="J263" s="3">
        <f t="shared" si="161"/>
        <v>0</v>
      </c>
      <c r="K263" s="3">
        <f t="shared" si="162"/>
        <v>0</v>
      </c>
      <c r="L263" s="3">
        <f t="shared" si="163"/>
        <v>0</v>
      </c>
      <c r="M263" s="3">
        <f t="shared" si="164"/>
        <v>0</v>
      </c>
      <c r="N263" s="3">
        <f t="shared" si="165"/>
        <v>0</v>
      </c>
      <c r="O263" s="32"/>
      <c r="P263" s="3" cm="1">
        <f t="array" ref="P263">SUMPRODUCT(--(MOD(B263:G263,2)=1))</f>
        <v>0</v>
      </c>
      <c r="Q263" s="3">
        <f t="shared" si="166"/>
        <v>6</v>
      </c>
      <c r="R263" s="34"/>
      <c r="S263" s="3">
        <f t="shared" si="167"/>
        <v>0</v>
      </c>
      <c r="T263" s="3">
        <f t="shared" si="168"/>
        <v>6</v>
      </c>
      <c r="U263" s="34"/>
      <c r="V263" s="3" cm="1">
        <f t="array" ref="V263">SUMPRODUCT(--(MOD(B263:G263,10)&gt;=1), --(MOD(B263:G263,10)&lt;=5))</f>
        <v>0</v>
      </c>
      <c r="W263" s="3">
        <f t="shared" si="169"/>
        <v>6</v>
      </c>
      <c r="X263" s="34"/>
      <c r="Y263" s="3" cm="1">
        <f t="array" ref="Y263">IFERROR(COUNT(_xlfn._xlws.FILTER(B263:G263, ISNUMBER(MATCH(B263:G263, {2,3,5,7,11,13,17,19,23,29,31,37,41,43}, 0)))), 0)</f>
        <v>0</v>
      </c>
      <c r="Z263" s="3" cm="1">
        <f t="array" ref="Z263">IFERROR(COUNT(_xlfn._xlws.FILTER(B263:G263, ISNUMBER(MATCH(B263:G263, {1,4,8,10,14,16,20,22,25,26,28,32,34,35,38,40,44}, 0)))), 0)</f>
        <v>0</v>
      </c>
      <c r="AA263" s="3" cm="1">
        <f t="array" ref="AA263">IFERROR(COUNT(_xlfn._xlws.FILTER(B263:G263, ISNUMBER(MATCH(B263:G263, {6,9,12,15,18,21,24,27,30,33,36,39,42,45}, 0)))), 0)</f>
        <v>0</v>
      </c>
      <c r="AB263" s="30"/>
      <c r="AC263" s="26" cm="1">
        <f t="array" ref="AC263">_xlfn.IFS(
   OR(B263="",ISBLANK(B263),B263=0),0,
   ISNUMBER(MATCH(B263,{2,3,5,7,11,13,17,19,23,29,31,37,41,43},0)),"소",
   AND(ISNUMBER(B263),MOD(B263,3)=0),"배",
   AND(ISNUMBER(B263),B263&gt;0),"자"
)</f>
        <v>0</v>
      </c>
      <c r="AD263" s="26" cm="1">
        <f t="array" ref="AD263">_xlfn.IFS(
   OR(C263="",ISBLANK(C263),C263=0),0,
   ISNUMBER(MATCH(C263,{2,3,5,7,11,13,17,19,23,29,31,37,41,43},0)),"소",
   AND(ISNUMBER(C263),MOD(C263,3)=0),"배",
   AND(ISNUMBER(C263),C263&gt;0),"자"
)</f>
        <v>0</v>
      </c>
      <c r="AE263" s="26" cm="1">
        <f t="array" ref="AE263">_xlfn.IFS(
   OR(D263="",ISBLANK(D263),D263=0),0,
   ISNUMBER(MATCH(D263,{2,3,5,7,11,13,17,19,23,29,31,37,41,43},0)),"소",
   AND(ISNUMBER(D263),MOD(D263,3)=0),"배",
   AND(ISNUMBER(D263),D263&gt;0),"자"
)</f>
        <v>0</v>
      </c>
      <c r="AF263" s="26" cm="1">
        <f t="array" ref="AF263">_xlfn.IFS(
   OR(E263="",ISBLANK(E263),E263=0),0,
   ISNUMBER(MATCH(E263,{2,3,5,7,11,13,17,19,23,29,31,37,41,43},0)),"소",
   AND(ISNUMBER(E263),MOD(E263,3)=0),"배",
   AND(ISNUMBER(E263),E263&gt;0),"자"
)</f>
        <v>0</v>
      </c>
      <c r="AG263" s="26" cm="1">
        <f t="array" ref="AG263">_xlfn.IFS(
   OR(F263="",ISBLANK(F263),F263=0),0,
   ISNUMBER(MATCH(F263,{2,3,5,7,11,13,17,19,23,29,31,37,41,43},0)),"소",
   AND(ISNUMBER(F263),MOD(F263,3)=0),"배",
   AND(ISNUMBER(F263),F263&gt;0),"자"
)</f>
        <v>0</v>
      </c>
      <c r="AH263" s="26" cm="1">
        <f t="array" ref="AH263">_xlfn.IFS(
   OR(G263="",ISBLANK(G263),G263=0),0,
   ISNUMBER(MATCH(G263,{2,3,5,7,11,13,17,19,23,29,31,37,41,43},0)),"소",
   AND(ISNUMBER(G263),MOD(G263,3)=0),"배",
   AND(ISNUMBER(G263),G263&gt;0),"자"
)</f>
        <v>0</v>
      </c>
      <c r="AI263" s="30"/>
      <c r="AJ263" s="3">
        <f t="shared" si="170"/>
        <v>0</v>
      </c>
      <c r="AK263" s="3">
        <f t="shared" si="171"/>
        <v>0</v>
      </c>
      <c r="AL263" s="3">
        <f t="shared" si="172"/>
        <v>6</v>
      </c>
      <c r="AM263" s="33"/>
      <c r="AN263" s="3">
        <f t="shared" si="173"/>
        <v>0</v>
      </c>
      <c r="AO263" s="3">
        <f t="shared" si="174"/>
        <v>0</v>
      </c>
      <c r="AP263" s="3">
        <f t="shared" si="175"/>
        <v>0</v>
      </c>
      <c r="AQ263" s="3">
        <f t="shared" si="176"/>
        <v>0</v>
      </c>
      <c r="AR263" s="3">
        <f t="shared" si="177"/>
        <v>0</v>
      </c>
      <c r="AS263" s="28" t="e">
        <f>#REF!</f>
        <v>#REF!</v>
      </c>
      <c r="AT263" s="28" t="e">
        <f>#REF!*2</f>
        <v>#REF!</v>
      </c>
      <c r="AU263" s="28" t="e">
        <f>#REF!</f>
        <v>#REF!</v>
      </c>
      <c r="AV263" s="28" t="e">
        <f>#REF!*2</f>
        <v>#REF!</v>
      </c>
      <c r="AW263" s="28" t="e">
        <f>#REF!</f>
        <v>#REF!</v>
      </c>
      <c r="AX263" s="28" t="e">
        <f>#REF!*2</f>
        <v>#REF!</v>
      </c>
      <c r="AY263" s="28" t="e">
        <f>#REF!</f>
        <v>#REF!</v>
      </c>
      <c r="AZ263" s="28" t="e">
        <f>#REF!*2</f>
        <v>#REF!</v>
      </c>
      <c r="BA263" s="28" t="e">
        <f>#REF!</f>
        <v>#REF!</v>
      </c>
      <c r="BB263" s="28" t="e">
        <f>#REF!*2</f>
        <v>#REF!</v>
      </c>
      <c r="BC263" s="28" t="e">
        <f>#REF!</f>
        <v>#REF!</v>
      </c>
      <c r="BD263" s="28" t="e">
        <f>#REF!*2</f>
        <v>#REF!</v>
      </c>
      <c r="BE263" s="9" t="e">
        <f>#REF!-#REF!</f>
        <v>#REF!</v>
      </c>
      <c r="BF263" s="9" t="e">
        <f>#REF!-#REF!</f>
        <v>#REF!</v>
      </c>
      <c r="BG263" s="9" t="e">
        <f>#REF!-#REF!</f>
        <v>#REF!</v>
      </c>
      <c r="BH263" s="9" t="e">
        <f>#REF!-#REF!</f>
        <v>#REF!</v>
      </c>
      <c r="BI263" s="9" t="e">
        <f>#REF!-#REF!</f>
        <v>#REF!</v>
      </c>
      <c r="BJ263" s="33"/>
      <c r="BK263" s="3">
        <f t="shared" si="178"/>
        <v>0</v>
      </c>
      <c r="BL263" s="3">
        <f t="shared" si="179"/>
        <v>0</v>
      </c>
      <c r="BM263" s="3">
        <f t="shared" si="180"/>
        <v>0</v>
      </c>
      <c r="BN263" s="3">
        <f t="shared" si="181"/>
        <v>0</v>
      </c>
      <c r="BO263" s="3">
        <f t="shared" si="182"/>
        <v>0</v>
      </c>
      <c r="BP263" s="28" t="e">
        <f>#REF!</f>
        <v>#REF!</v>
      </c>
      <c r="BQ263" s="28" t="e">
        <f>#REF!*2</f>
        <v>#REF!</v>
      </c>
      <c r="BR263" s="28" t="e">
        <f>#REF!</f>
        <v>#REF!</v>
      </c>
      <c r="BS263" s="28" t="e">
        <f>#REF!*2</f>
        <v>#REF!</v>
      </c>
      <c r="BT263" s="28" t="e">
        <f>#REF!</f>
        <v>#REF!</v>
      </c>
      <c r="BU263" s="28" t="e">
        <f>#REF!*2</f>
        <v>#REF!</v>
      </c>
      <c r="BV263" s="28" t="e">
        <f>#REF!</f>
        <v>#REF!</v>
      </c>
      <c r="BW263" s="28" t="e">
        <f>#REF!*2</f>
        <v>#REF!</v>
      </c>
      <c r="BX263" s="28" t="e">
        <f>#REF!</f>
        <v>#REF!</v>
      </c>
      <c r="BY263" s="28" t="e">
        <f>#REF!*2</f>
        <v>#REF!</v>
      </c>
      <c r="BZ263" s="28" t="e">
        <f>#REF!</f>
        <v>#REF!</v>
      </c>
      <c r="CA263" s="28" t="e">
        <f>#REF!*2</f>
        <v>#REF!</v>
      </c>
      <c r="CB263" s="9">
        <f t="shared" si="183"/>
        <v>0</v>
      </c>
      <c r="CC263" s="9">
        <f t="shared" si="184"/>
        <v>0</v>
      </c>
      <c r="CD263" s="9">
        <f t="shared" si="185"/>
        <v>0</v>
      </c>
      <c r="CE263" s="9">
        <f t="shared" si="186"/>
        <v>0</v>
      </c>
      <c r="CF263" s="9">
        <f t="shared" si="187"/>
        <v>0</v>
      </c>
      <c r="CG263" s="33"/>
      <c r="CH263" s="3">
        <f t="shared" si="188"/>
        <v>0</v>
      </c>
      <c r="CI263" s="3">
        <f t="shared" si="189"/>
        <v>0</v>
      </c>
      <c r="CJ263" s="3">
        <f t="shared" si="190"/>
        <v>0</v>
      </c>
      <c r="CK263" s="3">
        <f t="shared" si="191"/>
        <v>0</v>
      </c>
      <c r="CL263" s="3">
        <f t="shared" si="192"/>
        <v>0</v>
      </c>
      <c r="CM263" s="32"/>
      <c r="CN263" s="3">
        <f t="shared" si="193"/>
        <v>0</v>
      </c>
      <c r="CO263" s="3">
        <f t="shared" si="194"/>
        <v>0</v>
      </c>
      <c r="CP263" s="3">
        <f t="shared" si="195"/>
        <v>0</v>
      </c>
      <c r="CQ263" s="3">
        <f t="shared" si="196"/>
        <v>0</v>
      </c>
      <c r="CR263" s="3">
        <f t="shared" si="197"/>
        <v>0</v>
      </c>
      <c r="CS263" s="31"/>
      <c r="CT263" s="3" cm="1">
        <f t="array" ref="CT263">SUMPRODUCT(--(MOD(CH263:CL263,2)=1))</f>
        <v>0</v>
      </c>
      <c r="CU263" s="3">
        <f t="shared" si="198"/>
        <v>5</v>
      </c>
      <c r="CV263" s="30"/>
      <c r="CW263" s="3" cm="1">
        <f t="array" ref="CW263">SUMPRODUCT(--(MOD(CH263:CL263,10)&gt;=1), --(MOD(CH263:CL263,10)&lt;=5))</f>
        <v>0</v>
      </c>
      <c r="CX263" s="3">
        <f t="shared" si="199"/>
        <v>5</v>
      </c>
      <c r="CY263" s="30"/>
      <c r="CZ263" s="3" cm="1">
        <f t="array" ref="CZ263">IFERROR(COUNT(_xlfn._xlws.FILTER(CH263:CL263, ISNUMBER(MATCH(CH263:CL263, {2,3,5,7,11,13,17,19,23,29,31,37,41,43}, 0)))), 0)</f>
        <v>0</v>
      </c>
      <c r="DA263" s="3" cm="1">
        <f t="array" ref="DA263">IFERROR(COUNT(_xlfn._xlws.FILTER(CH263:CL263, ISNUMBER(MATCH(CH263:CL263, {1,4,8,10,14,16,20,22,25,26,28,32,34,35,38,40,44}, 0)))), 0)</f>
        <v>0</v>
      </c>
      <c r="DB263" s="3" cm="1">
        <f t="array" ref="DB263">IFERROR(COUNT(_xlfn._xlws.FILTER(CH263:CL263, ISNUMBER(MATCH(CH263:CL263, {6,9,12,15,18,21,24,27,30,33,36,39,42,45}, 0)))), 0)</f>
        <v>0</v>
      </c>
      <c r="DC263" s="29"/>
      <c r="DD263" s="28" t="e">
        <f>#REF!</f>
        <v>#REF!</v>
      </c>
      <c r="DE263" s="28" t="e">
        <f>#REF!*2</f>
        <v>#REF!</v>
      </c>
      <c r="DF263" s="28" t="e">
        <f>#REF!</f>
        <v>#REF!</v>
      </c>
      <c r="DG263" s="28" t="e">
        <f>#REF!*2</f>
        <v>#REF!</v>
      </c>
      <c r="DH263" s="28" t="e">
        <f>#REF!</f>
        <v>#REF!</v>
      </c>
      <c r="DI263" s="28" t="e">
        <f>#REF!*2</f>
        <v>#REF!</v>
      </c>
      <c r="DJ263" s="28" t="e">
        <f>#REF!</f>
        <v>#REF!</v>
      </c>
      <c r="DK263" s="28" t="e">
        <f>#REF!*2</f>
        <v>#REF!</v>
      </c>
      <c r="DL263" s="28" t="e">
        <f>#REF!</f>
        <v>#REF!</v>
      </c>
      <c r="DM263" s="28" t="e">
        <f>#REF!*2</f>
        <v>#REF!</v>
      </c>
      <c r="DN263" s="27"/>
      <c r="DO263" s="26"/>
      <c r="DP263" s="26"/>
      <c r="DQ263" s="26"/>
      <c r="DR263" s="26"/>
      <c r="DS263" s="26"/>
      <c r="DT263" s="25"/>
    </row>
    <row r="264" spans="2:124" x14ac:dyDescent="0.3"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2"/>
      <c r="I264" s="3">
        <f t="shared" si="160"/>
        <v>0</v>
      </c>
      <c r="J264" s="3">
        <f t="shared" si="161"/>
        <v>0</v>
      </c>
      <c r="K264" s="3">
        <f t="shared" si="162"/>
        <v>0</v>
      </c>
      <c r="L264" s="3">
        <f t="shared" si="163"/>
        <v>0</v>
      </c>
      <c r="M264" s="3">
        <f t="shared" si="164"/>
        <v>0</v>
      </c>
      <c r="N264" s="3">
        <f t="shared" si="165"/>
        <v>0</v>
      </c>
      <c r="O264" s="32"/>
      <c r="P264" s="3" cm="1">
        <f t="array" ref="P264">SUMPRODUCT(--(MOD(B264:G264,2)=1))</f>
        <v>0</v>
      </c>
      <c r="Q264" s="3">
        <f t="shared" si="166"/>
        <v>6</v>
      </c>
      <c r="R264" s="34"/>
      <c r="S264" s="3">
        <f t="shared" si="167"/>
        <v>0</v>
      </c>
      <c r="T264" s="3">
        <f t="shared" si="168"/>
        <v>6</v>
      </c>
      <c r="U264" s="34"/>
      <c r="V264" s="3" cm="1">
        <f t="array" ref="V264">SUMPRODUCT(--(MOD(B264:G264,10)&gt;=1), --(MOD(B264:G264,10)&lt;=5))</f>
        <v>0</v>
      </c>
      <c r="W264" s="3">
        <f t="shared" si="169"/>
        <v>6</v>
      </c>
      <c r="X264" s="34"/>
      <c r="Y264" s="3" cm="1">
        <f t="array" ref="Y264">IFERROR(COUNT(_xlfn._xlws.FILTER(B264:G264, ISNUMBER(MATCH(B264:G264, {2,3,5,7,11,13,17,19,23,29,31,37,41,43}, 0)))), 0)</f>
        <v>0</v>
      </c>
      <c r="Z264" s="3" cm="1">
        <f t="array" ref="Z264">IFERROR(COUNT(_xlfn._xlws.FILTER(B264:G264, ISNUMBER(MATCH(B264:G264, {1,4,8,10,14,16,20,22,25,26,28,32,34,35,38,40,44}, 0)))), 0)</f>
        <v>0</v>
      </c>
      <c r="AA264" s="3" cm="1">
        <f t="array" ref="AA264">IFERROR(COUNT(_xlfn._xlws.FILTER(B264:G264, ISNUMBER(MATCH(B264:G264, {6,9,12,15,18,21,24,27,30,33,36,39,42,45}, 0)))), 0)</f>
        <v>0</v>
      </c>
      <c r="AB264" s="30"/>
      <c r="AC264" s="26" cm="1">
        <f t="array" ref="AC264">_xlfn.IFS(
   OR(B264="",ISBLANK(B264),B264=0),0,
   ISNUMBER(MATCH(B264,{2,3,5,7,11,13,17,19,23,29,31,37,41,43},0)),"소",
   AND(ISNUMBER(B264),MOD(B264,3)=0),"배",
   AND(ISNUMBER(B264),B264&gt;0),"자"
)</f>
        <v>0</v>
      </c>
      <c r="AD264" s="26" cm="1">
        <f t="array" ref="AD264">_xlfn.IFS(
   OR(C264="",ISBLANK(C264),C264=0),0,
   ISNUMBER(MATCH(C264,{2,3,5,7,11,13,17,19,23,29,31,37,41,43},0)),"소",
   AND(ISNUMBER(C264),MOD(C264,3)=0),"배",
   AND(ISNUMBER(C264),C264&gt;0),"자"
)</f>
        <v>0</v>
      </c>
      <c r="AE264" s="26" cm="1">
        <f t="array" ref="AE264">_xlfn.IFS(
   OR(D264="",ISBLANK(D264),D264=0),0,
   ISNUMBER(MATCH(D264,{2,3,5,7,11,13,17,19,23,29,31,37,41,43},0)),"소",
   AND(ISNUMBER(D264),MOD(D264,3)=0),"배",
   AND(ISNUMBER(D264),D264&gt;0),"자"
)</f>
        <v>0</v>
      </c>
      <c r="AF264" s="26" cm="1">
        <f t="array" ref="AF264">_xlfn.IFS(
   OR(E264="",ISBLANK(E264),E264=0),0,
   ISNUMBER(MATCH(E264,{2,3,5,7,11,13,17,19,23,29,31,37,41,43},0)),"소",
   AND(ISNUMBER(E264),MOD(E264,3)=0),"배",
   AND(ISNUMBER(E264),E264&gt;0),"자"
)</f>
        <v>0</v>
      </c>
      <c r="AG264" s="26" cm="1">
        <f t="array" ref="AG264">_xlfn.IFS(
   OR(F264="",ISBLANK(F264),F264=0),0,
   ISNUMBER(MATCH(F264,{2,3,5,7,11,13,17,19,23,29,31,37,41,43},0)),"소",
   AND(ISNUMBER(F264),MOD(F264,3)=0),"배",
   AND(ISNUMBER(F264),F264&gt;0),"자"
)</f>
        <v>0</v>
      </c>
      <c r="AH264" s="26" cm="1">
        <f t="array" ref="AH264">_xlfn.IFS(
   OR(G264="",ISBLANK(G264),G264=0),0,
   ISNUMBER(MATCH(G264,{2,3,5,7,11,13,17,19,23,29,31,37,41,43},0)),"소",
   AND(ISNUMBER(G264),MOD(G264,3)=0),"배",
   AND(ISNUMBER(G264),G264&gt;0),"자"
)</f>
        <v>0</v>
      </c>
      <c r="AI264" s="30"/>
      <c r="AJ264" s="3">
        <f t="shared" si="170"/>
        <v>0</v>
      </c>
      <c r="AK264" s="3">
        <f t="shared" si="171"/>
        <v>0</v>
      </c>
      <c r="AL264" s="3">
        <f t="shared" si="172"/>
        <v>6</v>
      </c>
      <c r="AM264" s="33"/>
      <c r="AN264" s="3">
        <f t="shared" si="173"/>
        <v>0</v>
      </c>
      <c r="AO264" s="3">
        <f t="shared" si="174"/>
        <v>0</v>
      </c>
      <c r="AP264" s="3">
        <f t="shared" si="175"/>
        <v>0</v>
      </c>
      <c r="AQ264" s="3">
        <f t="shared" si="176"/>
        <v>0</v>
      </c>
      <c r="AR264" s="3">
        <f t="shared" si="177"/>
        <v>0</v>
      </c>
      <c r="AS264" s="28" t="e">
        <f>#REF!</f>
        <v>#REF!</v>
      </c>
      <c r="AT264" s="28" t="e">
        <f>#REF!*2</f>
        <v>#REF!</v>
      </c>
      <c r="AU264" s="28" t="e">
        <f>#REF!</f>
        <v>#REF!</v>
      </c>
      <c r="AV264" s="28" t="e">
        <f>#REF!*2</f>
        <v>#REF!</v>
      </c>
      <c r="AW264" s="28" t="e">
        <f>#REF!</f>
        <v>#REF!</v>
      </c>
      <c r="AX264" s="28" t="e">
        <f>#REF!*2</f>
        <v>#REF!</v>
      </c>
      <c r="AY264" s="28" t="e">
        <f>#REF!</f>
        <v>#REF!</v>
      </c>
      <c r="AZ264" s="28" t="e">
        <f>#REF!*2</f>
        <v>#REF!</v>
      </c>
      <c r="BA264" s="28" t="e">
        <f>#REF!</f>
        <v>#REF!</v>
      </c>
      <c r="BB264" s="28" t="e">
        <f>#REF!*2</f>
        <v>#REF!</v>
      </c>
      <c r="BC264" s="28" t="e">
        <f>#REF!</f>
        <v>#REF!</v>
      </c>
      <c r="BD264" s="28" t="e">
        <f>#REF!*2</f>
        <v>#REF!</v>
      </c>
      <c r="BE264" s="9" t="e">
        <f>#REF!-#REF!</f>
        <v>#REF!</v>
      </c>
      <c r="BF264" s="9" t="e">
        <f>#REF!-#REF!</f>
        <v>#REF!</v>
      </c>
      <c r="BG264" s="9" t="e">
        <f>#REF!-#REF!</f>
        <v>#REF!</v>
      </c>
      <c r="BH264" s="9" t="e">
        <f>#REF!-#REF!</f>
        <v>#REF!</v>
      </c>
      <c r="BI264" s="9" t="e">
        <f>#REF!-#REF!</f>
        <v>#REF!</v>
      </c>
      <c r="BJ264" s="33"/>
      <c r="BK264" s="3">
        <f t="shared" si="178"/>
        <v>0</v>
      </c>
      <c r="BL264" s="3">
        <f t="shared" si="179"/>
        <v>0</v>
      </c>
      <c r="BM264" s="3">
        <f t="shared" si="180"/>
        <v>0</v>
      </c>
      <c r="BN264" s="3">
        <f t="shared" si="181"/>
        <v>0</v>
      </c>
      <c r="BO264" s="3">
        <f t="shared" si="182"/>
        <v>0</v>
      </c>
      <c r="BP264" s="28" t="e">
        <f>#REF!</f>
        <v>#REF!</v>
      </c>
      <c r="BQ264" s="28" t="e">
        <f>#REF!*2</f>
        <v>#REF!</v>
      </c>
      <c r="BR264" s="28" t="e">
        <f>#REF!</f>
        <v>#REF!</v>
      </c>
      <c r="BS264" s="28" t="e">
        <f>#REF!*2</f>
        <v>#REF!</v>
      </c>
      <c r="BT264" s="28" t="e">
        <f>#REF!</f>
        <v>#REF!</v>
      </c>
      <c r="BU264" s="28" t="e">
        <f>#REF!*2</f>
        <v>#REF!</v>
      </c>
      <c r="BV264" s="28" t="e">
        <f>#REF!</f>
        <v>#REF!</v>
      </c>
      <c r="BW264" s="28" t="e">
        <f>#REF!*2</f>
        <v>#REF!</v>
      </c>
      <c r="BX264" s="28" t="e">
        <f>#REF!</f>
        <v>#REF!</v>
      </c>
      <c r="BY264" s="28" t="e">
        <f>#REF!*2</f>
        <v>#REF!</v>
      </c>
      <c r="BZ264" s="28" t="e">
        <f>#REF!</f>
        <v>#REF!</v>
      </c>
      <c r="CA264" s="28" t="e">
        <f>#REF!*2</f>
        <v>#REF!</v>
      </c>
      <c r="CB264" s="9">
        <f t="shared" si="183"/>
        <v>0</v>
      </c>
      <c r="CC264" s="9">
        <f t="shared" si="184"/>
        <v>0</v>
      </c>
      <c r="CD264" s="9">
        <f t="shared" si="185"/>
        <v>0</v>
      </c>
      <c r="CE264" s="9">
        <f t="shared" si="186"/>
        <v>0</v>
      </c>
      <c r="CF264" s="9">
        <f t="shared" si="187"/>
        <v>0</v>
      </c>
      <c r="CG264" s="33"/>
      <c r="CH264" s="3">
        <f t="shared" si="188"/>
        <v>0</v>
      </c>
      <c r="CI264" s="3">
        <f t="shared" si="189"/>
        <v>0</v>
      </c>
      <c r="CJ264" s="3">
        <f t="shared" si="190"/>
        <v>0</v>
      </c>
      <c r="CK264" s="3">
        <f t="shared" si="191"/>
        <v>0</v>
      </c>
      <c r="CL264" s="3">
        <f t="shared" si="192"/>
        <v>0</v>
      </c>
      <c r="CM264" s="32"/>
      <c r="CN264" s="3">
        <f t="shared" si="193"/>
        <v>0</v>
      </c>
      <c r="CO264" s="3">
        <f t="shared" si="194"/>
        <v>0</v>
      </c>
      <c r="CP264" s="3">
        <f t="shared" si="195"/>
        <v>0</v>
      </c>
      <c r="CQ264" s="3">
        <f t="shared" si="196"/>
        <v>0</v>
      </c>
      <c r="CR264" s="3">
        <f t="shared" si="197"/>
        <v>0</v>
      </c>
      <c r="CS264" s="31"/>
      <c r="CT264" s="3" cm="1">
        <f t="array" ref="CT264">SUMPRODUCT(--(MOD(CH264:CL264,2)=1))</f>
        <v>0</v>
      </c>
      <c r="CU264" s="3">
        <f t="shared" si="198"/>
        <v>5</v>
      </c>
      <c r="CV264" s="30"/>
      <c r="CW264" s="3" cm="1">
        <f t="array" ref="CW264">SUMPRODUCT(--(MOD(CH264:CL264,10)&gt;=1), --(MOD(CH264:CL264,10)&lt;=5))</f>
        <v>0</v>
      </c>
      <c r="CX264" s="3">
        <f t="shared" si="199"/>
        <v>5</v>
      </c>
      <c r="CY264" s="30"/>
      <c r="CZ264" s="3" cm="1">
        <f t="array" ref="CZ264">IFERROR(COUNT(_xlfn._xlws.FILTER(CH264:CL264, ISNUMBER(MATCH(CH264:CL264, {2,3,5,7,11,13,17,19,23,29,31,37,41,43}, 0)))), 0)</f>
        <v>0</v>
      </c>
      <c r="DA264" s="3" cm="1">
        <f t="array" ref="DA264">IFERROR(COUNT(_xlfn._xlws.FILTER(CH264:CL264, ISNUMBER(MATCH(CH264:CL264, {1,4,8,10,14,16,20,22,25,26,28,32,34,35,38,40,44}, 0)))), 0)</f>
        <v>0</v>
      </c>
      <c r="DB264" s="3" cm="1">
        <f t="array" ref="DB264">IFERROR(COUNT(_xlfn._xlws.FILTER(CH264:CL264, ISNUMBER(MATCH(CH264:CL264, {6,9,12,15,18,21,24,27,30,33,36,39,42,45}, 0)))), 0)</f>
        <v>0</v>
      </c>
      <c r="DC264" s="29"/>
      <c r="DD264" s="28" t="e">
        <f>#REF!</f>
        <v>#REF!</v>
      </c>
      <c r="DE264" s="28" t="e">
        <f>#REF!*2</f>
        <v>#REF!</v>
      </c>
      <c r="DF264" s="28" t="e">
        <f>#REF!</f>
        <v>#REF!</v>
      </c>
      <c r="DG264" s="28" t="e">
        <f>#REF!*2</f>
        <v>#REF!</v>
      </c>
      <c r="DH264" s="28" t="e">
        <f>#REF!</f>
        <v>#REF!</v>
      </c>
      <c r="DI264" s="28" t="e">
        <f>#REF!*2</f>
        <v>#REF!</v>
      </c>
      <c r="DJ264" s="28" t="e">
        <f>#REF!</f>
        <v>#REF!</v>
      </c>
      <c r="DK264" s="28" t="e">
        <f>#REF!*2</f>
        <v>#REF!</v>
      </c>
      <c r="DL264" s="28" t="e">
        <f>#REF!</f>
        <v>#REF!</v>
      </c>
      <c r="DM264" s="28" t="e">
        <f>#REF!*2</f>
        <v>#REF!</v>
      </c>
      <c r="DN264" s="27"/>
      <c r="DO264" s="26"/>
      <c r="DP264" s="26"/>
      <c r="DQ264" s="26"/>
      <c r="DR264" s="26"/>
      <c r="DS264" s="26"/>
      <c r="DT264" s="25"/>
    </row>
    <row r="265" spans="2:124" x14ac:dyDescent="0.3"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2"/>
      <c r="I265" s="3">
        <f t="shared" si="160"/>
        <v>0</v>
      </c>
      <c r="J265" s="3">
        <f t="shared" si="161"/>
        <v>0</v>
      </c>
      <c r="K265" s="3">
        <f t="shared" si="162"/>
        <v>0</v>
      </c>
      <c r="L265" s="3">
        <f t="shared" si="163"/>
        <v>0</v>
      </c>
      <c r="M265" s="3">
        <f t="shared" si="164"/>
        <v>0</v>
      </c>
      <c r="N265" s="3">
        <f t="shared" si="165"/>
        <v>0</v>
      </c>
      <c r="O265" s="32"/>
      <c r="P265" s="3" cm="1">
        <f t="array" ref="P265">SUMPRODUCT(--(MOD(B265:G265,2)=1))</f>
        <v>0</v>
      </c>
      <c r="Q265" s="3">
        <f t="shared" si="166"/>
        <v>6</v>
      </c>
      <c r="R265" s="34"/>
      <c r="S265" s="3">
        <f t="shared" si="167"/>
        <v>0</v>
      </c>
      <c r="T265" s="3">
        <f t="shared" si="168"/>
        <v>6</v>
      </c>
      <c r="U265" s="34"/>
      <c r="V265" s="3" cm="1">
        <f t="array" ref="V265">SUMPRODUCT(--(MOD(B265:G265,10)&gt;=1), --(MOD(B265:G265,10)&lt;=5))</f>
        <v>0</v>
      </c>
      <c r="W265" s="3">
        <f t="shared" si="169"/>
        <v>6</v>
      </c>
      <c r="X265" s="34"/>
      <c r="Y265" s="3" cm="1">
        <f t="array" ref="Y265">IFERROR(COUNT(_xlfn._xlws.FILTER(B265:G265, ISNUMBER(MATCH(B265:G265, {2,3,5,7,11,13,17,19,23,29,31,37,41,43}, 0)))), 0)</f>
        <v>0</v>
      </c>
      <c r="Z265" s="3" cm="1">
        <f t="array" ref="Z265">IFERROR(COUNT(_xlfn._xlws.FILTER(B265:G265, ISNUMBER(MATCH(B265:G265, {1,4,8,10,14,16,20,22,25,26,28,32,34,35,38,40,44}, 0)))), 0)</f>
        <v>0</v>
      </c>
      <c r="AA265" s="3" cm="1">
        <f t="array" ref="AA265">IFERROR(COUNT(_xlfn._xlws.FILTER(B265:G265, ISNUMBER(MATCH(B265:G265, {6,9,12,15,18,21,24,27,30,33,36,39,42,45}, 0)))), 0)</f>
        <v>0</v>
      </c>
      <c r="AB265" s="30"/>
      <c r="AC265" s="26" cm="1">
        <f t="array" ref="AC265">_xlfn.IFS(
   OR(B265="",ISBLANK(B265),B265=0),0,
   ISNUMBER(MATCH(B265,{2,3,5,7,11,13,17,19,23,29,31,37,41,43},0)),"소",
   AND(ISNUMBER(B265),MOD(B265,3)=0),"배",
   AND(ISNUMBER(B265),B265&gt;0),"자"
)</f>
        <v>0</v>
      </c>
      <c r="AD265" s="26" cm="1">
        <f t="array" ref="AD265">_xlfn.IFS(
   OR(C265="",ISBLANK(C265),C265=0),0,
   ISNUMBER(MATCH(C265,{2,3,5,7,11,13,17,19,23,29,31,37,41,43},0)),"소",
   AND(ISNUMBER(C265),MOD(C265,3)=0),"배",
   AND(ISNUMBER(C265),C265&gt;0),"자"
)</f>
        <v>0</v>
      </c>
      <c r="AE265" s="26" cm="1">
        <f t="array" ref="AE265">_xlfn.IFS(
   OR(D265="",ISBLANK(D265),D265=0),0,
   ISNUMBER(MATCH(D265,{2,3,5,7,11,13,17,19,23,29,31,37,41,43},0)),"소",
   AND(ISNUMBER(D265),MOD(D265,3)=0),"배",
   AND(ISNUMBER(D265),D265&gt;0),"자"
)</f>
        <v>0</v>
      </c>
      <c r="AF265" s="26" cm="1">
        <f t="array" ref="AF265">_xlfn.IFS(
   OR(E265="",ISBLANK(E265),E265=0),0,
   ISNUMBER(MATCH(E265,{2,3,5,7,11,13,17,19,23,29,31,37,41,43},0)),"소",
   AND(ISNUMBER(E265),MOD(E265,3)=0),"배",
   AND(ISNUMBER(E265),E265&gt;0),"자"
)</f>
        <v>0</v>
      </c>
      <c r="AG265" s="26" cm="1">
        <f t="array" ref="AG265">_xlfn.IFS(
   OR(F265="",ISBLANK(F265),F265=0),0,
   ISNUMBER(MATCH(F265,{2,3,5,7,11,13,17,19,23,29,31,37,41,43},0)),"소",
   AND(ISNUMBER(F265),MOD(F265,3)=0),"배",
   AND(ISNUMBER(F265),F265&gt;0),"자"
)</f>
        <v>0</v>
      </c>
      <c r="AH265" s="26" cm="1">
        <f t="array" ref="AH265">_xlfn.IFS(
   OR(G265="",ISBLANK(G265),G265=0),0,
   ISNUMBER(MATCH(G265,{2,3,5,7,11,13,17,19,23,29,31,37,41,43},0)),"소",
   AND(ISNUMBER(G265),MOD(G265,3)=0),"배",
   AND(ISNUMBER(G265),G265&gt;0),"자"
)</f>
        <v>0</v>
      </c>
      <c r="AI265" s="30"/>
      <c r="AJ265" s="3">
        <f t="shared" si="170"/>
        <v>0</v>
      </c>
      <c r="AK265" s="3">
        <f t="shared" si="171"/>
        <v>0</v>
      </c>
      <c r="AL265" s="3">
        <f t="shared" si="172"/>
        <v>6</v>
      </c>
      <c r="AM265" s="33"/>
      <c r="AN265" s="3">
        <f t="shared" si="173"/>
        <v>0</v>
      </c>
      <c r="AO265" s="3">
        <f t="shared" si="174"/>
        <v>0</v>
      </c>
      <c r="AP265" s="3">
        <f t="shared" si="175"/>
        <v>0</v>
      </c>
      <c r="AQ265" s="3">
        <f t="shared" si="176"/>
        <v>0</v>
      </c>
      <c r="AR265" s="3">
        <f t="shared" si="177"/>
        <v>0</v>
      </c>
      <c r="AS265" s="28" t="e">
        <f>#REF!</f>
        <v>#REF!</v>
      </c>
      <c r="AT265" s="28" t="e">
        <f>#REF!*2</f>
        <v>#REF!</v>
      </c>
      <c r="AU265" s="28" t="e">
        <f>#REF!</f>
        <v>#REF!</v>
      </c>
      <c r="AV265" s="28" t="e">
        <f>#REF!*2</f>
        <v>#REF!</v>
      </c>
      <c r="AW265" s="28" t="e">
        <f>#REF!</f>
        <v>#REF!</v>
      </c>
      <c r="AX265" s="28" t="e">
        <f>#REF!*2</f>
        <v>#REF!</v>
      </c>
      <c r="AY265" s="28" t="e">
        <f>#REF!</f>
        <v>#REF!</v>
      </c>
      <c r="AZ265" s="28" t="e">
        <f>#REF!*2</f>
        <v>#REF!</v>
      </c>
      <c r="BA265" s="28" t="e">
        <f>#REF!</f>
        <v>#REF!</v>
      </c>
      <c r="BB265" s="28" t="e">
        <f>#REF!*2</f>
        <v>#REF!</v>
      </c>
      <c r="BC265" s="28" t="e">
        <f>#REF!</f>
        <v>#REF!</v>
      </c>
      <c r="BD265" s="28" t="e">
        <f>#REF!*2</f>
        <v>#REF!</v>
      </c>
      <c r="BE265" s="9" t="e">
        <f>#REF!-#REF!</f>
        <v>#REF!</v>
      </c>
      <c r="BF265" s="9" t="e">
        <f>#REF!-#REF!</f>
        <v>#REF!</v>
      </c>
      <c r="BG265" s="9" t="e">
        <f>#REF!-#REF!</f>
        <v>#REF!</v>
      </c>
      <c r="BH265" s="9" t="e">
        <f>#REF!-#REF!</f>
        <v>#REF!</v>
      </c>
      <c r="BI265" s="9" t="e">
        <f>#REF!-#REF!</f>
        <v>#REF!</v>
      </c>
      <c r="BJ265" s="33"/>
      <c r="BK265" s="3">
        <f t="shared" si="178"/>
        <v>0</v>
      </c>
      <c r="BL265" s="3">
        <f t="shared" si="179"/>
        <v>0</v>
      </c>
      <c r="BM265" s="3">
        <f t="shared" si="180"/>
        <v>0</v>
      </c>
      <c r="BN265" s="3">
        <f t="shared" si="181"/>
        <v>0</v>
      </c>
      <c r="BO265" s="3">
        <f t="shared" si="182"/>
        <v>0</v>
      </c>
      <c r="BP265" s="28" t="e">
        <f>#REF!</f>
        <v>#REF!</v>
      </c>
      <c r="BQ265" s="28" t="e">
        <f>#REF!*2</f>
        <v>#REF!</v>
      </c>
      <c r="BR265" s="28" t="e">
        <f>#REF!</f>
        <v>#REF!</v>
      </c>
      <c r="BS265" s="28" t="e">
        <f>#REF!*2</f>
        <v>#REF!</v>
      </c>
      <c r="BT265" s="28" t="e">
        <f>#REF!</f>
        <v>#REF!</v>
      </c>
      <c r="BU265" s="28" t="e">
        <f>#REF!*2</f>
        <v>#REF!</v>
      </c>
      <c r="BV265" s="28" t="e">
        <f>#REF!</f>
        <v>#REF!</v>
      </c>
      <c r="BW265" s="28" t="e">
        <f>#REF!*2</f>
        <v>#REF!</v>
      </c>
      <c r="BX265" s="28" t="e">
        <f>#REF!</f>
        <v>#REF!</v>
      </c>
      <c r="BY265" s="28" t="e">
        <f>#REF!*2</f>
        <v>#REF!</v>
      </c>
      <c r="BZ265" s="28" t="e">
        <f>#REF!</f>
        <v>#REF!</v>
      </c>
      <c r="CA265" s="28" t="e">
        <f>#REF!*2</f>
        <v>#REF!</v>
      </c>
      <c r="CB265" s="9">
        <f t="shared" si="183"/>
        <v>0</v>
      </c>
      <c r="CC265" s="9">
        <f t="shared" si="184"/>
        <v>0</v>
      </c>
      <c r="CD265" s="9">
        <f t="shared" si="185"/>
        <v>0</v>
      </c>
      <c r="CE265" s="9">
        <f t="shared" si="186"/>
        <v>0</v>
      </c>
      <c r="CF265" s="9">
        <f t="shared" si="187"/>
        <v>0</v>
      </c>
      <c r="CG265" s="33"/>
      <c r="CH265" s="3">
        <f t="shared" si="188"/>
        <v>0</v>
      </c>
      <c r="CI265" s="3">
        <f t="shared" si="189"/>
        <v>0</v>
      </c>
      <c r="CJ265" s="3">
        <f t="shared" si="190"/>
        <v>0</v>
      </c>
      <c r="CK265" s="3">
        <f t="shared" si="191"/>
        <v>0</v>
      </c>
      <c r="CL265" s="3">
        <f t="shared" si="192"/>
        <v>0</v>
      </c>
      <c r="CM265" s="32"/>
      <c r="CN265" s="3">
        <f t="shared" si="193"/>
        <v>0</v>
      </c>
      <c r="CO265" s="3">
        <f t="shared" si="194"/>
        <v>0</v>
      </c>
      <c r="CP265" s="3">
        <f t="shared" si="195"/>
        <v>0</v>
      </c>
      <c r="CQ265" s="3">
        <f t="shared" si="196"/>
        <v>0</v>
      </c>
      <c r="CR265" s="3">
        <f t="shared" si="197"/>
        <v>0</v>
      </c>
      <c r="CS265" s="31"/>
      <c r="CT265" s="3" cm="1">
        <f t="array" ref="CT265">SUMPRODUCT(--(MOD(CH265:CL265,2)=1))</f>
        <v>0</v>
      </c>
      <c r="CU265" s="3">
        <f t="shared" si="198"/>
        <v>5</v>
      </c>
      <c r="CV265" s="30"/>
      <c r="CW265" s="3" cm="1">
        <f t="array" ref="CW265">SUMPRODUCT(--(MOD(CH265:CL265,10)&gt;=1), --(MOD(CH265:CL265,10)&lt;=5))</f>
        <v>0</v>
      </c>
      <c r="CX265" s="3">
        <f t="shared" si="199"/>
        <v>5</v>
      </c>
      <c r="CY265" s="30"/>
      <c r="CZ265" s="3" cm="1">
        <f t="array" ref="CZ265">IFERROR(COUNT(_xlfn._xlws.FILTER(CH265:CL265, ISNUMBER(MATCH(CH265:CL265, {2,3,5,7,11,13,17,19,23,29,31,37,41,43}, 0)))), 0)</f>
        <v>0</v>
      </c>
      <c r="DA265" s="3" cm="1">
        <f t="array" ref="DA265">IFERROR(COUNT(_xlfn._xlws.FILTER(CH265:CL265, ISNUMBER(MATCH(CH265:CL265, {1,4,8,10,14,16,20,22,25,26,28,32,34,35,38,40,44}, 0)))), 0)</f>
        <v>0</v>
      </c>
      <c r="DB265" s="3" cm="1">
        <f t="array" ref="DB265">IFERROR(COUNT(_xlfn._xlws.FILTER(CH265:CL265, ISNUMBER(MATCH(CH265:CL265, {6,9,12,15,18,21,24,27,30,33,36,39,42,45}, 0)))), 0)</f>
        <v>0</v>
      </c>
      <c r="DC265" s="29"/>
      <c r="DD265" s="28" t="e">
        <f>#REF!</f>
        <v>#REF!</v>
      </c>
      <c r="DE265" s="28" t="e">
        <f>#REF!*2</f>
        <v>#REF!</v>
      </c>
      <c r="DF265" s="28" t="e">
        <f>#REF!</f>
        <v>#REF!</v>
      </c>
      <c r="DG265" s="28" t="e">
        <f>#REF!*2</f>
        <v>#REF!</v>
      </c>
      <c r="DH265" s="28" t="e">
        <f>#REF!</f>
        <v>#REF!</v>
      </c>
      <c r="DI265" s="28" t="e">
        <f>#REF!*2</f>
        <v>#REF!</v>
      </c>
      <c r="DJ265" s="28" t="e">
        <f>#REF!</f>
        <v>#REF!</v>
      </c>
      <c r="DK265" s="28" t="e">
        <f>#REF!*2</f>
        <v>#REF!</v>
      </c>
      <c r="DL265" s="28" t="e">
        <f>#REF!</f>
        <v>#REF!</v>
      </c>
      <c r="DM265" s="28" t="e">
        <f>#REF!*2</f>
        <v>#REF!</v>
      </c>
      <c r="DN265" s="27"/>
      <c r="DO265" s="26"/>
      <c r="DP265" s="26"/>
      <c r="DQ265" s="26"/>
      <c r="DR265" s="26"/>
      <c r="DS265" s="26"/>
      <c r="DT265" s="25"/>
    </row>
    <row r="266" spans="2:124" x14ac:dyDescent="0.3"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2"/>
      <c r="I266" s="3">
        <f t="shared" si="160"/>
        <v>0</v>
      </c>
      <c r="J266" s="3">
        <f t="shared" si="161"/>
        <v>0</v>
      </c>
      <c r="K266" s="3">
        <f t="shared" si="162"/>
        <v>0</v>
      </c>
      <c r="L266" s="3">
        <f t="shared" si="163"/>
        <v>0</v>
      </c>
      <c r="M266" s="3">
        <f t="shared" si="164"/>
        <v>0</v>
      </c>
      <c r="N266" s="3">
        <f t="shared" si="165"/>
        <v>0</v>
      </c>
      <c r="O266" s="32"/>
      <c r="P266" s="3" cm="1">
        <f t="array" ref="P266">SUMPRODUCT(--(MOD(B266:G266,2)=1))</f>
        <v>0</v>
      </c>
      <c r="Q266" s="3">
        <f t="shared" si="166"/>
        <v>6</v>
      </c>
      <c r="R266" s="34"/>
      <c r="S266" s="3">
        <f t="shared" si="167"/>
        <v>0</v>
      </c>
      <c r="T266" s="3">
        <f t="shared" si="168"/>
        <v>6</v>
      </c>
      <c r="U266" s="34"/>
      <c r="V266" s="3" cm="1">
        <f t="array" ref="V266">SUMPRODUCT(--(MOD(B266:G266,10)&gt;=1), --(MOD(B266:G266,10)&lt;=5))</f>
        <v>0</v>
      </c>
      <c r="W266" s="3">
        <f t="shared" si="169"/>
        <v>6</v>
      </c>
      <c r="X266" s="34"/>
      <c r="Y266" s="3" cm="1">
        <f t="array" ref="Y266">IFERROR(COUNT(_xlfn._xlws.FILTER(B266:G266, ISNUMBER(MATCH(B266:G266, {2,3,5,7,11,13,17,19,23,29,31,37,41,43}, 0)))), 0)</f>
        <v>0</v>
      </c>
      <c r="Z266" s="3" cm="1">
        <f t="array" ref="Z266">IFERROR(COUNT(_xlfn._xlws.FILTER(B266:G266, ISNUMBER(MATCH(B266:G266, {1,4,8,10,14,16,20,22,25,26,28,32,34,35,38,40,44}, 0)))), 0)</f>
        <v>0</v>
      </c>
      <c r="AA266" s="3" cm="1">
        <f t="array" ref="AA266">IFERROR(COUNT(_xlfn._xlws.FILTER(B266:G266, ISNUMBER(MATCH(B266:G266, {6,9,12,15,18,21,24,27,30,33,36,39,42,45}, 0)))), 0)</f>
        <v>0</v>
      </c>
      <c r="AB266" s="30"/>
      <c r="AC266" s="26" cm="1">
        <f t="array" ref="AC266">_xlfn.IFS(
   OR(B266="",ISBLANK(B266),B266=0),0,
   ISNUMBER(MATCH(B266,{2,3,5,7,11,13,17,19,23,29,31,37,41,43},0)),"소",
   AND(ISNUMBER(B266),MOD(B266,3)=0),"배",
   AND(ISNUMBER(B266),B266&gt;0),"자"
)</f>
        <v>0</v>
      </c>
      <c r="AD266" s="26" cm="1">
        <f t="array" ref="AD266">_xlfn.IFS(
   OR(C266="",ISBLANK(C266),C266=0),0,
   ISNUMBER(MATCH(C266,{2,3,5,7,11,13,17,19,23,29,31,37,41,43},0)),"소",
   AND(ISNUMBER(C266),MOD(C266,3)=0),"배",
   AND(ISNUMBER(C266),C266&gt;0),"자"
)</f>
        <v>0</v>
      </c>
      <c r="AE266" s="26" cm="1">
        <f t="array" ref="AE266">_xlfn.IFS(
   OR(D266="",ISBLANK(D266),D266=0),0,
   ISNUMBER(MATCH(D266,{2,3,5,7,11,13,17,19,23,29,31,37,41,43},0)),"소",
   AND(ISNUMBER(D266),MOD(D266,3)=0),"배",
   AND(ISNUMBER(D266),D266&gt;0),"자"
)</f>
        <v>0</v>
      </c>
      <c r="AF266" s="26" cm="1">
        <f t="array" ref="AF266">_xlfn.IFS(
   OR(E266="",ISBLANK(E266),E266=0),0,
   ISNUMBER(MATCH(E266,{2,3,5,7,11,13,17,19,23,29,31,37,41,43},0)),"소",
   AND(ISNUMBER(E266),MOD(E266,3)=0),"배",
   AND(ISNUMBER(E266),E266&gt;0),"자"
)</f>
        <v>0</v>
      </c>
      <c r="AG266" s="26" cm="1">
        <f t="array" ref="AG266">_xlfn.IFS(
   OR(F266="",ISBLANK(F266),F266=0),0,
   ISNUMBER(MATCH(F266,{2,3,5,7,11,13,17,19,23,29,31,37,41,43},0)),"소",
   AND(ISNUMBER(F266),MOD(F266,3)=0),"배",
   AND(ISNUMBER(F266),F266&gt;0),"자"
)</f>
        <v>0</v>
      </c>
      <c r="AH266" s="26" cm="1">
        <f t="array" ref="AH266">_xlfn.IFS(
   OR(G266="",ISBLANK(G266),G266=0),0,
   ISNUMBER(MATCH(G266,{2,3,5,7,11,13,17,19,23,29,31,37,41,43},0)),"소",
   AND(ISNUMBER(G266),MOD(G266,3)=0),"배",
   AND(ISNUMBER(G266),G266&gt;0),"자"
)</f>
        <v>0</v>
      </c>
      <c r="AI266" s="30"/>
      <c r="AJ266" s="3">
        <f t="shared" si="170"/>
        <v>0</v>
      </c>
      <c r="AK266" s="3">
        <f t="shared" si="171"/>
        <v>0</v>
      </c>
      <c r="AL266" s="3">
        <f t="shared" si="172"/>
        <v>6</v>
      </c>
      <c r="AM266" s="33"/>
      <c r="AN266" s="3">
        <f t="shared" si="173"/>
        <v>0</v>
      </c>
      <c r="AO266" s="3">
        <f t="shared" si="174"/>
        <v>0</v>
      </c>
      <c r="AP266" s="3">
        <f t="shared" si="175"/>
        <v>0</v>
      </c>
      <c r="AQ266" s="3">
        <f t="shared" si="176"/>
        <v>0</v>
      </c>
      <c r="AR266" s="3">
        <f t="shared" si="177"/>
        <v>0</v>
      </c>
      <c r="AS266" s="28" t="e">
        <f>#REF!</f>
        <v>#REF!</v>
      </c>
      <c r="AT266" s="28" t="e">
        <f>#REF!*2</f>
        <v>#REF!</v>
      </c>
      <c r="AU266" s="28" t="e">
        <f>#REF!</f>
        <v>#REF!</v>
      </c>
      <c r="AV266" s="28" t="e">
        <f>#REF!*2</f>
        <v>#REF!</v>
      </c>
      <c r="AW266" s="28" t="e">
        <f>#REF!</f>
        <v>#REF!</v>
      </c>
      <c r="AX266" s="28" t="e">
        <f>#REF!*2</f>
        <v>#REF!</v>
      </c>
      <c r="AY266" s="28" t="e">
        <f>#REF!</f>
        <v>#REF!</v>
      </c>
      <c r="AZ266" s="28" t="e">
        <f>#REF!*2</f>
        <v>#REF!</v>
      </c>
      <c r="BA266" s="28" t="e">
        <f>#REF!</f>
        <v>#REF!</v>
      </c>
      <c r="BB266" s="28" t="e">
        <f>#REF!*2</f>
        <v>#REF!</v>
      </c>
      <c r="BC266" s="28" t="e">
        <f>#REF!</f>
        <v>#REF!</v>
      </c>
      <c r="BD266" s="28" t="e">
        <f>#REF!*2</f>
        <v>#REF!</v>
      </c>
      <c r="BE266" s="9" t="e">
        <f>#REF!-#REF!</f>
        <v>#REF!</v>
      </c>
      <c r="BF266" s="9" t="e">
        <f>#REF!-#REF!</f>
        <v>#REF!</v>
      </c>
      <c r="BG266" s="9" t="e">
        <f>#REF!-#REF!</f>
        <v>#REF!</v>
      </c>
      <c r="BH266" s="9" t="e">
        <f>#REF!-#REF!</f>
        <v>#REF!</v>
      </c>
      <c r="BI266" s="9" t="e">
        <f>#REF!-#REF!</f>
        <v>#REF!</v>
      </c>
      <c r="BJ266" s="33"/>
      <c r="BK266" s="3">
        <f t="shared" si="178"/>
        <v>0</v>
      </c>
      <c r="BL266" s="3">
        <f t="shared" si="179"/>
        <v>0</v>
      </c>
      <c r="BM266" s="3">
        <f t="shared" si="180"/>
        <v>0</v>
      </c>
      <c r="BN266" s="3">
        <f t="shared" si="181"/>
        <v>0</v>
      </c>
      <c r="BO266" s="3">
        <f t="shared" si="182"/>
        <v>0</v>
      </c>
      <c r="BP266" s="28" t="e">
        <f>#REF!</f>
        <v>#REF!</v>
      </c>
      <c r="BQ266" s="28" t="e">
        <f>#REF!*2</f>
        <v>#REF!</v>
      </c>
      <c r="BR266" s="28" t="e">
        <f>#REF!</f>
        <v>#REF!</v>
      </c>
      <c r="BS266" s="28" t="e">
        <f>#REF!*2</f>
        <v>#REF!</v>
      </c>
      <c r="BT266" s="28" t="e">
        <f>#REF!</f>
        <v>#REF!</v>
      </c>
      <c r="BU266" s="28" t="e">
        <f>#REF!*2</f>
        <v>#REF!</v>
      </c>
      <c r="BV266" s="28" t="e">
        <f>#REF!</f>
        <v>#REF!</v>
      </c>
      <c r="BW266" s="28" t="e">
        <f>#REF!*2</f>
        <v>#REF!</v>
      </c>
      <c r="BX266" s="28" t="e">
        <f>#REF!</f>
        <v>#REF!</v>
      </c>
      <c r="BY266" s="28" t="e">
        <f>#REF!*2</f>
        <v>#REF!</v>
      </c>
      <c r="BZ266" s="28" t="e">
        <f>#REF!</f>
        <v>#REF!</v>
      </c>
      <c r="CA266" s="28" t="e">
        <f>#REF!*2</f>
        <v>#REF!</v>
      </c>
      <c r="CB266" s="9">
        <f t="shared" si="183"/>
        <v>0</v>
      </c>
      <c r="CC266" s="9">
        <f t="shared" si="184"/>
        <v>0</v>
      </c>
      <c r="CD266" s="9">
        <f t="shared" si="185"/>
        <v>0</v>
      </c>
      <c r="CE266" s="9">
        <f t="shared" si="186"/>
        <v>0</v>
      </c>
      <c r="CF266" s="9">
        <f t="shared" si="187"/>
        <v>0</v>
      </c>
      <c r="CG266" s="33"/>
      <c r="CH266" s="3">
        <f t="shared" si="188"/>
        <v>0</v>
      </c>
      <c r="CI266" s="3">
        <f t="shared" si="189"/>
        <v>0</v>
      </c>
      <c r="CJ266" s="3">
        <f t="shared" si="190"/>
        <v>0</v>
      </c>
      <c r="CK266" s="3">
        <f t="shared" si="191"/>
        <v>0</v>
      </c>
      <c r="CL266" s="3">
        <f t="shared" si="192"/>
        <v>0</v>
      </c>
      <c r="CM266" s="32"/>
      <c r="CN266" s="3">
        <f t="shared" si="193"/>
        <v>0</v>
      </c>
      <c r="CO266" s="3">
        <f t="shared" si="194"/>
        <v>0</v>
      </c>
      <c r="CP266" s="3">
        <f t="shared" si="195"/>
        <v>0</v>
      </c>
      <c r="CQ266" s="3">
        <f t="shared" si="196"/>
        <v>0</v>
      </c>
      <c r="CR266" s="3">
        <f t="shared" si="197"/>
        <v>0</v>
      </c>
      <c r="CS266" s="31"/>
      <c r="CT266" s="3" cm="1">
        <f t="array" ref="CT266">SUMPRODUCT(--(MOD(CH266:CL266,2)=1))</f>
        <v>0</v>
      </c>
      <c r="CU266" s="3">
        <f t="shared" si="198"/>
        <v>5</v>
      </c>
      <c r="CV266" s="30"/>
      <c r="CW266" s="3" cm="1">
        <f t="array" ref="CW266">SUMPRODUCT(--(MOD(CH266:CL266,10)&gt;=1), --(MOD(CH266:CL266,10)&lt;=5))</f>
        <v>0</v>
      </c>
      <c r="CX266" s="3">
        <f t="shared" si="199"/>
        <v>5</v>
      </c>
      <c r="CY266" s="30"/>
      <c r="CZ266" s="3" cm="1">
        <f t="array" ref="CZ266">IFERROR(COUNT(_xlfn._xlws.FILTER(CH266:CL266, ISNUMBER(MATCH(CH266:CL266, {2,3,5,7,11,13,17,19,23,29,31,37,41,43}, 0)))), 0)</f>
        <v>0</v>
      </c>
      <c r="DA266" s="3" cm="1">
        <f t="array" ref="DA266">IFERROR(COUNT(_xlfn._xlws.FILTER(CH266:CL266, ISNUMBER(MATCH(CH266:CL266, {1,4,8,10,14,16,20,22,25,26,28,32,34,35,38,40,44}, 0)))), 0)</f>
        <v>0</v>
      </c>
      <c r="DB266" s="3" cm="1">
        <f t="array" ref="DB266">IFERROR(COUNT(_xlfn._xlws.FILTER(CH266:CL266, ISNUMBER(MATCH(CH266:CL266, {6,9,12,15,18,21,24,27,30,33,36,39,42,45}, 0)))), 0)</f>
        <v>0</v>
      </c>
      <c r="DC266" s="29"/>
      <c r="DD266" s="28" t="e">
        <f>#REF!</f>
        <v>#REF!</v>
      </c>
      <c r="DE266" s="28" t="e">
        <f>#REF!*2</f>
        <v>#REF!</v>
      </c>
      <c r="DF266" s="28" t="e">
        <f>#REF!</f>
        <v>#REF!</v>
      </c>
      <c r="DG266" s="28" t="e">
        <f>#REF!*2</f>
        <v>#REF!</v>
      </c>
      <c r="DH266" s="28" t="e">
        <f>#REF!</f>
        <v>#REF!</v>
      </c>
      <c r="DI266" s="28" t="e">
        <f>#REF!*2</f>
        <v>#REF!</v>
      </c>
      <c r="DJ266" s="28" t="e">
        <f>#REF!</f>
        <v>#REF!</v>
      </c>
      <c r="DK266" s="28" t="e">
        <f>#REF!*2</f>
        <v>#REF!</v>
      </c>
      <c r="DL266" s="28" t="e">
        <f>#REF!</f>
        <v>#REF!</v>
      </c>
      <c r="DM266" s="28" t="e">
        <f>#REF!*2</f>
        <v>#REF!</v>
      </c>
      <c r="DN266" s="27"/>
      <c r="DO266" s="26"/>
      <c r="DP266" s="26"/>
      <c r="DQ266" s="26"/>
      <c r="DR266" s="26"/>
      <c r="DS266" s="26"/>
      <c r="DT266" s="25"/>
    </row>
    <row r="267" spans="2:124" x14ac:dyDescent="0.3"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2"/>
      <c r="I267" s="3">
        <f t="shared" si="160"/>
        <v>0</v>
      </c>
      <c r="J267" s="3">
        <f t="shared" si="161"/>
        <v>0</v>
      </c>
      <c r="K267" s="3">
        <f t="shared" si="162"/>
        <v>0</v>
      </c>
      <c r="L267" s="3">
        <f t="shared" si="163"/>
        <v>0</v>
      </c>
      <c r="M267" s="3">
        <f t="shared" si="164"/>
        <v>0</v>
      </c>
      <c r="N267" s="3">
        <f t="shared" si="165"/>
        <v>0</v>
      </c>
      <c r="O267" s="32"/>
      <c r="P267" s="3" cm="1">
        <f t="array" ref="P267">SUMPRODUCT(--(MOD(B267:G267,2)=1))</f>
        <v>0</v>
      </c>
      <c r="Q267" s="3">
        <f t="shared" si="166"/>
        <v>6</v>
      </c>
      <c r="R267" s="34"/>
      <c r="S267" s="3">
        <f t="shared" si="167"/>
        <v>0</v>
      </c>
      <c r="T267" s="3">
        <f t="shared" si="168"/>
        <v>6</v>
      </c>
      <c r="U267" s="34"/>
      <c r="V267" s="3" cm="1">
        <f t="array" ref="V267">SUMPRODUCT(--(MOD(B267:G267,10)&gt;=1), --(MOD(B267:G267,10)&lt;=5))</f>
        <v>0</v>
      </c>
      <c r="W267" s="3">
        <f t="shared" si="169"/>
        <v>6</v>
      </c>
      <c r="X267" s="34"/>
      <c r="Y267" s="3" cm="1">
        <f t="array" ref="Y267">IFERROR(COUNT(_xlfn._xlws.FILTER(B267:G267, ISNUMBER(MATCH(B267:G267, {2,3,5,7,11,13,17,19,23,29,31,37,41,43}, 0)))), 0)</f>
        <v>0</v>
      </c>
      <c r="Z267" s="3" cm="1">
        <f t="array" ref="Z267">IFERROR(COUNT(_xlfn._xlws.FILTER(B267:G267, ISNUMBER(MATCH(B267:G267, {1,4,8,10,14,16,20,22,25,26,28,32,34,35,38,40,44}, 0)))), 0)</f>
        <v>0</v>
      </c>
      <c r="AA267" s="3" cm="1">
        <f t="array" ref="AA267">IFERROR(COUNT(_xlfn._xlws.FILTER(B267:G267, ISNUMBER(MATCH(B267:G267, {6,9,12,15,18,21,24,27,30,33,36,39,42,45}, 0)))), 0)</f>
        <v>0</v>
      </c>
      <c r="AB267" s="30"/>
      <c r="AC267" s="26" cm="1">
        <f t="array" ref="AC267">_xlfn.IFS(
   OR(B267="",ISBLANK(B267),B267=0),0,
   ISNUMBER(MATCH(B267,{2,3,5,7,11,13,17,19,23,29,31,37,41,43},0)),"소",
   AND(ISNUMBER(B267),MOD(B267,3)=0),"배",
   AND(ISNUMBER(B267),B267&gt;0),"자"
)</f>
        <v>0</v>
      </c>
      <c r="AD267" s="26" cm="1">
        <f t="array" ref="AD267">_xlfn.IFS(
   OR(C267="",ISBLANK(C267),C267=0),0,
   ISNUMBER(MATCH(C267,{2,3,5,7,11,13,17,19,23,29,31,37,41,43},0)),"소",
   AND(ISNUMBER(C267),MOD(C267,3)=0),"배",
   AND(ISNUMBER(C267),C267&gt;0),"자"
)</f>
        <v>0</v>
      </c>
      <c r="AE267" s="26" cm="1">
        <f t="array" ref="AE267">_xlfn.IFS(
   OR(D267="",ISBLANK(D267),D267=0),0,
   ISNUMBER(MATCH(D267,{2,3,5,7,11,13,17,19,23,29,31,37,41,43},0)),"소",
   AND(ISNUMBER(D267),MOD(D267,3)=0),"배",
   AND(ISNUMBER(D267),D267&gt;0),"자"
)</f>
        <v>0</v>
      </c>
      <c r="AF267" s="26" cm="1">
        <f t="array" ref="AF267">_xlfn.IFS(
   OR(E267="",ISBLANK(E267),E267=0),0,
   ISNUMBER(MATCH(E267,{2,3,5,7,11,13,17,19,23,29,31,37,41,43},0)),"소",
   AND(ISNUMBER(E267),MOD(E267,3)=0),"배",
   AND(ISNUMBER(E267),E267&gt;0),"자"
)</f>
        <v>0</v>
      </c>
      <c r="AG267" s="26" cm="1">
        <f t="array" ref="AG267">_xlfn.IFS(
   OR(F267="",ISBLANK(F267),F267=0),0,
   ISNUMBER(MATCH(F267,{2,3,5,7,11,13,17,19,23,29,31,37,41,43},0)),"소",
   AND(ISNUMBER(F267),MOD(F267,3)=0),"배",
   AND(ISNUMBER(F267),F267&gt;0),"자"
)</f>
        <v>0</v>
      </c>
      <c r="AH267" s="26" cm="1">
        <f t="array" ref="AH267">_xlfn.IFS(
   OR(G267="",ISBLANK(G267),G267=0),0,
   ISNUMBER(MATCH(G267,{2,3,5,7,11,13,17,19,23,29,31,37,41,43},0)),"소",
   AND(ISNUMBER(G267),MOD(G267,3)=0),"배",
   AND(ISNUMBER(G267),G267&gt;0),"자"
)</f>
        <v>0</v>
      </c>
      <c r="AI267" s="30"/>
      <c r="AJ267" s="3">
        <f t="shared" si="170"/>
        <v>0</v>
      </c>
      <c r="AK267" s="3">
        <f t="shared" si="171"/>
        <v>0</v>
      </c>
      <c r="AL267" s="3">
        <f t="shared" si="172"/>
        <v>6</v>
      </c>
      <c r="AM267" s="33"/>
      <c r="AN267" s="3">
        <f t="shared" si="173"/>
        <v>0</v>
      </c>
      <c r="AO267" s="3">
        <f t="shared" si="174"/>
        <v>0</v>
      </c>
      <c r="AP267" s="3">
        <f t="shared" si="175"/>
        <v>0</v>
      </c>
      <c r="AQ267" s="3">
        <f t="shared" si="176"/>
        <v>0</v>
      </c>
      <c r="AR267" s="3">
        <f t="shared" si="177"/>
        <v>0</v>
      </c>
      <c r="AS267" s="28" t="e">
        <f>#REF!</f>
        <v>#REF!</v>
      </c>
      <c r="AT267" s="28" t="e">
        <f>#REF!*2</f>
        <v>#REF!</v>
      </c>
      <c r="AU267" s="28" t="e">
        <f>#REF!</f>
        <v>#REF!</v>
      </c>
      <c r="AV267" s="28" t="e">
        <f>#REF!*2</f>
        <v>#REF!</v>
      </c>
      <c r="AW267" s="28" t="e">
        <f>#REF!</f>
        <v>#REF!</v>
      </c>
      <c r="AX267" s="28" t="e">
        <f>#REF!*2</f>
        <v>#REF!</v>
      </c>
      <c r="AY267" s="28" t="e">
        <f>#REF!</f>
        <v>#REF!</v>
      </c>
      <c r="AZ267" s="28" t="e">
        <f>#REF!*2</f>
        <v>#REF!</v>
      </c>
      <c r="BA267" s="28" t="e">
        <f>#REF!</f>
        <v>#REF!</v>
      </c>
      <c r="BB267" s="28" t="e">
        <f>#REF!*2</f>
        <v>#REF!</v>
      </c>
      <c r="BC267" s="28" t="e">
        <f>#REF!</f>
        <v>#REF!</v>
      </c>
      <c r="BD267" s="28" t="e">
        <f>#REF!*2</f>
        <v>#REF!</v>
      </c>
      <c r="BE267" s="9" t="e">
        <f>#REF!-#REF!</f>
        <v>#REF!</v>
      </c>
      <c r="BF267" s="9" t="e">
        <f>#REF!-#REF!</f>
        <v>#REF!</v>
      </c>
      <c r="BG267" s="9" t="e">
        <f>#REF!-#REF!</f>
        <v>#REF!</v>
      </c>
      <c r="BH267" s="9" t="e">
        <f>#REF!-#REF!</f>
        <v>#REF!</v>
      </c>
      <c r="BI267" s="9" t="e">
        <f>#REF!-#REF!</f>
        <v>#REF!</v>
      </c>
      <c r="BJ267" s="33"/>
      <c r="BK267" s="3">
        <f t="shared" si="178"/>
        <v>0</v>
      </c>
      <c r="BL267" s="3">
        <f t="shared" si="179"/>
        <v>0</v>
      </c>
      <c r="BM267" s="3">
        <f t="shared" si="180"/>
        <v>0</v>
      </c>
      <c r="BN267" s="3">
        <f t="shared" si="181"/>
        <v>0</v>
      </c>
      <c r="BO267" s="3">
        <f t="shared" si="182"/>
        <v>0</v>
      </c>
      <c r="BP267" s="28" t="e">
        <f>#REF!</f>
        <v>#REF!</v>
      </c>
      <c r="BQ267" s="28" t="e">
        <f>#REF!*2</f>
        <v>#REF!</v>
      </c>
      <c r="BR267" s="28" t="e">
        <f>#REF!</f>
        <v>#REF!</v>
      </c>
      <c r="BS267" s="28" t="e">
        <f>#REF!*2</f>
        <v>#REF!</v>
      </c>
      <c r="BT267" s="28" t="e">
        <f>#REF!</f>
        <v>#REF!</v>
      </c>
      <c r="BU267" s="28" t="e">
        <f>#REF!*2</f>
        <v>#REF!</v>
      </c>
      <c r="BV267" s="28" t="e">
        <f>#REF!</f>
        <v>#REF!</v>
      </c>
      <c r="BW267" s="28" t="e">
        <f>#REF!*2</f>
        <v>#REF!</v>
      </c>
      <c r="BX267" s="28" t="e">
        <f>#REF!</f>
        <v>#REF!</v>
      </c>
      <c r="BY267" s="28" t="e">
        <f>#REF!*2</f>
        <v>#REF!</v>
      </c>
      <c r="BZ267" s="28" t="e">
        <f>#REF!</f>
        <v>#REF!</v>
      </c>
      <c r="CA267" s="28" t="e">
        <f>#REF!*2</f>
        <v>#REF!</v>
      </c>
      <c r="CB267" s="9">
        <f t="shared" si="183"/>
        <v>0</v>
      </c>
      <c r="CC267" s="9">
        <f t="shared" si="184"/>
        <v>0</v>
      </c>
      <c r="CD267" s="9">
        <f t="shared" si="185"/>
        <v>0</v>
      </c>
      <c r="CE267" s="9">
        <f t="shared" si="186"/>
        <v>0</v>
      </c>
      <c r="CF267" s="9">
        <f t="shared" si="187"/>
        <v>0</v>
      </c>
      <c r="CG267" s="33"/>
      <c r="CH267" s="3">
        <f t="shared" si="188"/>
        <v>0</v>
      </c>
      <c r="CI267" s="3">
        <f t="shared" si="189"/>
        <v>0</v>
      </c>
      <c r="CJ267" s="3">
        <f t="shared" si="190"/>
        <v>0</v>
      </c>
      <c r="CK267" s="3">
        <f t="shared" si="191"/>
        <v>0</v>
      </c>
      <c r="CL267" s="3">
        <f t="shared" si="192"/>
        <v>0</v>
      </c>
      <c r="CM267" s="32"/>
      <c r="CN267" s="3">
        <f t="shared" si="193"/>
        <v>0</v>
      </c>
      <c r="CO267" s="3">
        <f t="shared" si="194"/>
        <v>0</v>
      </c>
      <c r="CP267" s="3">
        <f t="shared" si="195"/>
        <v>0</v>
      </c>
      <c r="CQ267" s="3">
        <f t="shared" si="196"/>
        <v>0</v>
      </c>
      <c r="CR267" s="3">
        <f t="shared" si="197"/>
        <v>0</v>
      </c>
      <c r="CS267" s="31"/>
      <c r="CT267" s="3" cm="1">
        <f t="array" ref="CT267">SUMPRODUCT(--(MOD(CH267:CL267,2)=1))</f>
        <v>0</v>
      </c>
      <c r="CU267" s="3">
        <f t="shared" si="198"/>
        <v>5</v>
      </c>
      <c r="CV267" s="30"/>
      <c r="CW267" s="3" cm="1">
        <f t="array" ref="CW267">SUMPRODUCT(--(MOD(CH267:CL267,10)&gt;=1), --(MOD(CH267:CL267,10)&lt;=5))</f>
        <v>0</v>
      </c>
      <c r="CX267" s="3">
        <f t="shared" si="199"/>
        <v>5</v>
      </c>
      <c r="CY267" s="30"/>
      <c r="CZ267" s="3" cm="1">
        <f t="array" ref="CZ267">IFERROR(COUNT(_xlfn._xlws.FILTER(CH267:CL267, ISNUMBER(MATCH(CH267:CL267, {2,3,5,7,11,13,17,19,23,29,31,37,41,43}, 0)))), 0)</f>
        <v>0</v>
      </c>
      <c r="DA267" s="3" cm="1">
        <f t="array" ref="DA267">IFERROR(COUNT(_xlfn._xlws.FILTER(CH267:CL267, ISNUMBER(MATCH(CH267:CL267, {1,4,8,10,14,16,20,22,25,26,28,32,34,35,38,40,44}, 0)))), 0)</f>
        <v>0</v>
      </c>
      <c r="DB267" s="3" cm="1">
        <f t="array" ref="DB267">IFERROR(COUNT(_xlfn._xlws.FILTER(CH267:CL267, ISNUMBER(MATCH(CH267:CL267, {6,9,12,15,18,21,24,27,30,33,36,39,42,45}, 0)))), 0)</f>
        <v>0</v>
      </c>
      <c r="DC267" s="29"/>
      <c r="DD267" s="28" t="e">
        <f>#REF!</f>
        <v>#REF!</v>
      </c>
      <c r="DE267" s="28" t="e">
        <f>#REF!*2</f>
        <v>#REF!</v>
      </c>
      <c r="DF267" s="28" t="e">
        <f>#REF!</f>
        <v>#REF!</v>
      </c>
      <c r="DG267" s="28" t="e">
        <f>#REF!*2</f>
        <v>#REF!</v>
      </c>
      <c r="DH267" s="28" t="e">
        <f>#REF!</f>
        <v>#REF!</v>
      </c>
      <c r="DI267" s="28" t="e">
        <f>#REF!*2</f>
        <v>#REF!</v>
      </c>
      <c r="DJ267" s="28" t="e">
        <f>#REF!</f>
        <v>#REF!</v>
      </c>
      <c r="DK267" s="28" t="e">
        <f>#REF!*2</f>
        <v>#REF!</v>
      </c>
      <c r="DL267" s="28" t="e">
        <f>#REF!</f>
        <v>#REF!</v>
      </c>
      <c r="DM267" s="28" t="e">
        <f>#REF!*2</f>
        <v>#REF!</v>
      </c>
      <c r="DN267" s="27"/>
      <c r="DO267" s="26"/>
      <c r="DP267" s="26"/>
      <c r="DQ267" s="26"/>
      <c r="DR267" s="26"/>
      <c r="DS267" s="26"/>
      <c r="DT267" s="25"/>
    </row>
    <row r="268" spans="2:124" x14ac:dyDescent="0.3"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2"/>
      <c r="I268" s="3">
        <f t="shared" si="160"/>
        <v>0</v>
      </c>
      <c r="J268" s="3">
        <f t="shared" si="161"/>
        <v>0</v>
      </c>
      <c r="K268" s="3">
        <f t="shared" si="162"/>
        <v>0</v>
      </c>
      <c r="L268" s="3">
        <f t="shared" si="163"/>
        <v>0</v>
      </c>
      <c r="M268" s="3">
        <f t="shared" si="164"/>
        <v>0</v>
      </c>
      <c r="N268" s="3">
        <f t="shared" si="165"/>
        <v>0</v>
      </c>
      <c r="O268" s="32"/>
      <c r="P268" s="3" cm="1">
        <f t="array" ref="P268">SUMPRODUCT(--(MOD(B268:G268,2)=1))</f>
        <v>0</v>
      </c>
      <c r="Q268" s="3">
        <f t="shared" si="166"/>
        <v>6</v>
      </c>
      <c r="R268" s="34"/>
      <c r="S268" s="3">
        <f t="shared" si="167"/>
        <v>0</v>
      </c>
      <c r="T268" s="3">
        <f t="shared" si="168"/>
        <v>6</v>
      </c>
      <c r="U268" s="34"/>
      <c r="V268" s="3" cm="1">
        <f t="array" ref="V268">SUMPRODUCT(--(MOD(B268:G268,10)&gt;=1), --(MOD(B268:G268,10)&lt;=5))</f>
        <v>0</v>
      </c>
      <c r="W268" s="3">
        <f t="shared" si="169"/>
        <v>6</v>
      </c>
      <c r="X268" s="34"/>
      <c r="Y268" s="3" cm="1">
        <f t="array" ref="Y268">IFERROR(COUNT(_xlfn._xlws.FILTER(B268:G268, ISNUMBER(MATCH(B268:G268, {2,3,5,7,11,13,17,19,23,29,31,37,41,43}, 0)))), 0)</f>
        <v>0</v>
      </c>
      <c r="Z268" s="3" cm="1">
        <f t="array" ref="Z268">IFERROR(COUNT(_xlfn._xlws.FILTER(B268:G268, ISNUMBER(MATCH(B268:G268, {1,4,8,10,14,16,20,22,25,26,28,32,34,35,38,40,44}, 0)))), 0)</f>
        <v>0</v>
      </c>
      <c r="AA268" s="3" cm="1">
        <f t="array" ref="AA268">IFERROR(COUNT(_xlfn._xlws.FILTER(B268:G268, ISNUMBER(MATCH(B268:G268, {6,9,12,15,18,21,24,27,30,33,36,39,42,45}, 0)))), 0)</f>
        <v>0</v>
      </c>
      <c r="AB268" s="30"/>
      <c r="AC268" s="26" cm="1">
        <f t="array" ref="AC268">_xlfn.IFS(
   OR(B268="",ISBLANK(B268),B268=0),0,
   ISNUMBER(MATCH(B268,{2,3,5,7,11,13,17,19,23,29,31,37,41,43},0)),"소",
   AND(ISNUMBER(B268),MOD(B268,3)=0),"배",
   AND(ISNUMBER(B268),B268&gt;0),"자"
)</f>
        <v>0</v>
      </c>
      <c r="AD268" s="26" cm="1">
        <f t="array" ref="AD268">_xlfn.IFS(
   OR(C268="",ISBLANK(C268),C268=0),0,
   ISNUMBER(MATCH(C268,{2,3,5,7,11,13,17,19,23,29,31,37,41,43},0)),"소",
   AND(ISNUMBER(C268),MOD(C268,3)=0),"배",
   AND(ISNUMBER(C268),C268&gt;0),"자"
)</f>
        <v>0</v>
      </c>
      <c r="AE268" s="26" cm="1">
        <f t="array" ref="AE268">_xlfn.IFS(
   OR(D268="",ISBLANK(D268),D268=0),0,
   ISNUMBER(MATCH(D268,{2,3,5,7,11,13,17,19,23,29,31,37,41,43},0)),"소",
   AND(ISNUMBER(D268),MOD(D268,3)=0),"배",
   AND(ISNUMBER(D268),D268&gt;0),"자"
)</f>
        <v>0</v>
      </c>
      <c r="AF268" s="26" cm="1">
        <f t="array" ref="AF268">_xlfn.IFS(
   OR(E268="",ISBLANK(E268),E268=0),0,
   ISNUMBER(MATCH(E268,{2,3,5,7,11,13,17,19,23,29,31,37,41,43},0)),"소",
   AND(ISNUMBER(E268),MOD(E268,3)=0),"배",
   AND(ISNUMBER(E268),E268&gt;0),"자"
)</f>
        <v>0</v>
      </c>
      <c r="AG268" s="26" cm="1">
        <f t="array" ref="AG268">_xlfn.IFS(
   OR(F268="",ISBLANK(F268),F268=0),0,
   ISNUMBER(MATCH(F268,{2,3,5,7,11,13,17,19,23,29,31,37,41,43},0)),"소",
   AND(ISNUMBER(F268),MOD(F268,3)=0),"배",
   AND(ISNUMBER(F268),F268&gt;0),"자"
)</f>
        <v>0</v>
      </c>
      <c r="AH268" s="26" cm="1">
        <f t="array" ref="AH268">_xlfn.IFS(
   OR(G268="",ISBLANK(G268),G268=0),0,
   ISNUMBER(MATCH(G268,{2,3,5,7,11,13,17,19,23,29,31,37,41,43},0)),"소",
   AND(ISNUMBER(G268),MOD(G268,3)=0),"배",
   AND(ISNUMBER(G268),G268&gt;0),"자"
)</f>
        <v>0</v>
      </c>
      <c r="AI268" s="30"/>
      <c r="AJ268" s="3">
        <f t="shared" si="170"/>
        <v>0</v>
      </c>
      <c r="AK268" s="3">
        <f t="shared" si="171"/>
        <v>0</v>
      </c>
      <c r="AL268" s="3">
        <f t="shared" si="172"/>
        <v>6</v>
      </c>
      <c r="AM268" s="33"/>
      <c r="AN268" s="3">
        <f t="shared" si="173"/>
        <v>0</v>
      </c>
      <c r="AO268" s="3">
        <f t="shared" si="174"/>
        <v>0</v>
      </c>
      <c r="AP268" s="3">
        <f t="shared" si="175"/>
        <v>0</v>
      </c>
      <c r="AQ268" s="3">
        <f t="shared" si="176"/>
        <v>0</v>
      </c>
      <c r="AR268" s="3">
        <f t="shared" si="177"/>
        <v>0</v>
      </c>
      <c r="AS268" s="28" t="e">
        <f>#REF!</f>
        <v>#REF!</v>
      </c>
      <c r="AT268" s="28" t="e">
        <f>#REF!*2</f>
        <v>#REF!</v>
      </c>
      <c r="AU268" s="28" t="e">
        <f>#REF!</f>
        <v>#REF!</v>
      </c>
      <c r="AV268" s="28" t="e">
        <f>#REF!*2</f>
        <v>#REF!</v>
      </c>
      <c r="AW268" s="28" t="e">
        <f>#REF!</f>
        <v>#REF!</v>
      </c>
      <c r="AX268" s="28" t="e">
        <f>#REF!*2</f>
        <v>#REF!</v>
      </c>
      <c r="AY268" s="28" t="e">
        <f>#REF!</f>
        <v>#REF!</v>
      </c>
      <c r="AZ268" s="28" t="e">
        <f>#REF!*2</f>
        <v>#REF!</v>
      </c>
      <c r="BA268" s="28" t="e">
        <f>#REF!</f>
        <v>#REF!</v>
      </c>
      <c r="BB268" s="28" t="e">
        <f>#REF!*2</f>
        <v>#REF!</v>
      </c>
      <c r="BC268" s="28" t="e">
        <f>#REF!</f>
        <v>#REF!</v>
      </c>
      <c r="BD268" s="28" t="e">
        <f>#REF!*2</f>
        <v>#REF!</v>
      </c>
      <c r="BE268" s="9" t="e">
        <f>#REF!-#REF!</f>
        <v>#REF!</v>
      </c>
      <c r="BF268" s="9" t="e">
        <f>#REF!-#REF!</f>
        <v>#REF!</v>
      </c>
      <c r="BG268" s="9" t="e">
        <f>#REF!-#REF!</f>
        <v>#REF!</v>
      </c>
      <c r="BH268" s="9" t="e">
        <f>#REF!-#REF!</f>
        <v>#REF!</v>
      </c>
      <c r="BI268" s="9" t="e">
        <f>#REF!-#REF!</f>
        <v>#REF!</v>
      </c>
      <c r="BJ268" s="33"/>
      <c r="BK268" s="3">
        <f t="shared" si="178"/>
        <v>0</v>
      </c>
      <c r="BL268" s="3">
        <f t="shared" si="179"/>
        <v>0</v>
      </c>
      <c r="BM268" s="3">
        <f t="shared" si="180"/>
        <v>0</v>
      </c>
      <c r="BN268" s="3">
        <f t="shared" si="181"/>
        <v>0</v>
      </c>
      <c r="BO268" s="3">
        <f t="shared" si="182"/>
        <v>0</v>
      </c>
      <c r="BP268" s="28" t="e">
        <f>#REF!</f>
        <v>#REF!</v>
      </c>
      <c r="BQ268" s="28" t="e">
        <f>#REF!*2</f>
        <v>#REF!</v>
      </c>
      <c r="BR268" s="28" t="e">
        <f>#REF!</f>
        <v>#REF!</v>
      </c>
      <c r="BS268" s="28" t="e">
        <f>#REF!*2</f>
        <v>#REF!</v>
      </c>
      <c r="BT268" s="28" t="e">
        <f>#REF!</f>
        <v>#REF!</v>
      </c>
      <c r="BU268" s="28" t="e">
        <f>#REF!*2</f>
        <v>#REF!</v>
      </c>
      <c r="BV268" s="28" t="e">
        <f>#REF!</f>
        <v>#REF!</v>
      </c>
      <c r="BW268" s="28" t="e">
        <f>#REF!*2</f>
        <v>#REF!</v>
      </c>
      <c r="BX268" s="28" t="e">
        <f>#REF!</f>
        <v>#REF!</v>
      </c>
      <c r="BY268" s="28" t="e">
        <f>#REF!*2</f>
        <v>#REF!</v>
      </c>
      <c r="BZ268" s="28" t="e">
        <f>#REF!</f>
        <v>#REF!</v>
      </c>
      <c r="CA268" s="28" t="e">
        <f>#REF!*2</f>
        <v>#REF!</v>
      </c>
      <c r="CB268" s="9">
        <f t="shared" si="183"/>
        <v>0</v>
      </c>
      <c r="CC268" s="9">
        <f t="shared" si="184"/>
        <v>0</v>
      </c>
      <c r="CD268" s="9">
        <f t="shared" si="185"/>
        <v>0</v>
      </c>
      <c r="CE268" s="9">
        <f t="shared" si="186"/>
        <v>0</v>
      </c>
      <c r="CF268" s="9">
        <f t="shared" si="187"/>
        <v>0</v>
      </c>
      <c r="CG268" s="33"/>
      <c r="CH268" s="3">
        <f t="shared" si="188"/>
        <v>0</v>
      </c>
      <c r="CI268" s="3">
        <f t="shared" si="189"/>
        <v>0</v>
      </c>
      <c r="CJ268" s="3">
        <f t="shared" si="190"/>
        <v>0</v>
      </c>
      <c r="CK268" s="3">
        <f t="shared" si="191"/>
        <v>0</v>
      </c>
      <c r="CL268" s="3">
        <f t="shared" si="192"/>
        <v>0</v>
      </c>
      <c r="CM268" s="32"/>
      <c r="CN268" s="3">
        <f t="shared" si="193"/>
        <v>0</v>
      </c>
      <c r="CO268" s="3">
        <f t="shared" si="194"/>
        <v>0</v>
      </c>
      <c r="CP268" s="3">
        <f t="shared" si="195"/>
        <v>0</v>
      </c>
      <c r="CQ268" s="3">
        <f t="shared" si="196"/>
        <v>0</v>
      </c>
      <c r="CR268" s="3">
        <f t="shared" si="197"/>
        <v>0</v>
      </c>
      <c r="CS268" s="31"/>
      <c r="CT268" s="3" cm="1">
        <f t="array" ref="CT268">SUMPRODUCT(--(MOD(CH268:CL268,2)=1))</f>
        <v>0</v>
      </c>
      <c r="CU268" s="3">
        <f t="shared" si="198"/>
        <v>5</v>
      </c>
      <c r="CV268" s="30"/>
      <c r="CW268" s="3" cm="1">
        <f t="array" ref="CW268">SUMPRODUCT(--(MOD(CH268:CL268,10)&gt;=1), --(MOD(CH268:CL268,10)&lt;=5))</f>
        <v>0</v>
      </c>
      <c r="CX268" s="3">
        <f t="shared" si="199"/>
        <v>5</v>
      </c>
      <c r="CY268" s="30"/>
      <c r="CZ268" s="3" cm="1">
        <f t="array" ref="CZ268">IFERROR(COUNT(_xlfn._xlws.FILTER(CH268:CL268, ISNUMBER(MATCH(CH268:CL268, {2,3,5,7,11,13,17,19,23,29,31,37,41,43}, 0)))), 0)</f>
        <v>0</v>
      </c>
      <c r="DA268" s="3" cm="1">
        <f t="array" ref="DA268">IFERROR(COUNT(_xlfn._xlws.FILTER(CH268:CL268, ISNUMBER(MATCH(CH268:CL268, {1,4,8,10,14,16,20,22,25,26,28,32,34,35,38,40,44}, 0)))), 0)</f>
        <v>0</v>
      </c>
      <c r="DB268" s="3" cm="1">
        <f t="array" ref="DB268">IFERROR(COUNT(_xlfn._xlws.FILTER(CH268:CL268, ISNUMBER(MATCH(CH268:CL268, {6,9,12,15,18,21,24,27,30,33,36,39,42,45}, 0)))), 0)</f>
        <v>0</v>
      </c>
      <c r="DC268" s="29"/>
      <c r="DD268" s="28" t="e">
        <f>#REF!</f>
        <v>#REF!</v>
      </c>
      <c r="DE268" s="28" t="e">
        <f>#REF!*2</f>
        <v>#REF!</v>
      </c>
      <c r="DF268" s="28" t="e">
        <f>#REF!</f>
        <v>#REF!</v>
      </c>
      <c r="DG268" s="28" t="e">
        <f>#REF!*2</f>
        <v>#REF!</v>
      </c>
      <c r="DH268" s="28" t="e">
        <f>#REF!</f>
        <v>#REF!</v>
      </c>
      <c r="DI268" s="28" t="e">
        <f>#REF!*2</f>
        <v>#REF!</v>
      </c>
      <c r="DJ268" s="28" t="e">
        <f>#REF!</f>
        <v>#REF!</v>
      </c>
      <c r="DK268" s="28" t="e">
        <f>#REF!*2</f>
        <v>#REF!</v>
      </c>
      <c r="DL268" s="28" t="e">
        <f>#REF!</f>
        <v>#REF!</v>
      </c>
      <c r="DM268" s="28" t="e">
        <f>#REF!*2</f>
        <v>#REF!</v>
      </c>
      <c r="DN268" s="27"/>
      <c r="DO268" s="26"/>
      <c r="DP268" s="26"/>
      <c r="DQ268" s="26"/>
      <c r="DR268" s="26"/>
      <c r="DS268" s="26"/>
      <c r="DT268" s="25"/>
    </row>
    <row r="269" spans="2:124" x14ac:dyDescent="0.3"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2"/>
      <c r="I269" s="3">
        <f t="shared" si="160"/>
        <v>0</v>
      </c>
      <c r="J269" s="3">
        <f t="shared" si="161"/>
        <v>0</v>
      </c>
      <c r="K269" s="3">
        <f t="shared" si="162"/>
        <v>0</v>
      </c>
      <c r="L269" s="3">
        <f t="shared" si="163"/>
        <v>0</v>
      </c>
      <c r="M269" s="3">
        <f t="shared" si="164"/>
        <v>0</v>
      </c>
      <c r="N269" s="3">
        <f t="shared" si="165"/>
        <v>0</v>
      </c>
      <c r="O269" s="32"/>
      <c r="P269" s="3" cm="1">
        <f t="array" ref="P269">SUMPRODUCT(--(MOD(B269:G269,2)=1))</f>
        <v>0</v>
      </c>
      <c r="Q269" s="3">
        <f t="shared" si="166"/>
        <v>6</v>
      </c>
      <c r="R269" s="34"/>
      <c r="S269" s="3">
        <f t="shared" si="167"/>
        <v>0</v>
      </c>
      <c r="T269" s="3">
        <f t="shared" si="168"/>
        <v>6</v>
      </c>
      <c r="U269" s="34"/>
      <c r="V269" s="3" cm="1">
        <f t="array" ref="V269">SUMPRODUCT(--(MOD(B269:G269,10)&gt;=1), --(MOD(B269:G269,10)&lt;=5))</f>
        <v>0</v>
      </c>
      <c r="W269" s="3">
        <f t="shared" si="169"/>
        <v>6</v>
      </c>
      <c r="X269" s="34"/>
      <c r="Y269" s="3" cm="1">
        <f t="array" ref="Y269">IFERROR(COUNT(_xlfn._xlws.FILTER(B269:G269, ISNUMBER(MATCH(B269:G269, {2,3,5,7,11,13,17,19,23,29,31,37,41,43}, 0)))), 0)</f>
        <v>0</v>
      </c>
      <c r="Z269" s="3" cm="1">
        <f t="array" ref="Z269">IFERROR(COUNT(_xlfn._xlws.FILTER(B269:G269, ISNUMBER(MATCH(B269:G269, {1,4,8,10,14,16,20,22,25,26,28,32,34,35,38,40,44}, 0)))), 0)</f>
        <v>0</v>
      </c>
      <c r="AA269" s="3" cm="1">
        <f t="array" ref="AA269">IFERROR(COUNT(_xlfn._xlws.FILTER(B269:G269, ISNUMBER(MATCH(B269:G269, {6,9,12,15,18,21,24,27,30,33,36,39,42,45}, 0)))), 0)</f>
        <v>0</v>
      </c>
      <c r="AB269" s="30"/>
      <c r="AC269" s="26" cm="1">
        <f t="array" ref="AC269">_xlfn.IFS(
   OR(B269="",ISBLANK(B269),B269=0),0,
   ISNUMBER(MATCH(B269,{2,3,5,7,11,13,17,19,23,29,31,37,41,43},0)),"소",
   AND(ISNUMBER(B269),MOD(B269,3)=0),"배",
   AND(ISNUMBER(B269),B269&gt;0),"자"
)</f>
        <v>0</v>
      </c>
      <c r="AD269" s="26" cm="1">
        <f t="array" ref="AD269">_xlfn.IFS(
   OR(C269="",ISBLANK(C269),C269=0),0,
   ISNUMBER(MATCH(C269,{2,3,5,7,11,13,17,19,23,29,31,37,41,43},0)),"소",
   AND(ISNUMBER(C269),MOD(C269,3)=0),"배",
   AND(ISNUMBER(C269),C269&gt;0),"자"
)</f>
        <v>0</v>
      </c>
      <c r="AE269" s="26" cm="1">
        <f t="array" ref="AE269">_xlfn.IFS(
   OR(D269="",ISBLANK(D269),D269=0),0,
   ISNUMBER(MATCH(D269,{2,3,5,7,11,13,17,19,23,29,31,37,41,43},0)),"소",
   AND(ISNUMBER(D269),MOD(D269,3)=0),"배",
   AND(ISNUMBER(D269),D269&gt;0),"자"
)</f>
        <v>0</v>
      </c>
      <c r="AF269" s="26" cm="1">
        <f t="array" ref="AF269">_xlfn.IFS(
   OR(E269="",ISBLANK(E269),E269=0),0,
   ISNUMBER(MATCH(E269,{2,3,5,7,11,13,17,19,23,29,31,37,41,43},0)),"소",
   AND(ISNUMBER(E269),MOD(E269,3)=0),"배",
   AND(ISNUMBER(E269),E269&gt;0),"자"
)</f>
        <v>0</v>
      </c>
      <c r="AG269" s="26" cm="1">
        <f t="array" ref="AG269">_xlfn.IFS(
   OR(F269="",ISBLANK(F269),F269=0),0,
   ISNUMBER(MATCH(F269,{2,3,5,7,11,13,17,19,23,29,31,37,41,43},0)),"소",
   AND(ISNUMBER(F269),MOD(F269,3)=0),"배",
   AND(ISNUMBER(F269),F269&gt;0),"자"
)</f>
        <v>0</v>
      </c>
      <c r="AH269" s="26" cm="1">
        <f t="array" ref="AH269">_xlfn.IFS(
   OR(G269="",ISBLANK(G269),G269=0),0,
   ISNUMBER(MATCH(G269,{2,3,5,7,11,13,17,19,23,29,31,37,41,43},0)),"소",
   AND(ISNUMBER(G269),MOD(G269,3)=0),"배",
   AND(ISNUMBER(G269),G269&gt;0),"자"
)</f>
        <v>0</v>
      </c>
      <c r="AI269" s="30"/>
      <c r="AJ269" s="3">
        <f t="shared" si="170"/>
        <v>0</v>
      </c>
      <c r="AK269" s="3">
        <f t="shared" si="171"/>
        <v>0</v>
      </c>
      <c r="AL269" s="3">
        <f t="shared" si="172"/>
        <v>6</v>
      </c>
      <c r="AM269" s="33"/>
      <c r="AN269" s="3">
        <f t="shared" si="173"/>
        <v>0</v>
      </c>
      <c r="AO269" s="3">
        <f t="shared" si="174"/>
        <v>0</v>
      </c>
      <c r="AP269" s="3">
        <f t="shared" si="175"/>
        <v>0</v>
      </c>
      <c r="AQ269" s="3">
        <f t="shared" si="176"/>
        <v>0</v>
      </c>
      <c r="AR269" s="3">
        <f t="shared" si="177"/>
        <v>0</v>
      </c>
      <c r="AS269" s="28" t="e">
        <f>#REF!</f>
        <v>#REF!</v>
      </c>
      <c r="AT269" s="28" t="e">
        <f>#REF!*2</f>
        <v>#REF!</v>
      </c>
      <c r="AU269" s="28" t="e">
        <f>#REF!</f>
        <v>#REF!</v>
      </c>
      <c r="AV269" s="28" t="e">
        <f>#REF!*2</f>
        <v>#REF!</v>
      </c>
      <c r="AW269" s="28" t="e">
        <f>#REF!</f>
        <v>#REF!</v>
      </c>
      <c r="AX269" s="28" t="e">
        <f>#REF!*2</f>
        <v>#REF!</v>
      </c>
      <c r="AY269" s="28" t="e">
        <f>#REF!</f>
        <v>#REF!</v>
      </c>
      <c r="AZ269" s="28" t="e">
        <f>#REF!*2</f>
        <v>#REF!</v>
      </c>
      <c r="BA269" s="28" t="e">
        <f>#REF!</f>
        <v>#REF!</v>
      </c>
      <c r="BB269" s="28" t="e">
        <f>#REF!*2</f>
        <v>#REF!</v>
      </c>
      <c r="BC269" s="28" t="e">
        <f>#REF!</f>
        <v>#REF!</v>
      </c>
      <c r="BD269" s="28" t="e">
        <f>#REF!*2</f>
        <v>#REF!</v>
      </c>
      <c r="BE269" s="9" t="e">
        <f>#REF!-#REF!</f>
        <v>#REF!</v>
      </c>
      <c r="BF269" s="9" t="e">
        <f>#REF!-#REF!</f>
        <v>#REF!</v>
      </c>
      <c r="BG269" s="9" t="e">
        <f>#REF!-#REF!</f>
        <v>#REF!</v>
      </c>
      <c r="BH269" s="9" t="e">
        <f>#REF!-#REF!</f>
        <v>#REF!</v>
      </c>
      <c r="BI269" s="9" t="e">
        <f>#REF!-#REF!</f>
        <v>#REF!</v>
      </c>
      <c r="BJ269" s="33"/>
      <c r="BK269" s="3">
        <f t="shared" si="178"/>
        <v>0</v>
      </c>
      <c r="BL269" s="3">
        <f t="shared" si="179"/>
        <v>0</v>
      </c>
      <c r="BM269" s="3">
        <f t="shared" si="180"/>
        <v>0</v>
      </c>
      <c r="BN269" s="3">
        <f t="shared" si="181"/>
        <v>0</v>
      </c>
      <c r="BO269" s="3">
        <f t="shared" si="182"/>
        <v>0</v>
      </c>
      <c r="BP269" s="28" t="e">
        <f>#REF!</f>
        <v>#REF!</v>
      </c>
      <c r="BQ269" s="28" t="e">
        <f>#REF!*2</f>
        <v>#REF!</v>
      </c>
      <c r="BR269" s="28" t="e">
        <f>#REF!</f>
        <v>#REF!</v>
      </c>
      <c r="BS269" s="28" t="e">
        <f>#REF!*2</f>
        <v>#REF!</v>
      </c>
      <c r="BT269" s="28" t="e">
        <f>#REF!</f>
        <v>#REF!</v>
      </c>
      <c r="BU269" s="28" t="e">
        <f>#REF!*2</f>
        <v>#REF!</v>
      </c>
      <c r="BV269" s="28" t="e">
        <f>#REF!</f>
        <v>#REF!</v>
      </c>
      <c r="BW269" s="28" t="e">
        <f>#REF!*2</f>
        <v>#REF!</v>
      </c>
      <c r="BX269" s="28" t="e">
        <f>#REF!</f>
        <v>#REF!</v>
      </c>
      <c r="BY269" s="28" t="e">
        <f>#REF!*2</f>
        <v>#REF!</v>
      </c>
      <c r="BZ269" s="28" t="e">
        <f>#REF!</f>
        <v>#REF!</v>
      </c>
      <c r="CA269" s="28" t="e">
        <f>#REF!*2</f>
        <v>#REF!</v>
      </c>
      <c r="CB269" s="9">
        <f t="shared" si="183"/>
        <v>0</v>
      </c>
      <c r="CC269" s="9">
        <f t="shared" si="184"/>
        <v>0</v>
      </c>
      <c r="CD269" s="9">
        <f t="shared" si="185"/>
        <v>0</v>
      </c>
      <c r="CE269" s="9">
        <f t="shared" si="186"/>
        <v>0</v>
      </c>
      <c r="CF269" s="9">
        <f t="shared" si="187"/>
        <v>0</v>
      </c>
      <c r="CG269" s="33"/>
      <c r="CH269" s="3">
        <f t="shared" si="188"/>
        <v>0</v>
      </c>
      <c r="CI269" s="3">
        <f t="shared" si="189"/>
        <v>0</v>
      </c>
      <c r="CJ269" s="3">
        <f t="shared" si="190"/>
        <v>0</v>
      </c>
      <c r="CK269" s="3">
        <f t="shared" si="191"/>
        <v>0</v>
      </c>
      <c r="CL269" s="3">
        <f t="shared" si="192"/>
        <v>0</v>
      </c>
      <c r="CM269" s="32"/>
      <c r="CN269" s="3">
        <f t="shared" si="193"/>
        <v>0</v>
      </c>
      <c r="CO269" s="3">
        <f t="shared" si="194"/>
        <v>0</v>
      </c>
      <c r="CP269" s="3">
        <f t="shared" si="195"/>
        <v>0</v>
      </c>
      <c r="CQ269" s="3">
        <f t="shared" si="196"/>
        <v>0</v>
      </c>
      <c r="CR269" s="3">
        <f t="shared" si="197"/>
        <v>0</v>
      </c>
      <c r="CS269" s="31"/>
      <c r="CT269" s="3" cm="1">
        <f t="array" ref="CT269">SUMPRODUCT(--(MOD(CH269:CL269,2)=1))</f>
        <v>0</v>
      </c>
      <c r="CU269" s="3">
        <f t="shared" si="198"/>
        <v>5</v>
      </c>
      <c r="CV269" s="30"/>
      <c r="CW269" s="3" cm="1">
        <f t="array" ref="CW269">SUMPRODUCT(--(MOD(CH269:CL269,10)&gt;=1), --(MOD(CH269:CL269,10)&lt;=5))</f>
        <v>0</v>
      </c>
      <c r="CX269" s="3">
        <f t="shared" si="199"/>
        <v>5</v>
      </c>
      <c r="CY269" s="30"/>
      <c r="CZ269" s="3" cm="1">
        <f t="array" ref="CZ269">IFERROR(COUNT(_xlfn._xlws.FILTER(CH269:CL269, ISNUMBER(MATCH(CH269:CL269, {2,3,5,7,11,13,17,19,23,29,31,37,41,43}, 0)))), 0)</f>
        <v>0</v>
      </c>
      <c r="DA269" s="3" cm="1">
        <f t="array" ref="DA269">IFERROR(COUNT(_xlfn._xlws.FILTER(CH269:CL269, ISNUMBER(MATCH(CH269:CL269, {1,4,8,10,14,16,20,22,25,26,28,32,34,35,38,40,44}, 0)))), 0)</f>
        <v>0</v>
      </c>
      <c r="DB269" s="3" cm="1">
        <f t="array" ref="DB269">IFERROR(COUNT(_xlfn._xlws.FILTER(CH269:CL269, ISNUMBER(MATCH(CH269:CL269, {6,9,12,15,18,21,24,27,30,33,36,39,42,45}, 0)))), 0)</f>
        <v>0</v>
      </c>
      <c r="DC269" s="29"/>
      <c r="DD269" s="28" t="e">
        <f>#REF!</f>
        <v>#REF!</v>
      </c>
      <c r="DE269" s="28" t="e">
        <f>#REF!*2</f>
        <v>#REF!</v>
      </c>
      <c r="DF269" s="28" t="e">
        <f>#REF!</f>
        <v>#REF!</v>
      </c>
      <c r="DG269" s="28" t="e">
        <f>#REF!*2</f>
        <v>#REF!</v>
      </c>
      <c r="DH269" s="28" t="e">
        <f>#REF!</f>
        <v>#REF!</v>
      </c>
      <c r="DI269" s="28" t="e">
        <f>#REF!*2</f>
        <v>#REF!</v>
      </c>
      <c r="DJ269" s="28" t="e">
        <f>#REF!</f>
        <v>#REF!</v>
      </c>
      <c r="DK269" s="28" t="e">
        <f>#REF!*2</f>
        <v>#REF!</v>
      </c>
      <c r="DL269" s="28" t="e">
        <f>#REF!</f>
        <v>#REF!</v>
      </c>
      <c r="DM269" s="28" t="e">
        <f>#REF!*2</f>
        <v>#REF!</v>
      </c>
      <c r="DN269" s="27"/>
      <c r="DO269" s="26"/>
      <c r="DP269" s="26"/>
      <c r="DQ269" s="26"/>
      <c r="DR269" s="26"/>
      <c r="DS269" s="26"/>
      <c r="DT269" s="25"/>
    </row>
    <row r="270" spans="2:124" x14ac:dyDescent="0.3"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2"/>
      <c r="I270" s="3">
        <f t="shared" si="160"/>
        <v>0</v>
      </c>
      <c r="J270" s="3">
        <f t="shared" si="161"/>
        <v>0</v>
      </c>
      <c r="K270" s="3">
        <f t="shared" si="162"/>
        <v>0</v>
      </c>
      <c r="L270" s="3">
        <f t="shared" si="163"/>
        <v>0</v>
      </c>
      <c r="M270" s="3">
        <f t="shared" si="164"/>
        <v>0</v>
      </c>
      <c r="N270" s="3">
        <f t="shared" si="165"/>
        <v>0</v>
      </c>
      <c r="O270" s="32"/>
      <c r="P270" s="3" cm="1">
        <f t="array" ref="P270">SUMPRODUCT(--(MOD(B270:G270,2)=1))</f>
        <v>0</v>
      </c>
      <c r="Q270" s="3">
        <f t="shared" si="166"/>
        <v>6</v>
      </c>
      <c r="R270" s="34"/>
      <c r="S270" s="3">
        <f t="shared" si="167"/>
        <v>0</v>
      </c>
      <c r="T270" s="3">
        <f t="shared" si="168"/>
        <v>6</v>
      </c>
      <c r="U270" s="34"/>
      <c r="V270" s="3" cm="1">
        <f t="array" ref="V270">SUMPRODUCT(--(MOD(B270:G270,10)&gt;=1), --(MOD(B270:G270,10)&lt;=5))</f>
        <v>0</v>
      </c>
      <c r="W270" s="3">
        <f t="shared" si="169"/>
        <v>6</v>
      </c>
      <c r="X270" s="34"/>
      <c r="Y270" s="3" cm="1">
        <f t="array" ref="Y270">IFERROR(COUNT(_xlfn._xlws.FILTER(B270:G270, ISNUMBER(MATCH(B270:G270, {2,3,5,7,11,13,17,19,23,29,31,37,41,43}, 0)))), 0)</f>
        <v>0</v>
      </c>
      <c r="Z270" s="3" cm="1">
        <f t="array" ref="Z270">IFERROR(COUNT(_xlfn._xlws.FILTER(B270:G270, ISNUMBER(MATCH(B270:G270, {1,4,8,10,14,16,20,22,25,26,28,32,34,35,38,40,44}, 0)))), 0)</f>
        <v>0</v>
      </c>
      <c r="AA270" s="3" cm="1">
        <f t="array" ref="AA270">IFERROR(COUNT(_xlfn._xlws.FILTER(B270:G270, ISNUMBER(MATCH(B270:G270, {6,9,12,15,18,21,24,27,30,33,36,39,42,45}, 0)))), 0)</f>
        <v>0</v>
      </c>
      <c r="AB270" s="30"/>
      <c r="AC270" s="26" cm="1">
        <f t="array" ref="AC270">_xlfn.IFS(
   OR(B270="",ISBLANK(B270),B270=0),0,
   ISNUMBER(MATCH(B270,{2,3,5,7,11,13,17,19,23,29,31,37,41,43},0)),"소",
   AND(ISNUMBER(B270),MOD(B270,3)=0),"배",
   AND(ISNUMBER(B270),B270&gt;0),"자"
)</f>
        <v>0</v>
      </c>
      <c r="AD270" s="26" cm="1">
        <f t="array" ref="AD270">_xlfn.IFS(
   OR(C270="",ISBLANK(C270),C270=0),0,
   ISNUMBER(MATCH(C270,{2,3,5,7,11,13,17,19,23,29,31,37,41,43},0)),"소",
   AND(ISNUMBER(C270),MOD(C270,3)=0),"배",
   AND(ISNUMBER(C270),C270&gt;0),"자"
)</f>
        <v>0</v>
      </c>
      <c r="AE270" s="26" cm="1">
        <f t="array" ref="AE270">_xlfn.IFS(
   OR(D270="",ISBLANK(D270),D270=0),0,
   ISNUMBER(MATCH(D270,{2,3,5,7,11,13,17,19,23,29,31,37,41,43},0)),"소",
   AND(ISNUMBER(D270),MOD(D270,3)=0),"배",
   AND(ISNUMBER(D270),D270&gt;0),"자"
)</f>
        <v>0</v>
      </c>
      <c r="AF270" s="26" cm="1">
        <f t="array" ref="AF270">_xlfn.IFS(
   OR(E270="",ISBLANK(E270),E270=0),0,
   ISNUMBER(MATCH(E270,{2,3,5,7,11,13,17,19,23,29,31,37,41,43},0)),"소",
   AND(ISNUMBER(E270),MOD(E270,3)=0),"배",
   AND(ISNUMBER(E270),E270&gt;0),"자"
)</f>
        <v>0</v>
      </c>
      <c r="AG270" s="26" cm="1">
        <f t="array" ref="AG270">_xlfn.IFS(
   OR(F270="",ISBLANK(F270),F270=0),0,
   ISNUMBER(MATCH(F270,{2,3,5,7,11,13,17,19,23,29,31,37,41,43},0)),"소",
   AND(ISNUMBER(F270),MOD(F270,3)=0),"배",
   AND(ISNUMBER(F270),F270&gt;0),"자"
)</f>
        <v>0</v>
      </c>
      <c r="AH270" s="26" cm="1">
        <f t="array" ref="AH270">_xlfn.IFS(
   OR(G270="",ISBLANK(G270),G270=0),0,
   ISNUMBER(MATCH(G270,{2,3,5,7,11,13,17,19,23,29,31,37,41,43},0)),"소",
   AND(ISNUMBER(G270),MOD(G270,3)=0),"배",
   AND(ISNUMBER(G270),G270&gt;0),"자"
)</f>
        <v>0</v>
      </c>
      <c r="AI270" s="30"/>
      <c r="AJ270" s="3">
        <f t="shared" si="170"/>
        <v>0</v>
      </c>
      <c r="AK270" s="3">
        <f t="shared" si="171"/>
        <v>0</v>
      </c>
      <c r="AL270" s="3">
        <f t="shared" si="172"/>
        <v>6</v>
      </c>
      <c r="AM270" s="33"/>
      <c r="AN270" s="3">
        <f t="shared" si="173"/>
        <v>0</v>
      </c>
      <c r="AO270" s="3">
        <f t="shared" si="174"/>
        <v>0</v>
      </c>
      <c r="AP270" s="3">
        <f t="shared" si="175"/>
        <v>0</v>
      </c>
      <c r="AQ270" s="3">
        <f t="shared" si="176"/>
        <v>0</v>
      </c>
      <c r="AR270" s="3">
        <f t="shared" si="177"/>
        <v>0</v>
      </c>
      <c r="AS270" s="28" t="e">
        <f>#REF!</f>
        <v>#REF!</v>
      </c>
      <c r="AT270" s="28" t="e">
        <f>#REF!*2</f>
        <v>#REF!</v>
      </c>
      <c r="AU270" s="28" t="e">
        <f>#REF!</f>
        <v>#REF!</v>
      </c>
      <c r="AV270" s="28" t="e">
        <f>#REF!*2</f>
        <v>#REF!</v>
      </c>
      <c r="AW270" s="28" t="e">
        <f>#REF!</f>
        <v>#REF!</v>
      </c>
      <c r="AX270" s="28" t="e">
        <f>#REF!*2</f>
        <v>#REF!</v>
      </c>
      <c r="AY270" s="28" t="e">
        <f>#REF!</f>
        <v>#REF!</v>
      </c>
      <c r="AZ270" s="28" t="e">
        <f>#REF!*2</f>
        <v>#REF!</v>
      </c>
      <c r="BA270" s="28" t="e">
        <f>#REF!</f>
        <v>#REF!</v>
      </c>
      <c r="BB270" s="28" t="e">
        <f>#REF!*2</f>
        <v>#REF!</v>
      </c>
      <c r="BC270" s="28" t="e">
        <f>#REF!</f>
        <v>#REF!</v>
      </c>
      <c r="BD270" s="28" t="e">
        <f>#REF!*2</f>
        <v>#REF!</v>
      </c>
      <c r="BE270" s="9" t="e">
        <f>#REF!-#REF!</f>
        <v>#REF!</v>
      </c>
      <c r="BF270" s="9" t="e">
        <f>#REF!-#REF!</f>
        <v>#REF!</v>
      </c>
      <c r="BG270" s="9" t="e">
        <f>#REF!-#REF!</f>
        <v>#REF!</v>
      </c>
      <c r="BH270" s="9" t="e">
        <f>#REF!-#REF!</f>
        <v>#REF!</v>
      </c>
      <c r="BI270" s="9" t="e">
        <f>#REF!-#REF!</f>
        <v>#REF!</v>
      </c>
      <c r="BJ270" s="33"/>
      <c r="BK270" s="3">
        <f t="shared" si="178"/>
        <v>0</v>
      </c>
      <c r="BL270" s="3">
        <f t="shared" si="179"/>
        <v>0</v>
      </c>
      <c r="BM270" s="3">
        <f t="shared" si="180"/>
        <v>0</v>
      </c>
      <c r="BN270" s="3">
        <f t="shared" si="181"/>
        <v>0</v>
      </c>
      <c r="BO270" s="3">
        <f t="shared" si="182"/>
        <v>0</v>
      </c>
      <c r="BP270" s="28" t="e">
        <f>#REF!</f>
        <v>#REF!</v>
      </c>
      <c r="BQ270" s="28" t="e">
        <f>#REF!*2</f>
        <v>#REF!</v>
      </c>
      <c r="BR270" s="28" t="e">
        <f>#REF!</f>
        <v>#REF!</v>
      </c>
      <c r="BS270" s="28" t="e">
        <f>#REF!*2</f>
        <v>#REF!</v>
      </c>
      <c r="BT270" s="28" t="e">
        <f>#REF!</f>
        <v>#REF!</v>
      </c>
      <c r="BU270" s="28" t="e">
        <f>#REF!*2</f>
        <v>#REF!</v>
      </c>
      <c r="BV270" s="28" t="e">
        <f>#REF!</f>
        <v>#REF!</v>
      </c>
      <c r="BW270" s="28" t="e">
        <f>#REF!*2</f>
        <v>#REF!</v>
      </c>
      <c r="BX270" s="28" t="e">
        <f>#REF!</f>
        <v>#REF!</v>
      </c>
      <c r="BY270" s="28" t="e">
        <f>#REF!*2</f>
        <v>#REF!</v>
      </c>
      <c r="BZ270" s="28" t="e">
        <f>#REF!</f>
        <v>#REF!</v>
      </c>
      <c r="CA270" s="28" t="e">
        <f>#REF!*2</f>
        <v>#REF!</v>
      </c>
      <c r="CB270" s="9">
        <f t="shared" si="183"/>
        <v>0</v>
      </c>
      <c r="CC270" s="9">
        <f t="shared" si="184"/>
        <v>0</v>
      </c>
      <c r="CD270" s="9">
        <f t="shared" si="185"/>
        <v>0</v>
      </c>
      <c r="CE270" s="9">
        <f t="shared" si="186"/>
        <v>0</v>
      </c>
      <c r="CF270" s="9">
        <f t="shared" si="187"/>
        <v>0</v>
      </c>
      <c r="CG270" s="33"/>
      <c r="CH270" s="3">
        <f t="shared" si="188"/>
        <v>0</v>
      </c>
      <c r="CI270" s="3">
        <f t="shared" si="189"/>
        <v>0</v>
      </c>
      <c r="CJ270" s="3">
        <f t="shared" si="190"/>
        <v>0</v>
      </c>
      <c r="CK270" s="3">
        <f t="shared" si="191"/>
        <v>0</v>
      </c>
      <c r="CL270" s="3">
        <f t="shared" si="192"/>
        <v>0</v>
      </c>
      <c r="CM270" s="32"/>
      <c r="CN270" s="3">
        <f t="shared" si="193"/>
        <v>0</v>
      </c>
      <c r="CO270" s="3">
        <f t="shared" si="194"/>
        <v>0</v>
      </c>
      <c r="CP270" s="3">
        <f t="shared" si="195"/>
        <v>0</v>
      </c>
      <c r="CQ270" s="3">
        <f t="shared" si="196"/>
        <v>0</v>
      </c>
      <c r="CR270" s="3">
        <f t="shared" si="197"/>
        <v>0</v>
      </c>
      <c r="CS270" s="31"/>
      <c r="CT270" s="3" cm="1">
        <f t="array" ref="CT270">SUMPRODUCT(--(MOD(CH270:CL270,2)=1))</f>
        <v>0</v>
      </c>
      <c r="CU270" s="3">
        <f t="shared" si="198"/>
        <v>5</v>
      </c>
      <c r="CV270" s="30"/>
      <c r="CW270" s="3" cm="1">
        <f t="array" ref="CW270">SUMPRODUCT(--(MOD(CH270:CL270,10)&gt;=1), --(MOD(CH270:CL270,10)&lt;=5))</f>
        <v>0</v>
      </c>
      <c r="CX270" s="3">
        <f t="shared" si="199"/>
        <v>5</v>
      </c>
      <c r="CY270" s="30"/>
      <c r="CZ270" s="3" cm="1">
        <f t="array" ref="CZ270">IFERROR(COUNT(_xlfn._xlws.FILTER(CH270:CL270, ISNUMBER(MATCH(CH270:CL270, {2,3,5,7,11,13,17,19,23,29,31,37,41,43}, 0)))), 0)</f>
        <v>0</v>
      </c>
      <c r="DA270" s="3" cm="1">
        <f t="array" ref="DA270">IFERROR(COUNT(_xlfn._xlws.FILTER(CH270:CL270, ISNUMBER(MATCH(CH270:CL270, {1,4,8,10,14,16,20,22,25,26,28,32,34,35,38,40,44}, 0)))), 0)</f>
        <v>0</v>
      </c>
      <c r="DB270" s="3" cm="1">
        <f t="array" ref="DB270">IFERROR(COUNT(_xlfn._xlws.FILTER(CH270:CL270, ISNUMBER(MATCH(CH270:CL270, {6,9,12,15,18,21,24,27,30,33,36,39,42,45}, 0)))), 0)</f>
        <v>0</v>
      </c>
      <c r="DC270" s="29"/>
      <c r="DD270" s="28" t="e">
        <f>#REF!</f>
        <v>#REF!</v>
      </c>
      <c r="DE270" s="28" t="e">
        <f>#REF!*2</f>
        <v>#REF!</v>
      </c>
      <c r="DF270" s="28" t="e">
        <f>#REF!</f>
        <v>#REF!</v>
      </c>
      <c r="DG270" s="28" t="e">
        <f>#REF!*2</f>
        <v>#REF!</v>
      </c>
      <c r="DH270" s="28" t="e">
        <f>#REF!</f>
        <v>#REF!</v>
      </c>
      <c r="DI270" s="28" t="e">
        <f>#REF!*2</f>
        <v>#REF!</v>
      </c>
      <c r="DJ270" s="28" t="e">
        <f>#REF!</f>
        <v>#REF!</v>
      </c>
      <c r="DK270" s="28" t="e">
        <f>#REF!*2</f>
        <v>#REF!</v>
      </c>
      <c r="DL270" s="28" t="e">
        <f>#REF!</f>
        <v>#REF!</v>
      </c>
      <c r="DM270" s="28" t="e">
        <f>#REF!*2</f>
        <v>#REF!</v>
      </c>
      <c r="DN270" s="27"/>
      <c r="DO270" s="26"/>
      <c r="DP270" s="26"/>
      <c r="DQ270" s="26"/>
      <c r="DR270" s="26"/>
      <c r="DS270" s="26"/>
      <c r="DT270" s="25"/>
    </row>
    <row r="271" spans="2:124" x14ac:dyDescent="0.3"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2"/>
      <c r="I271" s="3">
        <f t="shared" si="160"/>
        <v>0</v>
      </c>
      <c r="J271" s="3">
        <f t="shared" si="161"/>
        <v>0</v>
      </c>
      <c r="K271" s="3">
        <f t="shared" si="162"/>
        <v>0</v>
      </c>
      <c r="L271" s="3">
        <f t="shared" si="163"/>
        <v>0</v>
      </c>
      <c r="M271" s="3">
        <f t="shared" si="164"/>
        <v>0</v>
      </c>
      <c r="N271" s="3">
        <f t="shared" si="165"/>
        <v>0</v>
      </c>
      <c r="O271" s="32"/>
      <c r="P271" s="3" cm="1">
        <f t="array" ref="P271">SUMPRODUCT(--(MOD(B271:G271,2)=1))</f>
        <v>0</v>
      </c>
      <c r="Q271" s="3">
        <f t="shared" si="166"/>
        <v>6</v>
      </c>
      <c r="R271" s="34"/>
      <c r="S271" s="3">
        <f t="shared" si="167"/>
        <v>0</v>
      </c>
      <c r="T271" s="3">
        <f t="shared" si="168"/>
        <v>6</v>
      </c>
      <c r="U271" s="34"/>
      <c r="V271" s="3" cm="1">
        <f t="array" ref="V271">SUMPRODUCT(--(MOD(B271:G271,10)&gt;=1), --(MOD(B271:G271,10)&lt;=5))</f>
        <v>0</v>
      </c>
      <c r="W271" s="3">
        <f t="shared" si="169"/>
        <v>6</v>
      </c>
      <c r="X271" s="34"/>
      <c r="Y271" s="3" cm="1">
        <f t="array" ref="Y271">IFERROR(COUNT(_xlfn._xlws.FILTER(B271:G271, ISNUMBER(MATCH(B271:G271, {2,3,5,7,11,13,17,19,23,29,31,37,41,43}, 0)))), 0)</f>
        <v>0</v>
      </c>
      <c r="Z271" s="3" cm="1">
        <f t="array" ref="Z271">IFERROR(COUNT(_xlfn._xlws.FILTER(B271:G271, ISNUMBER(MATCH(B271:G271, {1,4,8,10,14,16,20,22,25,26,28,32,34,35,38,40,44}, 0)))), 0)</f>
        <v>0</v>
      </c>
      <c r="AA271" s="3" cm="1">
        <f t="array" ref="AA271">IFERROR(COUNT(_xlfn._xlws.FILTER(B271:G271, ISNUMBER(MATCH(B271:G271, {6,9,12,15,18,21,24,27,30,33,36,39,42,45}, 0)))), 0)</f>
        <v>0</v>
      </c>
      <c r="AB271" s="30"/>
      <c r="AC271" s="26" cm="1">
        <f t="array" ref="AC271">_xlfn.IFS(
   OR(B271="",ISBLANK(B271),B271=0),0,
   ISNUMBER(MATCH(B271,{2,3,5,7,11,13,17,19,23,29,31,37,41,43},0)),"소",
   AND(ISNUMBER(B271),MOD(B271,3)=0),"배",
   AND(ISNUMBER(B271),B271&gt;0),"자"
)</f>
        <v>0</v>
      </c>
      <c r="AD271" s="26" cm="1">
        <f t="array" ref="AD271">_xlfn.IFS(
   OR(C271="",ISBLANK(C271),C271=0),0,
   ISNUMBER(MATCH(C271,{2,3,5,7,11,13,17,19,23,29,31,37,41,43},0)),"소",
   AND(ISNUMBER(C271),MOD(C271,3)=0),"배",
   AND(ISNUMBER(C271),C271&gt;0),"자"
)</f>
        <v>0</v>
      </c>
      <c r="AE271" s="26" cm="1">
        <f t="array" ref="AE271">_xlfn.IFS(
   OR(D271="",ISBLANK(D271),D271=0),0,
   ISNUMBER(MATCH(D271,{2,3,5,7,11,13,17,19,23,29,31,37,41,43},0)),"소",
   AND(ISNUMBER(D271),MOD(D271,3)=0),"배",
   AND(ISNUMBER(D271),D271&gt;0),"자"
)</f>
        <v>0</v>
      </c>
      <c r="AF271" s="26" cm="1">
        <f t="array" ref="AF271">_xlfn.IFS(
   OR(E271="",ISBLANK(E271),E271=0),0,
   ISNUMBER(MATCH(E271,{2,3,5,7,11,13,17,19,23,29,31,37,41,43},0)),"소",
   AND(ISNUMBER(E271),MOD(E271,3)=0),"배",
   AND(ISNUMBER(E271),E271&gt;0),"자"
)</f>
        <v>0</v>
      </c>
      <c r="AG271" s="26" cm="1">
        <f t="array" ref="AG271">_xlfn.IFS(
   OR(F271="",ISBLANK(F271),F271=0),0,
   ISNUMBER(MATCH(F271,{2,3,5,7,11,13,17,19,23,29,31,37,41,43},0)),"소",
   AND(ISNUMBER(F271),MOD(F271,3)=0),"배",
   AND(ISNUMBER(F271),F271&gt;0),"자"
)</f>
        <v>0</v>
      </c>
      <c r="AH271" s="26" cm="1">
        <f t="array" ref="AH271">_xlfn.IFS(
   OR(G271="",ISBLANK(G271),G271=0),0,
   ISNUMBER(MATCH(G271,{2,3,5,7,11,13,17,19,23,29,31,37,41,43},0)),"소",
   AND(ISNUMBER(G271),MOD(G271,3)=0),"배",
   AND(ISNUMBER(G271),G271&gt;0),"자"
)</f>
        <v>0</v>
      </c>
      <c r="AI271" s="30"/>
      <c r="AJ271" s="3">
        <f t="shared" si="170"/>
        <v>0</v>
      </c>
      <c r="AK271" s="3">
        <f t="shared" si="171"/>
        <v>0</v>
      </c>
      <c r="AL271" s="3">
        <f t="shared" si="172"/>
        <v>6</v>
      </c>
      <c r="AM271" s="33"/>
      <c r="AN271" s="3">
        <f t="shared" si="173"/>
        <v>0</v>
      </c>
      <c r="AO271" s="3">
        <f t="shared" si="174"/>
        <v>0</v>
      </c>
      <c r="AP271" s="3">
        <f t="shared" si="175"/>
        <v>0</v>
      </c>
      <c r="AQ271" s="3">
        <f t="shared" si="176"/>
        <v>0</v>
      </c>
      <c r="AR271" s="3">
        <f t="shared" si="177"/>
        <v>0</v>
      </c>
      <c r="AS271" s="28" t="e">
        <f>#REF!</f>
        <v>#REF!</v>
      </c>
      <c r="AT271" s="28" t="e">
        <f>#REF!*2</f>
        <v>#REF!</v>
      </c>
      <c r="AU271" s="28" t="e">
        <f>#REF!</f>
        <v>#REF!</v>
      </c>
      <c r="AV271" s="28" t="e">
        <f>#REF!*2</f>
        <v>#REF!</v>
      </c>
      <c r="AW271" s="28" t="e">
        <f>#REF!</f>
        <v>#REF!</v>
      </c>
      <c r="AX271" s="28" t="e">
        <f>#REF!*2</f>
        <v>#REF!</v>
      </c>
      <c r="AY271" s="28" t="e">
        <f>#REF!</f>
        <v>#REF!</v>
      </c>
      <c r="AZ271" s="28" t="e">
        <f>#REF!*2</f>
        <v>#REF!</v>
      </c>
      <c r="BA271" s="28" t="e">
        <f>#REF!</f>
        <v>#REF!</v>
      </c>
      <c r="BB271" s="28" t="e">
        <f>#REF!*2</f>
        <v>#REF!</v>
      </c>
      <c r="BC271" s="28" t="e">
        <f>#REF!</f>
        <v>#REF!</v>
      </c>
      <c r="BD271" s="28" t="e">
        <f>#REF!*2</f>
        <v>#REF!</v>
      </c>
      <c r="BE271" s="9" t="e">
        <f>#REF!-#REF!</f>
        <v>#REF!</v>
      </c>
      <c r="BF271" s="9" t="e">
        <f>#REF!-#REF!</f>
        <v>#REF!</v>
      </c>
      <c r="BG271" s="9" t="e">
        <f>#REF!-#REF!</f>
        <v>#REF!</v>
      </c>
      <c r="BH271" s="9" t="e">
        <f>#REF!-#REF!</f>
        <v>#REF!</v>
      </c>
      <c r="BI271" s="9" t="e">
        <f>#REF!-#REF!</f>
        <v>#REF!</v>
      </c>
      <c r="BJ271" s="33"/>
      <c r="BK271" s="3">
        <f t="shared" si="178"/>
        <v>0</v>
      </c>
      <c r="BL271" s="3">
        <f t="shared" si="179"/>
        <v>0</v>
      </c>
      <c r="BM271" s="3">
        <f t="shared" si="180"/>
        <v>0</v>
      </c>
      <c r="BN271" s="3">
        <f t="shared" si="181"/>
        <v>0</v>
      </c>
      <c r="BO271" s="3">
        <f t="shared" si="182"/>
        <v>0</v>
      </c>
      <c r="BP271" s="28" t="e">
        <f>#REF!</f>
        <v>#REF!</v>
      </c>
      <c r="BQ271" s="28" t="e">
        <f>#REF!*2</f>
        <v>#REF!</v>
      </c>
      <c r="BR271" s="28" t="e">
        <f>#REF!</f>
        <v>#REF!</v>
      </c>
      <c r="BS271" s="28" t="e">
        <f>#REF!*2</f>
        <v>#REF!</v>
      </c>
      <c r="BT271" s="28" t="e">
        <f>#REF!</f>
        <v>#REF!</v>
      </c>
      <c r="BU271" s="28" t="e">
        <f>#REF!*2</f>
        <v>#REF!</v>
      </c>
      <c r="BV271" s="28" t="e">
        <f>#REF!</f>
        <v>#REF!</v>
      </c>
      <c r="BW271" s="28" t="e">
        <f>#REF!*2</f>
        <v>#REF!</v>
      </c>
      <c r="BX271" s="28" t="e">
        <f>#REF!</f>
        <v>#REF!</v>
      </c>
      <c r="BY271" s="28" t="e">
        <f>#REF!*2</f>
        <v>#REF!</v>
      </c>
      <c r="BZ271" s="28" t="e">
        <f>#REF!</f>
        <v>#REF!</v>
      </c>
      <c r="CA271" s="28" t="e">
        <f>#REF!*2</f>
        <v>#REF!</v>
      </c>
      <c r="CB271" s="9">
        <f t="shared" si="183"/>
        <v>0</v>
      </c>
      <c r="CC271" s="9">
        <f t="shared" si="184"/>
        <v>0</v>
      </c>
      <c r="CD271" s="9">
        <f t="shared" si="185"/>
        <v>0</v>
      </c>
      <c r="CE271" s="9">
        <f t="shared" si="186"/>
        <v>0</v>
      </c>
      <c r="CF271" s="9">
        <f t="shared" si="187"/>
        <v>0</v>
      </c>
      <c r="CG271" s="33"/>
      <c r="CH271" s="3">
        <f t="shared" si="188"/>
        <v>0</v>
      </c>
      <c r="CI271" s="3">
        <f t="shared" si="189"/>
        <v>0</v>
      </c>
      <c r="CJ271" s="3">
        <f t="shared" si="190"/>
        <v>0</v>
      </c>
      <c r="CK271" s="3">
        <f t="shared" si="191"/>
        <v>0</v>
      </c>
      <c r="CL271" s="3">
        <f t="shared" si="192"/>
        <v>0</v>
      </c>
      <c r="CM271" s="32"/>
      <c r="CN271" s="3">
        <f t="shared" si="193"/>
        <v>0</v>
      </c>
      <c r="CO271" s="3">
        <f t="shared" si="194"/>
        <v>0</v>
      </c>
      <c r="CP271" s="3">
        <f t="shared" si="195"/>
        <v>0</v>
      </c>
      <c r="CQ271" s="3">
        <f t="shared" si="196"/>
        <v>0</v>
      </c>
      <c r="CR271" s="3">
        <f t="shared" si="197"/>
        <v>0</v>
      </c>
      <c r="CS271" s="31"/>
      <c r="CT271" s="3" cm="1">
        <f t="array" ref="CT271">SUMPRODUCT(--(MOD(CH271:CL271,2)=1))</f>
        <v>0</v>
      </c>
      <c r="CU271" s="3">
        <f t="shared" si="198"/>
        <v>5</v>
      </c>
      <c r="CV271" s="30"/>
      <c r="CW271" s="3" cm="1">
        <f t="array" ref="CW271">SUMPRODUCT(--(MOD(CH271:CL271,10)&gt;=1), --(MOD(CH271:CL271,10)&lt;=5))</f>
        <v>0</v>
      </c>
      <c r="CX271" s="3">
        <f t="shared" si="199"/>
        <v>5</v>
      </c>
      <c r="CY271" s="30"/>
      <c r="CZ271" s="3" cm="1">
        <f t="array" ref="CZ271">IFERROR(COUNT(_xlfn._xlws.FILTER(CH271:CL271, ISNUMBER(MATCH(CH271:CL271, {2,3,5,7,11,13,17,19,23,29,31,37,41,43}, 0)))), 0)</f>
        <v>0</v>
      </c>
      <c r="DA271" s="3" cm="1">
        <f t="array" ref="DA271">IFERROR(COUNT(_xlfn._xlws.FILTER(CH271:CL271, ISNUMBER(MATCH(CH271:CL271, {1,4,8,10,14,16,20,22,25,26,28,32,34,35,38,40,44}, 0)))), 0)</f>
        <v>0</v>
      </c>
      <c r="DB271" s="3" cm="1">
        <f t="array" ref="DB271">IFERROR(COUNT(_xlfn._xlws.FILTER(CH271:CL271, ISNUMBER(MATCH(CH271:CL271, {6,9,12,15,18,21,24,27,30,33,36,39,42,45}, 0)))), 0)</f>
        <v>0</v>
      </c>
      <c r="DC271" s="29"/>
      <c r="DD271" s="28" t="e">
        <f>#REF!</f>
        <v>#REF!</v>
      </c>
      <c r="DE271" s="28" t="e">
        <f>#REF!*2</f>
        <v>#REF!</v>
      </c>
      <c r="DF271" s="28" t="e">
        <f>#REF!</f>
        <v>#REF!</v>
      </c>
      <c r="DG271" s="28" t="e">
        <f>#REF!*2</f>
        <v>#REF!</v>
      </c>
      <c r="DH271" s="28" t="e">
        <f>#REF!</f>
        <v>#REF!</v>
      </c>
      <c r="DI271" s="28" t="e">
        <f>#REF!*2</f>
        <v>#REF!</v>
      </c>
      <c r="DJ271" s="28" t="e">
        <f>#REF!</f>
        <v>#REF!</v>
      </c>
      <c r="DK271" s="28" t="e">
        <f>#REF!*2</f>
        <v>#REF!</v>
      </c>
      <c r="DL271" s="28" t="e">
        <f>#REF!</f>
        <v>#REF!</v>
      </c>
      <c r="DM271" s="28" t="e">
        <f>#REF!*2</f>
        <v>#REF!</v>
      </c>
      <c r="DN271" s="27"/>
      <c r="DO271" s="26"/>
      <c r="DP271" s="26"/>
      <c r="DQ271" s="26"/>
      <c r="DR271" s="26"/>
      <c r="DS271" s="26"/>
      <c r="DT271" s="25"/>
    </row>
    <row r="272" spans="2:124" x14ac:dyDescent="0.3"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2"/>
      <c r="I272" s="3">
        <f t="shared" si="160"/>
        <v>0</v>
      </c>
      <c r="J272" s="3">
        <f t="shared" si="161"/>
        <v>0</v>
      </c>
      <c r="K272" s="3">
        <f t="shared" si="162"/>
        <v>0</v>
      </c>
      <c r="L272" s="3">
        <f t="shared" si="163"/>
        <v>0</v>
      </c>
      <c r="M272" s="3">
        <f t="shared" si="164"/>
        <v>0</v>
      </c>
      <c r="N272" s="3">
        <f t="shared" si="165"/>
        <v>0</v>
      </c>
      <c r="O272" s="32"/>
      <c r="P272" s="3" cm="1">
        <f t="array" ref="P272">SUMPRODUCT(--(MOD(B272:G272,2)=1))</f>
        <v>0</v>
      </c>
      <c r="Q272" s="3">
        <f t="shared" si="166"/>
        <v>6</v>
      </c>
      <c r="R272" s="34"/>
      <c r="S272" s="3">
        <f t="shared" si="167"/>
        <v>0</v>
      </c>
      <c r="T272" s="3">
        <f t="shared" si="168"/>
        <v>6</v>
      </c>
      <c r="U272" s="34"/>
      <c r="V272" s="3" cm="1">
        <f t="array" ref="V272">SUMPRODUCT(--(MOD(B272:G272,10)&gt;=1), --(MOD(B272:G272,10)&lt;=5))</f>
        <v>0</v>
      </c>
      <c r="W272" s="3">
        <f t="shared" si="169"/>
        <v>6</v>
      </c>
      <c r="X272" s="34"/>
      <c r="Y272" s="3" cm="1">
        <f t="array" ref="Y272">IFERROR(COUNT(_xlfn._xlws.FILTER(B272:G272, ISNUMBER(MATCH(B272:G272, {2,3,5,7,11,13,17,19,23,29,31,37,41,43}, 0)))), 0)</f>
        <v>0</v>
      </c>
      <c r="Z272" s="3" cm="1">
        <f t="array" ref="Z272">IFERROR(COUNT(_xlfn._xlws.FILTER(B272:G272, ISNUMBER(MATCH(B272:G272, {1,4,8,10,14,16,20,22,25,26,28,32,34,35,38,40,44}, 0)))), 0)</f>
        <v>0</v>
      </c>
      <c r="AA272" s="3" cm="1">
        <f t="array" ref="AA272">IFERROR(COUNT(_xlfn._xlws.FILTER(B272:G272, ISNUMBER(MATCH(B272:G272, {6,9,12,15,18,21,24,27,30,33,36,39,42,45}, 0)))), 0)</f>
        <v>0</v>
      </c>
      <c r="AB272" s="30"/>
      <c r="AC272" s="26" cm="1">
        <f t="array" ref="AC272">_xlfn.IFS(
   OR(B272="",ISBLANK(B272),B272=0),0,
   ISNUMBER(MATCH(B272,{2,3,5,7,11,13,17,19,23,29,31,37,41,43},0)),"소",
   AND(ISNUMBER(B272),MOD(B272,3)=0),"배",
   AND(ISNUMBER(B272),B272&gt;0),"자"
)</f>
        <v>0</v>
      </c>
      <c r="AD272" s="26" cm="1">
        <f t="array" ref="AD272">_xlfn.IFS(
   OR(C272="",ISBLANK(C272),C272=0),0,
   ISNUMBER(MATCH(C272,{2,3,5,7,11,13,17,19,23,29,31,37,41,43},0)),"소",
   AND(ISNUMBER(C272),MOD(C272,3)=0),"배",
   AND(ISNUMBER(C272),C272&gt;0),"자"
)</f>
        <v>0</v>
      </c>
      <c r="AE272" s="26" cm="1">
        <f t="array" ref="AE272">_xlfn.IFS(
   OR(D272="",ISBLANK(D272),D272=0),0,
   ISNUMBER(MATCH(D272,{2,3,5,7,11,13,17,19,23,29,31,37,41,43},0)),"소",
   AND(ISNUMBER(D272),MOD(D272,3)=0),"배",
   AND(ISNUMBER(D272),D272&gt;0),"자"
)</f>
        <v>0</v>
      </c>
      <c r="AF272" s="26" cm="1">
        <f t="array" ref="AF272">_xlfn.IFS(
   OR(E272="",ISBLANK(E272),E272=0),0,
   ISNUMBER(MATCH(E272,{2,3,5,7,11,13,17,19,23,29,31,37,41,43},0)),"소",
   AND(ISNUMBER(E272),MOD(E272,3)=0),"배",
   AND(ISNUMBER(E272),E272&gt;0),"자"
)</f>
        <v>0</v>
      </c>
      <c r="AG272" s="26" cm="1">
        <f t="array" ref="AG272">_xlfn.IFS(
   OR(F272="",ISBLANK(F272),F272=0),0,
   ISNUMBER(MATCH(F272,{2,3,5,7,11,13,17,19,23,29,31,37,41,43},0)),"소",
   AND(ISNUMBER(F272),MOD(F272,3)=0),"배",
   AND(ISNUMBER(F272),F272&gt;0),"자"
)</f>
        <v>0</v>
      </c>
      <c r="AH272" s="26" cm="1">
        <f t="array" ref="AH272">_xlfn.IFS(
   OR(G272="",ISBLANK(G272),G272=0),0,
   ISNUMBER(MATCH(G272,{2,3,5,7,11,13,17,19,23,29,31,37,41,43},0)),"소",
   AND(ISNUMBER(G272),MOD(G272,3)=0),"배",
   AND(ISNUMBER(G272),G272&gt;0),"자"
)</f>
        <v>0</v>
      </c>
      <c r="AI272" s="30"/>
      <c r="AJ272" s="3">
        <f t="shared" si="170"/>
        <v>0</v>
      </c>
      <c r="AK272" s="3">
        <f t="shared" si="171"/>
        <v>0</v>
      </c>
      <c r="AL272" s="3">
        <f t="shared" si="172"/>
        <v>6</v>
      </c>
      <c r="AM272" s="33"/>
      <c r="AN272" s="3">
        <f t="shared" si="173"/>
        <v>0</v>
      </c>
      <c r="AO272" s="3">
        <f t="shared" si="174"/>
        <v>0</v>
      </c>
      <c r="AP272" s="3">
        <f t="shared" si="175"/>
        <v>0</v>
      </c>
      <c r="AQ272" s="3">
        <f t="shared" si="176"/>
        <v>0</v>
      </c>
      <c r="AR272" s="3">
        <f t="shared" si="177"/>
        <v>0</v>
      </c>
      <c r="AS272" s="28" t="e">
        <f>#REF!</f>
        <v>#REF!</v>
      </c>
      <c r="AT272" s="28" t="e">
        <f>#REF!*2</f>
        <v>#REF!</v>
      </c>
      <c r="AU272" s="28" t="e">
        <f>#REF!</f>
        <v>#REF!</v>
      </c>
      <c r="AV272" s="28" t="e">
        <f>#REF!*2</f>
        <v>#REF!</v>
      </c>
      <c r="AW272" s="28" t="e">
        <f>#REF!</f>
        <v>#REF!</v>
      </c>
      <c r="AX272" s="28" t="e">
        <f>#REF!*2</f>
        <v>#REF!</v>
      </c>
      <c r="AY272" s="28" t="e">
        <f>#REF!</f>
        <v>#REF!</v>
      </c>
      <c r="AZ272" s="28" t="e">
        <f>#REF!*2</f>
        <v>#REF!</v>
      </c>
      <c r="BA272" s="28" t="e">
        <f>#REF!</f>
        <v>#REF!</v>
      </c>
      <c r="BB272" s="28" t="e">
        <f>#REF!*2</f>
        <v>#REF!</v>
      </c>
      <c r="BC272" s="28" t="e">
        <f>#REF!</f>
        <v>#REF!</v>
      </c>
      <c r="BD272" s="28" t="e">
        <f>#REF!*2</f>
        <v>#REF!</v>
      </c>
      <c r="BE272" s="9" t="e">
        <f>#REF!-#REF!</f>
        <v>#REF!</v>
      </c>
      <c r="BF272" s="9" t="e">
        <f>#REF!-#REF!</f>
        <v>#REF!</v>
      </c>
      <c r="BG272" s="9" t="e">
        <f>#REF!-#REF!</f>
        <v>#REF!</v>
      </c>
      <c r="BH272" s="9" t="e">
        <f>#REF!-#REF!</f>
        <v>#REF!</v>
      </c>
      <c r="BI272" s="9" t="e">
        <f>#REF!-#REF!</f>
        <v>#REF!</v>
      </c>
      <c r="BJ272" s="33"/>
      <c r="BK272" s="3">
        <f t="shared" si="178"/>
        <v>0</v>
      </c>
      <c r="BL272" s="3">
        <f t="shared" si="179"/>
        <v>0</v>
      </c>
      <c r="BM272" s="3">
        <f t="shared" si="180"/>
        <v>0</v>
      </c>
      <c r="BN272" s="3">
        <f t="shared" si="181"/>
        <v>0</v>
      </c>
      <c r="BO272" s="3">
        <f t="shared" si="182"/>
        <v>0</v>
      </c>
      <c r="BP272" s="28" t="e">
        <f>#REF!</f>
        <v>#REF!</v>
      </c>
      <c r="BQ272" s="28" t="e">
        <f>#REF!*2</f>
        <v>#REF!</v>
      </c>
      <c r="BR272" s="28" t="e">
        <f>#REF!</f>
        <v>#REF!</v>
      </c>
      <c r="BS272" s="28" t="e">
        <f>#REF!*2</f>
        <v>#REF!</v>
      </c>
      <c r="BT272" s="28" t="e">
        <f>#REF!</f>
        <v>#REF!</v>
      </c>
      <c r="BU272" s="28" t="e">
        <f>#REF!*2</f>
        <v>#REF!</v>
      </c>
      <c r="BV272" s="28" t="e">
        <f>#REF!</f>
        <v>#REF!</v>
      </c>
      <c r="BW272" s="28" t="e">
        <f>#REF!*2</f>
        <v>#REF!</v>
      </c>
      <c r="BX272" s="28" t="e">
        <f>#REF!</f>
        <v>#REF!</v>
      </c>
      <c r="BY272" s="28" t="e">
        <f>#REF!*2</f>
        <v>#REF!</v>
      </c>
      <c r="BZ272" s="28" t="e">
        <f>#REF!</f>
        <v>#REF!</v>
      </c>
      <c r="CA272" s="28" t="e">
        <f>#REF!*2</f>
        <v>#REF!</v>
      </c>
      <c r="CB272" s="9">
        <f t="shared" si="183"/>
        <v>0</v>
      </c>
      <c r="CC272" s="9">
        <f t="shared" si="184"/>
        <v>0</v>
      </c>
      <c r="CD272" s="9">
        <f t="shared" si="185"/>
        <v>0</v>
      </c>
      <c r="CE272" s="9">
        <f t="shared" si="186"/>
        <v>0</v>
      </c>
      <c r="CF272" s="9">
        <f t="shared" si="187"/>
        <v>0</v>
      </c>
      <c r="CG272" s="33"/>
      <c r="CH272" s="3">
        <f t="shared" si="188"/>
        <v>0</v>
      </c>
      <c r="CI272" s="3">
        <f t="shared" si="189"/>
        <v>0</v>
      </c>
      <c r="CJ272" s="3">
        <f t="shared" si="190"/>
        <v>0</v>
      </c>
      <c r="CK272" s="3">
        <f t="shared" si="191"/>
        <v>0</v>
      </c>
      <c r="CL272" s="3">
        <f t="shared" si="192"/>
        <v>0</v>
      </c>
      <c r="CM272" s="32"/>
      <c r="CN272" s="3">
        <f t="shared" si="193"/>
        <v>0</v>
      </c>
      <c r="CO272" s="3">
        <f t="shared" si="194"/>
        <v>0</v>
      </c>
      <c r="CP272" s="3">
        <f t="shared" si="195"/>
        <v>0</v>
      </c>
      <c r="CQ272" s="3">
        <f t="shared" si="196"/>
        <v>0</v>
      </c>
      <c r="CR272" s="3">
        <f t="shared" si="197"/>
        <v>0</v>
      </c>
      <c r="CS272" s="31"/>
      <c r="CT272" s="3" cm="1">
        <f t="array" ref="CT272">SUMPRODUCT(--(MOD(CH272:CL272,2)=1))</f>
        <v>0</v>
      </c>
      <c r="CU272" s="3">
        <f t="shared" si="198"/>
        <v>5</v>
      </c>
      <c r="CV272" s="30"/>
      <c r="CW272" s="3" cm="1">
        <f t="array" ref="CW272">SUMPRODUCT(--(MOD(CH272:CL272,10)&gt;=1), --(MOD(CH272:CL272,10)&lt;=5))</f>
        <v>0</v>
      </c>
      <c r="CX272" s="3">
        <f t="shared" si="199"/>
        <v>5</v>
      </c>
      <c r="CY272" s="30"/>
      <c r="CZ272" s="3" cm="1">
        <f t="array" ref="CZ272">IFERROR(COUNT(_xlfn._xlws.FILTER(CH272:CL272, ISNUMBER(MATCH(CH272:CL272, {2,3,5,7,11,13,17,19,23,29,31,37,41,43}, 0)))), 0)</f>
        <v>0</v>
      </c>
      <c r="DA272" s="3" cm="1">
        <f t="array" ref="DA272">IFERROR(COUNT(_xlfn._xlws.FILTER(CH272:CL272, ISNUMBER(MATCH(CH272:CL272, {1,4,8,10,14,16,20,22,25,26,28,32,34,35,38,40,44}, 0)))), 0)</f>
        <v>0</v>
      </c>
      <c r="DB272" s="3" cm="1">
        <f t="array" ref="DB272">IFERROR(COUNT(_xlfn._xlws.FILTER(CH272:CL272, ISNUMBER(MATCH(CH272:CL272, {6,9,12,15,18,21,24,27,30,33,36,39,42,45}, 0)))), 0)</f>
        <v>0</v>
      </c>
      <c r="DC272" s="29"/>
      <c r="DD272" s="28" t="e">
        <f>#REF!</f>
        <v>#REF!</v>
      </c>
      <c r="DE272" s="28" t="e">
        <f>#REF!*2</f>
        <v>#REF!</v>
      </c>
      <c r="DF272" s="28" t="e">
        <f>#REF!</f>
        <v>#REF!</v>
      </c>
      <c r="DG272" s="28" t="e">
        <f>#REF!*2</f>
        <v>#REF!</v>
      </c>
      <c r="DH272" s="28" t="e">
        <f>#REF!</f>
        <v>#REF!</v>
      </c>
      <c r="DI272" s="28" t="e">
        <f>#REF!*2</f>
        <v>#REF!</v>
      </c>
      <c r="DJ272" s="28" t="e">
        <f>#REF!</f>
        <v>#REF!</v>
      </c>
      <c r="DK272" s="28" t="e">
        <f>#REF!*2</f>
        <v>#REF!</v>
      </c>
      <c r="DL272" s="28" t="e">
        <f>#REF!</f>
        <v>#REF!</v>
      </c>
      <c r="DM272" s="28" t="e">
        <f>#REF!*2</f>
        <v>#REF!</v>
      </c>
      <c r="DN272" s="27"/>
      <c r="DO272" s="26"/>
      <c r="DP272" s="26"/>
      <c r="DQ272" s="26"/>
      <c r="DR272" s="26"/>
      <c r="DS272" s="26"/>
      <c r="DT272" s="25"/>
    </row>
    <row r="273" spans="2:124" x14ac:dyDescent="0.3"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2"/>
      <c r="I273" s="3">
        <f t="shared" si="160"/>
        <v>0</v>
      </c>
      <c r="J273" s="3">
        <f t="shared" si="161"/>
        <v>0</v>
      </c>
      <c r="K273" s="3">
        <f t="shared" si="162"/>
        <v>0</v>
      </c>
      <c r="L273" s="3">
        <f t="shared" si="163"/>
        <v>0</v>
      </c>
      <c r="M273" s="3">
        <f t="shared" si="164"/>
        <v>0</v>
      </c>
      <c r="N273" s="3">
        <f t="shared" si="165"/>
        <v>0</v>
      </c>
      <c r="O273" s="32"/>
      <c r="P273" s="3" cm="1">
        <f t="array" ref="P273">SUMPRODUCT(--(MOD(B273:G273,2)=1))</f>
        <v>0</v>
      </c>
      <c r="Q273" s="3">
        <f t="shared" si="166"/>
        <v>6</v>
      </c>
      <c r="R273" s="34"/>
      <c r="S273" s="3">
        <f t="shared" si="167"/>
        <v>0</v>
      </c>
      <c r="T273" s="3">
        <f t="shared" si="168"/>
        <v>6</v>
      </c>
      <c r="U273" s="34"/>
      <c r="V273" s="3" cm="1">
        <f t="array" ref="V273">SUMPRODUCT(--(MOD(B273:G273,10)&gt;=1), --(MOD(B273:G273,10)&lt;=5))</f>
        <v>0</v>
      </c>
      <c r="W273" s="3">
        <f t="shared" si="169"/>
        <v>6</v>
      </c>
      <c r="X273" s="34"/>
      <c r="Y273" s="3" cm="1">
        <f t="array" ref="Y273">IFERROR(COUNT(_xlfn._xlws.FILTER(B273:G273, ISNUMBER(MATCH(B273:G273, {2,3,5,7,11,13,17,19,23,29,31,37,41,43}, 0)))), 0)</f>
        <v>0</v>
      </c>
      <c r="Z273" s="3" cm="1">
        <f t="array" ref="Z273">IFERROR(COUNT(_xlfn._xlws.FILTER(B273:G273, ISNUMBER(MATCH(B273:G273, {1,4,8,10,14,16,20,22,25,26,28,32,34,35,38,40,44}, 0)))), 0)</f>
        <v>0</v>
      </c>
      <c r="AA273" s="3" cm="1">
        <f t="array" ref="AA273">IFERROR(COUNT(_xlfn._xlws.FILTER(B273:G273, ISNUMBER(MATCH(B273:G273, {6,9,12,15,18,21,24,27,30,33,36,39,42,45}, 0)))), 0)</f>
        <v>0</v>
      </c>
      <c r="AB273" s="30"/>
      <c r="AC273" s="26" cm="1">
        <f t="array" ref="AC273">_xlfn.IFS(
   OR(B273="",ISBLANK(B273),B273=0),0,
   ISNUMBER(MATCH(B273,{2,3,5,7,11,13,17,19,23,29,31,37,41,43},0)),"소",
   AND(ISNUMBER(B273),MOD(B273,3)=0),"배",
   AND(ISNUMBER(B273),B273&gt;0),"자"
)</f>
        <v>0</v>
      </c>
      <c r="AD273" s="26" cm="1">
        <f t="array" ref="AD273">_xlfn.IFS(
   OR(C273="",ISBLANK(C273),C273=0),0,
   ISNUMBER(MATCH(C273,{2,3,5,7,11,13,17,19,23,29,31,37,41,43},0)),"소",
   AND(ISNUMBER(C273),MOD(C273,3)=0),"배",
   AND(ISNUMBER(C273),C273&gt;0),"자"
)</f>
        <v>0</v>
      </c>
      <c r="AE273" s="26" cm="1">
        <f t="array" ref="AE273">_xlfn.IFS(
   OR(D273="",ISBLANK(D273),D273=0),0,
   ISNUMBER(MATCH(D273,{2,3,5,7,11,13,17,19,23,29,31,37,41,43},0)),"소",
   AND(ISNUMBER(D273),MOD(D273,3)=0),"배",
   AND(ISNUMBER(D273),D273&gt;0),"자"
)</f>
        <v>0</v>
      </c>
      <c r="AF273" s="26" cm="1">
        <f t="array" ref="AF273">_xlfn.IFS(
   OR(E273="",ISBLANK(E273),E273=0),0,
   ISNUMBER(MATCH(E273,{2,3,5,7,11,13,17,19,23,29,31,37,41,43},0)),"소",
   AND(ISNUMBER(E273),MOD(E273,3)=0),"배",
   AND(ISNUMBER(E273),E273&gt;0),"자"
)</f>
        <v>0</v>
      </c>
      <c r="AG273" s="26" cm="1">
        <f t="array" ref="AG273">_xlfn.IFS(
   OR(F273="",ISBLANK(F273),F273=0),0,
   ISNUMBER(MATCH(F273,{2,3,5,7,11,13,17,19,23,29,31,37,41,43},0)),"소",
   AND(ISNUMBER(F273),MOD(F273,3)=0),"배",
   AND(ISNUMBER(F273),F273&gt;0),"자"
)</f>
        <v>0</v>
      </c>
      <c r="AH273" s="26" cm="1">
        <f t="array" ref="AH273">_xlfn.IFS(
   OR(G273="",ISBLANK(G273),G273=0),0,
   ISNUMBER(MATCH(G273,{2,3,5,7,11,13,17,19,23,29,31,37,41,43},0)),"소",
   AND(ISNUMBER(G273),MOD(G273,3)=0),"배",
   AND(ISNUMBER(G273),G273&gt;0),"자"
)</f>
        <v>0</v>
      </c>
      <c r="AI273" s="30"/>
      <c r="AJ273" s="3">
        <f t="shared" si="170"/>
        <v>0</v>
      </c>
      <c r="AK273" s="3">
        <f t="shared" si="171"/>
        <v>0</v>
      </c>
      <c r="AL273" s="3">
        <f t="shared" si="172"/>
        <v>6</v>
      </c>
      <c r="AM273" s="33"/>
      <c r="AN273" s="3">
        <f t="shared" si="173"/>
        <v>0</v>
      </c>
      <c r="AO273" s="3">
        <f t="shared" si="174"/>
        <v>0</v>
      </c>
      <c r="AP273" s="3">
        <f t="shared" si="175"/>
        <v>0</v>
      </c>
      <c r="AQ273" s="3">
        <f t="shared" si="176"/>
        <v>0</v>
      </c>
      <c r="AR273" s="3">
        <f t="shared" si="177"/>
        <v>0</v>
      </c>
      <c r="AS273" s="28" t="e">
        <f>#REF!</f>
        <v>#REF!</v>
      </c>
      <c r="AT273" s="28" t="e">
        <f>#REF!*2</f>
        <v>#REF!</v>
      </c>
      <c r="AU273" s="28" t="e">
        <f>#REF!</f>
        <v>#REF!</v>
      </c>
      <c r="AV273" s="28" t="e">
        <f>#REF!*2</f>
        <v>#REF!</v>
      </c>
      <c r="AW273" s="28" t="e">
        <f>#REF!</f>
        <v>#REF!</v>
      </c>
      <c r="AX273" s="28" t="e">
        <f>#REF!*2</f>
        <v>#REF!</v>
      </c>
      <c r="AY273" s="28" t="e">
        <f>#REF!</f>
        <v>#REF!</v>
      </c>
      <c r="AZ273" s="28" t="e">
        <f>#REF!*2</f>
        <v>#REF!</v>
      </c>
      <c r="BA273" s="28" t="e">
        <f>#REF!</f>
        <v>#REF!</v>
      </c>
      <c r="BB273" s="28" t="e">
        <f>#REF!*2</f>
        <v>#REF!</v>
      </c>
      <c r="BC273" s="28" t="e">
        <f>#REF!</f>
        <v>#REF!</v>
      </c>
      <c r="BD273" s="28" t="e">
        <f>#REF!*2</f>
        <v>#REF!</v>
      </c>
      <c r="BE273" s="9" t="e">
        <f>#REF!-#REF!</f>
        <v>#REF!</v>
      </c>
      <c r="BF273" s="9" t="e">
        <f>#REF!-#REF!</f>
        <v>#REF!</v>
      </c>
      <c r="BG273" s="9" t="e">
        <f>#REF!-#REF!</f>
        <v>#REF!</v>
      </c>
      <c r="BH273" s="9" t="e">
        <f>#REF!-#REF!</f>
        <v>#REF!</v>
      </c>
      <c r="BI273" s="9" t="e">
        <f>#REF!-#REF!</f>
        <v>#REF!</v>
      </c>
      <c r="BJ273" s="33"/>
      <c r="BK273" s="3">
        <f t="shared" si="178"/>
        <v>0</v>
      </c>
      <c r="BL273" s="3">
        <f t="shared" si="179"/>
        <v>0</v>
      </c>
      <c r="BM273" s="3">
        <f t="shared" si="180"/>
        <v>0</v>
      </c>
      <c r="BN273" s="3">
        <f t="shared" si="181"/>
        <v>0</v>
      </c>
      <c r="BO273" s="3">
        <f t="shared" si="182"/>
        <v>0</v>
      </c>
      <c r="BP273" s="28" t="e">
        <f>#REF!</f>
        <v>#REF!</v>
      </c>
      <c r="BQ273" s="28" t="e">
        <f>#REF!*2</f>
        <v>#REF!</v>
      </c>
      <c r="BR273" s="28" t="e">
        <f>#REF!</f>
        <v>#REF!</v>
      </c>
      <c r="BS273" s="28" t="e">
        <f>#REF!*2</f>
        <v>#REF!</v>
      </c>
      <c r="BT273" s="28" t="e">
        <f>#REF!</f>
        <v>#REF!</v>
      </c>
      <c r="BU273" s="28" t="e">
        <f>#REF!*2</f>
        <v>#REF!</v>
      </c>
      <c r="BV273" s="28" t="e">
        <f>#REF!</f>
        <v>#REF!</v>
      </c>
      <c r="BW273" s="28" t="e">
        <f>#REF!*2</f>
        <v>#REF!</v>
      </c>
      <c r="BX273" s="28" t="e">
        <f>#REF!</f>
        <v>#REF!</v>
      </c>
      <c r="BY273" s="28" t="e">
        <f>#REF!*2</f>
        <v>#REF!</v>
      </c>
      <c r="BZ273" s="28" t="e">
        <f>#REF!</f>
        <v>#REF!</v>
      </c>
      <c r="CA273" s="28" t="e">
        <f>#REF!*2</f>
        <v>#REF!</v>
      </c>
      <c r="CB273" s="9">
        <f t="shared" si="183"/>
        <v>0</v>
      </c>
      <c r="CC273" s="9">
        <f t="shared" si="184"/>
        <v>0</v>
      </c>
      <c r="CD273" s="9">
        <f t="shared" si="185"/>
        <v>0</v>
      </c>
      <c r="CE273" s="9">
        <f t="shared" si="186"/>
        <v>0</v>
      </c>
      <c r="CF273" s="9">
        <f t="shared" si="187"/>
        <v>0</v>
      </c>
      <c r="CG273" s="33"/>
      <c r="CH273" s="3">
        <f t="shared" si="188"/>
        <v>0</v>
      </c>
      <c r="CI273" s="3">
        <f t="shared" si="189"/>
        <v>0</v>
      </c>
      <c r="CJ273" s="3">
        <f t="shared" si="190"/>
        <v>0</v>
      </c>
      <c r="CK273" s="3">
        <f t="shared" si="191"/>
        <v>0</v>
      </c>
      <c r="CL273" s="3">
        <f t="shared" si="192"/>
        <v>0</v>
      </c>
      <c r="CM273" s="32"/>
      <c r="CN273" s="3">
        <f t="shared" si="193"/>
        <v>0</v>
      </c>
      <c r="CO273" s="3">
        <f t="shared" si="194"/>
        <v>0</v>
      </c>
      <c r="CP273" s="3">
        <f t="shared" si="195"/>
        <v>0</v>
      </c>
      <c r="CQ273" s="3">
        <f t="shared" si="196"/>
        <v>0</v>
      </c>
      <c r="CR273" s="3">
        <f t="shared" si="197"/>
        <v>0</v>
      </c>
      <c r="CS273" s="31"/>
      <c r="CT273" s="3" cm="1">
        <f t="array" ref="CT273">SUMPRODUCT(--(MOD(CH273:CL273,2)=1))</f>
        <v>0</v>
      </c>
      <c r="CU273" s="3">
        <f t="shared" si="198"/>
        <v>5</v>
      </c>
      <c r="CV273" s="30"/>
      <c r="CW273" s="3" cm="1">
        <f t="array" ref="CW273">SUMPRODUCT(--(MOD(CH273:CL273,10)&gt;=1), --(MOD(CH273:CL273,10)&lt;=5))</f>
        <v>0</v>
      </c>
      <c r="CX273" s="3">
        <f t="shared" si="199"/>
        <v>5</v>
      </c>
      <c r="CY273" s="30"/>
      <c r="CZ273" s="3" cm="1">
        <f t="array" ref="CZ273">IFERROR(COUNT(_xlfn._xlws.FILTER(CH273:CL273, ISNUMBER(MATCH(CH273:CL273, {2,3,5,7,11,13,17,19,23,29,31,37,41,43}, 0)))), 0)</f>
        <v>0</v>
      </c>
      <c r="DA273" s="3" cm="1">
        <f t="array" ref="DA273">IFERROR(COUNT(_xlfn._xlws.FILTER(CH273:CL273, ISNUMBER(MATCH(CH273:CL273, {1,4,8,10,14,16,20,22,25,26,28,32,34,35,38,40,44}, 0)))), 0)</f>
        <v>0</v>
      </c>
      <c r="DB273" s="3" cm="1">
        <f t="array" ref="DB273">IFERROR(COUNT(_xlfn._xlws.FILTER(CH273:CL273, ISNUMBER(MATCH(CH273:CL273, {6,9,12,15,18,21,24,27,30,33,36,39,42,45}, 0)))), 0)</f>
        <v>0</v>
      </c>
      <c r="DC273" s="29"/>
      <c r="DD273" s="28" t="e">
        <f>#REF!</f>
        <v>#REF!</v>
      </c>
      <c r="DE273" s="28" t="e">
        <f>#REF!*2</f>
        <v>#REF!</v>
      </c>
      <c r="DF273" s="28" t="e">
        <f>#REF!</f>
        <v>#REF!</v>
      </c>
      <c r="DG273" s="28" t="e">
        <f>#REF!*2</f>
        <v>#REF!</v>
      </c>
      <c r="DH273" s="28" t="e">
        <f>#REF!</f>
        <v>#REF!</v>
      </c>
      <c r="DI273" s="28" t="e">
        <f>#REF!*2</f>
        <v>#REF!</v>
      </c>
      <c r="DJ273" s="28" t="e">
        <f>#REF!</f>
        <v>#REF!</v>
      </c>
      <c r="DK273" s="28" t="e">
        <f>#REF!*2</f>
        <v>#REF!</v>
      </c>
      <c r="DL273" s="28" t="e">
        <f>#REF!</f>
        <v>#REF!</v>
      </c>
      <c r="DM273" s="28" t="e">
        <f>#REF!*2</f>
        <v>#REF!</v>
      </c>
      <c r="DN273" s="27"/>
      <c r="DO273" s="26"/>
      <c r="DP273" s="26"/>
      <c r="DQ273" s="26"/>
      <c r="DR273" s="26"/>
      <c r="DS273" s="26"/>
      <c r="DT273" s="25"/>
    </row>
    <row r="274" spans="2:124" x14ac:dyDescent="0.3"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2"/>
      <c r="I274" s="3">
        <f t="shared" si="160"/>
        <v>0</v>
      </c>
      <c r="J274" s="3">
        <f t="shared" si="161"/>
        <v>0</v>
      </c>
      <c r="K274" s="3">
        <f t="shared" si="162"/>
        <v>0</v>
      </c>
      <c r="L274" s="3">
        <f t="shared" si="163"/>
        <v>0</v>
      </c>
      <c r="M274" s="3">
        <f t="shared" si="164"/>
        <v>0</v>
      </c>
      <c r="N274" s="3">
        <f t="shared" si="165"/>
        <v>0</v>
      </c>
      <c r="O274" s="32"/>
      <c r="P274" s="3" cm="1">
        <f t="array" ref="P274">SUMPRODUCT(--(MOD(B274:G274,2)=1))</f>
        <v>0</v>
      </c>
      <c r="Q274" s="3">
        <f t="shared" si="166"/>
        <v>6</v>
      </c>
      <c r="R274" s="34"/>
      <c r="S274" s="3">
        <f t="shared" si="167"/>
        <v>0</v>
      </c>
      <c r="T274" s="3">
        <f t="shared" si="168"/>
        <v>6</v>
      </c>
      <c r="U274" s="34"/>
      <c r="V274" s="3" cm="1">
        <f t="array" ref="V274">SUMPRODUCT(--(MOD(B274:G274,10)&gt;=1), --(MOD(B274:G274,10)&lt;=5))</f>
        <v>0</v>
      </c>
      <c r="W274" s="3">
        <f t="shared" si="169"/>
        <v>6</v>
      </c>
      <c r="X274" s="34"/>
      <c r="Y274" s="3" cm="1">
        <f t="array" ref="Y274">IFERROR(COUNT(_xlfn._xlws.FILTER(B274:G274, ISNUMBER(MATCH(B274:G274, {2,3,5,7,11,13,17,19,23,29,31,37,41,43}, 0)))), 0)</f>
        <v>0</v>
      </c>
      <c r="Z274" s="3" cm="1">
        <f t="array" ref="Z274">IFERROR(COUNT(_xlfn._xlws.FILTER(B274:G274, ISNUMBER(MATCH(B274:G274, {1,4,8,10,14,16,20,22,25,26,28,32,34,35,38,40,44}, 0)))), 0)</f>
        <v>0</v>
      </c>
      <c r="AA274" s="3" cm="1">
        <f t="array" ref="AA274">IFERROR(COUNT(_xlfn._xlws.FILTER(B274:G274, ISNUMBER(MATCH(B274:G274, {6,9,12,15,18,21,24,27,30,33,36,39,42,45}, 0)))), 0)</f>
        <v>0</v>
      </c>
      <c r="AB274" s="30"/>
      <c r="AC274" s="26" cm="1">
        <f t="array" ref="AC274">_xlfn.IFS(
   OR(B274="",ISBLANK(B274),B274=0),0,
   ISNUMBER(MATCH(B274,{2,3,5,7,11,13,17,19,23,29,31,37,41,43},0)),"소",
   AND(ISNUMBER(B274),MOD(B274,3)=0),"배",
   AND(ISNUMBER(B274),B274&gt;0),"자"
)</f>
        <v>0</v>
      </c>
      <c r="AD274" s="26" cm="1">
        <f t="array" ref="AD274">_xlfn.IFS(
   OR(C274="",ISBLANK(C274),C274=0),0,
   ISNUMBER(MATCH(C274,{2,3,5,7,11,13,17,19,23,29,31,37,41,43},0)),"소",
   AND(ISNUMBER(C274),MOD(C274,3)=0),"배",
   AND(ISNUMBER(C274),C274&gt;0),"자"
)</f>
        <v>0</v>
      </c>
      <c r="AE274" s="26" cm="1">
        <f t="array" ref="AE274">_xlfn.IFS(
   OR(D274="",ISBLANK(D274),D274=0),0,
   ISNUMBER(MATCH(D274,{2,3,5,7,11,13,17,19,23,29,31,37,41,43},0)),"소",
   AND(ISNUMBER(D274),MOD(D274,3)=0),"배",
   AND(ISNUMBER(D274),D274&gt;0),"자"
)</f>
        <v>0</v>
      </c>
      <c r="AF274" s="26" cm="1">
        <f t="array" ref="AF274">_xlfn.IFS(
   OR(E274="",ISBLANK(E274),E274=0),0,
   ISNUMBER(MATCH(E274,{2,3,5,7,11,13,17,19,23,29,31,37,41,43},0)),"소",
   AND(ISNUMBER(E274),MOD(E274,3)=0),"배",
   AND(ISNUMBER(E274),E274&gt;0),"자"
)</f>
        <v>0</v>
      </c>
      <c r="AG274" s="26" cm="1">
        <f t="array" ref="AG274">_xlfn.IFS(
   OR(F274="",ISBLANK(F274),F274=0),0,
   ISNUMBER(MATCH(F274,{2,3,5,7,11,13,17,19,23,29,31,37,41,43},0)),"소",
   AND(ISNUMBER(F274),MOD(F274,3)=0),"배",
   AND(ISNUMBER(F274),F274&gt;0),"자"
)</f>
        <v>0</v>
      </c>
      <c r="AH274" s="26" cm="1">
        <f t="array" ref="AH274">_xlfn.IFS(
   OR(G274="",ISBLANK(G274),G274=0),0,
   ISNUMBER(MATCH(G274,{2,3,5,7,11,13,17,19,23,29,31,37,41,43},0)),"소",
   AND(ISNUMBER(G274),MOD(G274,3)=0),"배",
   AND(ISNUMBER(G274),G274&gt;0),"자"
)</f>
        <v>0</v>
      </c>
      <c r="AI274" s="30"/>
      <c r="AJ274" s="3">
        <f t="shared" si="170"/>
        <v>0</v>
      </c>
      <c r="AK274" s="3">
        <f t="shared" si="171"/>
        <v>0</v>
      </c>
      <c r="AL274" s="3">
        <f t="shared" si="172"/>
        <v>6</v>
      </c>
      <c r="AM274" s="33"/>
      <c r="AN274" s="3">
        <f t="shared" si="173"/>
        <v>0</v>
      </c>
      <c r="AO274" s="3">
        <f t="shared" si="174"/>
        <v>0</v>
      </c>
      <c r="AP274" s="3">
        <f t="shared" si="175"/>
        <v>0</v>
      </c>
      <c r="AQ274" s="3">
        <f t="shared" si="176"/>
        <v>0</v>
      </c>
      <c r="AR274" s="3">
        <f t="shared" si="177"/>
        <v>0</v>
      </c>
      <c r="AS274" s="28" t="e">
        <f>#REF!</f>
        <v>#REF!</v>
      </c>
      <c r="AT274" s="28" t="e">
        <f>#REF!*2</f>
        <v>#REF!</v>
      </c>
      <c r="AU274" s="28" t="e">
        <f>#REF!</f>
        <v>#REF!</v>
      </c>
      <c r="AV274" s="28" t="e">
        <f>#REF!*2</f>
        <v>#REF!</v>
      </c>
      <c r="AW274" s="28" t="e">
        <f>#REF!</f>
        <v>#REF!</v>
      </c>
      <c r="AX274" s="28" t="e">
        <f>#REF!*2</f>
        <v>#REF!</v>
      </c>
      <c r="AY274" s="28" t="e">
        <f>#REF!</f>
        <v>#REF!</v>
      </c>
      <c r="AZ274" s="28" t="e">
        <f>#REF!*2</f>
        <v>#REF!</v>
      </c>
      <c r="BA274" s="28" t="e">
        <f>#REF!</f>
        <v>#REF!</v>
      </c>
      <c r="BB274" s="28" t="e">
        <f>#REF!*2</f>
        <v>#REF!</v>
      </c>
      <c r="BC274" s="28" t="e">
        <f>#REF!</f>
        <v>#REF!</v>
      </c>
      <c r="BD274" s="28" t="e">
        <f>#REF!*2</f>
        <v>#REF!</v>
      </c>
      <c r="BE274" s="9" t="e">
        <f>#REF!-#REF!</f>
        <v>#REF!</v>
      </c>
      <c r="BF274" s="9" t="e">
        <f>#REF!-#REF!</f>
        <v>#REF!</v>
      </c>
      <c r="BG274" s="9" t="e">
        <f>#REF!-#REF!</f>
        <v>#REF!</v>
      </c>
      <c r="BH274" s="9" t="e">
        <f>#REF!-#REF!</f>
        <v>#REF!</v>
      </c>
      <c r="BI274" s="9" t="e">
        <f>#REF!-#REF!</f>
        <v>#REF!</v>
      </c>
      <c r="BJ274" s="33"/>
      <c r="BK274" s="3">
        <f t="shared" si="178"/>
        <v>0</v>
      </c>
      <c r="BL274" s="3">
        <f t="shared" si="179"/>
        <v>0</v>
      </c>
      <c r="BM274" s="3">
        <f t="shared" si="180"/>
        <v>0</v>
      </c>
      <c r="BN274" s="3">
        <f t="shared" si="181"/>
        <v>0</v>
      </c>
      <c r="BO274" s="3">
        <f t="shared" si="182"/>
        <v>0</v>
      </c>
      <c r="BP274" s="28" t="e">
        <f>#REF!</f>
        <v>#REF!</v>
      </c>
      <c r="BQ274" s="28" t="e">
        <f>#REF!*2</f>
        <v>#REF!</v>
      </c>
      <c r="BR274" s="28" t="e">
        <f>#REF!</f>
        <v>#REF!</v>
      </c>
      <c r="BS274" s="28" t="e">
        <f>#REF!*2</f>
        <v>#REF!</v>
      </c>
      <c r="BT274" s="28" t="e">
        <f>#REF!</f>
        <v>#REF!</v>
      </c>
      <c r="BU274" s="28" t="e">
        <f>#REF!*2</f>
        <v>#REF!</v>
      </c>
      <c r="BV274" s="28" t="e">
        <f>#REF!</f>
        <v>#REF!</v>
      </c>
      <c r="BW274" s="28" t="e">
        <f>#REF!*2</f>
        <v>#REF!</v>
      </c>
      <c r="BX274" s="28" t="e">
        <f>#REF!</f>
        <v>#REF!</v>
      </c>
      <c r="BY274" s="28" t="e">
        <f>#REF!*2</f>
        <v>#REF!</v>
      </c>
      <c r="BZ274" s="28" t="e">
        <f>#REF!</f>
        <v>#REF!</v>
      </c>
      <c r="CA274" s="28" t="e">
        <f>#REF!*2</f>
        <v>#REF!</v>
      </c>
      <c r="CB274" s="9">
        <f t="shared" si="183"/>
        <v>0</v>
      </c>
      <c r="CC274" s="9">
        <f t="shared" si="184"/>
        <v>0</v>
      </c>
      <c r="CD274" s="9">
        <f t="shared" si="185"/>
        <v>0</v>
      </c>
      <c r="CE274" s="9">
        <f t="shared" si="186"/>
        <v>0</v>
      </c>
      <c r="CF274" s="9">
        <f t="shared" si="187"/>
        <v>0</v>
      </c>
      <c r="CG274" s="33"/>
      <c r="CH274" s="3">
        <f t="shared" si="188"/>
        <v>0</v>
      </c>
      <c r="CI274" s="3">
        <f t="shared" si="189"/>
        <v>0</v>
      </c>
      <c r="CJ274" s="3">
        <f t="shared" si="190"/>
        <v>0</v>
      </c>
      <c r="CK274" s="3">
        <f t="shared" si="191"/>
        <v>0</v>
      </c>
      <c r="CL274" s="3">
        <f t="shared" si="192"/>
        <v>0</v>
      </c>
      <c r="CM274" s="32"/>
      <c r="CN274" s="3">
        <f t="shared" si="193"/>
        <v>0</v>
      </c>
      <c r="CO274" s="3">
        <f t="shared" si="194"/>
        <v>0</v>
      </c>
      <c r="CP274" s="3">
        <f t="shared" si="195"/>
        <v>0</v>
      </c>
      <c r="CQ274" s="3">
        <f t="shared" si="196"/>
        <v>0</v>
      </c>
      <c r="CR274" s="3">
        <f t="shared" si="197"/>
        <v>0</v>
      </c>
      <c r="CS274" s="31"/>
      <c r="CT274" s="3" cm="1">
        <f t="array" ref="CT274">SUMPRODUCT(--(MOD(CH274:CL274,2)=1))</f>
        <v>0</v>
      </c>
      <c r="CU274" s="3">
        <f t="shared" si="198"/>
        <v>5</v>
      </c>
      <c r="CV274" s="30"/>
      <c r="CW274" s="3" cm="1">
        <f t="array" ref="CW274">SUMPRODUCT(--(MOD(CH274:CL274,10)&gt;=1), --(MOD(CH274:CL274,10)&lt;=5))</f>
        <v>0</v>
      </c>
      <c r="CX274" s="3">
        <f t="shared" si="199"/>
        <v>5</v>
      </c>
      <c r="CY274" s="30"/>
      <c r="CZ274" s="3" cm="1">
        <f t="array" ref="CZ274">IFERROR(COUNT(_xlfn._xlws.FILTER(CH274:CL274, ISNUMBER(MATCH(CH274:CL274, {2,3,5,7,11,13,17,19,23,29,31,37,41,43}, 0)))), 0)</f>
        <v>0</v>
      </c>
      <c r="DA274" s="3" cm="1">
        <f t="array" ref="DA274">IFERROR(COUNT(_xlfn._xlws.FILTER(CH274:CL274, ISNUMBER(MATCH(CH274:CL274, {1,4,8,10,14,16,20,22,25,26,28,32,34,35,38,40,44}, 0)))), 0)</f>
        <v>0</v>
      </c>
      <c r="DB274" s="3" cm="1">
        <f t="array" ref="DB274">IFERROR(COUNT(_xlfn._xlws.FILTER(CH274:CL274, ISNUMBER(MATCH(CH274:CL274, {6,9,12,15,18,21,24,27,30,33,36,39,42,45}, 0)))), 0)</f>
        <v>0</v>
      </c>
      <c r="DC274" s="29"/>
      <c r="DD274" s="28" t="e">
        <f>#REF!</f>
        <v>#REF!</v>
      </c>
      <c r="DE274" s="28" t="e">
        <f>#REF!*2</f>
        <v>#REF!</v>
      </c>
      <c r="DF274" s="28" t="e">
        <f>#REF!</f>
        <v>#REF!</v>
      </c>
      <c r="DG274" s="28" t="e">
        <f>#REF!*2</f>
        <v>#REF!</v>
      </c>
      <c r="DH274" s="28" t="e">
        <f>#REF!</f>
        <v>#REF!</v>
      </c>
      <c r="DI274" s="28" t="e">
        <f>#REF!*2</f>
        <v>#REF!</v>
      </c>
      <c r="DJ274" s="28" t="e">
        <f>#REF!</f>
        <v>#REF!</v>
      </c>
      <c r="DK274" s="28" t="e">
        <f>#REF!*2</f>
        <v>#REF!</v>
      </c>
      <c r="DL274" s="28" t="e">
        <f>#REF!</f>
        <v>#REF!</v>
      </c>
      <c r="DM274" s="28" t="e">
        <f>#REF!*2</f>
        <v>#REF!</v>
      </c>
      <c r="DN274" s="27"/>
      <c r="DO274" s="26"/>
      <c r="DP274" s="26"/>
      <c r="DQ274" s="26"/>
      <c r="DR274" s="26"/>
      <c r="DS274" s="26"/>
      <c r="DT274" s="25"/>
    </row>
    <row r="275" spans="2:124" x14ac:dyDescent="0.3"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2"/>
      <c r="I275" s="3">
        <f t="shared" si="160"/>
        <v>0</v>
      </c>
      <c r="J275" s="3">
        <f t="shared" si="161"/>
        <v>0</v>
      </c>
      <c r="K275" s="3">
        <f t="shared" si="162"/>
        <v>0</v>
      </c>
      <c r="L275" s="3">
        <f t="shared" si="163"/>
        <v>0</v>
      </c>
      <c r="M275" s="3">
        <f t="shared" si="164"/>
        <v>0</v>
      </c>
      <c r="N275" s="3">
        <f t="shared" si="165"/>
        <v>0</v>
      </c>
      <c r="O275" s="32"/>
      <c r="P275" s="3" cm="1">
        <f t="array" ref="P275">SUMPRODUCT(--(MOD(B275:G275,2)=1))</f>
        <v>0</v>
      </c>
      <c r="Q275" s="3">
        <f t="shared" si="166"/>
        <v>6</v>
      </c>
      <c r="R275" s="34"/>
      <c r="S275" s="3">
        <f t="shared" si="167"/>
        <v>0</v>
      </c>
      <c r="T275" s="3">
        <f t="shared" si="168"/>
        <v>6</v>
      </c>
      <c r="U275" s="34"/>
      <c r="V275" s="3" cm="1">
        <f t="array" ref="V275">SUMPRODUCT(--(MOD(B275:G275,10)&gt;=1), --(MOD(B275:G275,10)&lt;=5))</f>
        <v>0</v>
      </c>
      <c r="W275" s="3">
        <f t="shared" si="169"/>
        <v>6</v>
      </c>
      <c r="X275" s="34"/>
      <c r="Y275" s="3" cm="1">
        <f t="array" ref="Y275">IFERROR(COUNT(_xlfn._xlws.FILTER(B275:G275, ISNUMBER(MATCH(B275:G275, {2,3,5,7,11,13,17,19,23,29,31,37,41,43}, 0)))), 0)</f>
        <v>0</v>
      </c>
      <c r="Z275" s="3" cm="1">
        <f t="array" ref="Z275">IFERROR(COUNT(_xlfn._xlws.FILTER(B275:G275, ISNUMBER(MATCH(B275:G275, {1,4,8,10,14,16,20,22,25,26,28,32,34,35,38,40,44}, 0)))), 0)</f>
        <v>0</v>
      </c>
      <c r="AA275" s="3" cm="1">
        <f t="array" ref="AA275">IFERROR(COUNT(_xlfn._xlws.FILTER(B275:G275, ISNUMBER(MATCH(B275:G275, {6,9,12,15,18,21,24,27,30,33,36,39,42,45}, 0)))), 0)</f>
        <v>0</v>
      </c>
      <c r="AB275" s="30"/>
      <c r="AC275" s="26" cm="1">
        <f t="array" ref="AC275">_xlfn.IFS(
   OR(B275="",ISBLANK(B275),B275=0),0,
   ISNUMBER(MATCH(B275,{2,3,5,7,11,13,17,19,23,29,31,37,41,43},0)),"소",
   AND(ISNUMBER(B275),MOD(B275,3)=0),"배",
   AND(ISNUMBER(B275),B275&gt;0),"자"
)</f>
        <v>0</v>
      </c>
      <c r="AD275" s="26" cm="1">
        <f t="array" ref="AD275">_xlfn.IFS(
   OR(C275="",ISBLANK(C275),C275=0),0,
   ISNUMBER(MATCH(C275,{2,3,5,7,11,13,17,19,23,29,31,37,41,43},0)),"소",
   AND(ISNUMBER(C275),MOD(C275,3)=0),"배",
   AND(ISNUMBER(C275),C275&gt;0),"자"
)</f>
        <v>0</v>
      </c>
      <c r="AE275" s="26" cm="1">
        <f t="array" ref="AE275">_xlfn.IFS(
   OR(D275="",ISBLANK(D275),D275=0),0,
   ISNUMBER(MATCH(D275,{2,3,5,7,11,13,17,19,23,29,31,37,41,43},0)),"소",
   AND(ISNUMBER(D275),MOD(D275,3)=0),"배",
   AND(ISNUMBER(D275),D275&gt;0),"자"
)</f>
        <v>0</v>
      </c>
      <c r="AF275" s="26" cm="1">
        <f t="array" ref="AF275">_xlfn.IFS(
   OR(E275="",ISBLANK(E275),E275=0),0,
   ISNUMBER(MATCH(E275,{2,3,5,7,11,13,17,19,23,29,31,37,41,43},0)),"소",
   AND(ISNUMBER(E275),MOD(E275,3)=0),"배",
   AND(ISNUMBER(E275),E275&gt;0),"자"
)</f>
        <v>0</v>
      </c>
      <c r="AG275" s="26" cm="1">
        <f t="array" ref="AG275">_xlfn.IFS(
   OR(F275="",ISBLANK(F275),F275=0),0,
   ISNUMBER(MATCH(F275,{2,3,5,7,11,13,17,19,23,29,31,37,41,43},0)),"소",
   AND(ISNUMBER(F275),MOD(F275,3)=0),"배",
   AND(ISNUMBER(F275),F275&gt;0),"자"
)</f>
        <v>0</v>
      </c>
      <c r="AH275" s="26" cm="1">
        <f t="array" ref="AH275">_xlfn.IFS(
   OR(G275="",ISBLANK(G275),G275=0),0,
   ISNUMBER(MATCH(G275,{2,3,5,7,11,13,17,19,23,29,31,37,41,43},0)),"소",
   AND(ISNUMBER(G275),MOD(G275,3)=0),"배",
   AND(ISNUMBER(G275),G275&gt;0),"자"
)</f>
        <v>0</v>
      </c>
      <c r="AI275" s="30"/>
      <c r="AJ275" s="3">
        <f t="shared" si="170"/>
        <v>0</v>
      </c>
      <c r="AK275" s="3">
        <f t="shared" si="171"/>
        <v>0</v>
      </c>
      <c r="AL275" s="3">
        <f t="shared" si="172"/>
        <v>6</v>
      </c>
      <c r="AM275" s="33"/>
      <c r="AN275" s="3">
        <f t="shared" si="173"/>
        <v>0</v>
      </c>
      <c r="AO275" s="3">
        <f t="shared" si="174"/>
        <v>0</v>
      </c>
      <c r="AP275" s="3">
        <f t="shared" si="175"/>
        <v>0</v>
      </c>
      <c r="AQ275" s="3">
        <f t="shared" si="176"/>
        <v>0</v>
      </c>
      <c r="AR275" s="3">
        <f t="shared" si="177"/>
        <v>0</v>
      </c>
      <c r="AS275" s="28" t="e">
        <f>#REF!</f>
        <v>#REF!</v>
      </c>
      <c r="AT275" s="28" t="e">
        <f>#REF!*2</f>
        <v>#REF!</v>
      </c>
      <c r="AU275" s="28" t="e">
        <f>#REF!</f>
        <v>#REF!</v>
      </c>
      <c r="AV275" s="28" t="e">
        <f>#REF!*2</f>
        <v>#REF!</v>
      </c>
      <c r="AW275" s="28" t="e">
        <f>#REF!</f>
        <v>#REF!</v>
      </c>
      <c r="AX275" s="28" t="e">
        <f>#REF!*2</f>
        <v>#REF!</v>
      </c>
      <c r="AY275" s="28" t="e">
        <f>#REF!</f>
        <v>#REF!</v>
      </c>
      <c r="AZ275" s="28" t="e">
        <f>#REF!*2</f>
        <v>#REF!</v>
      </c>
      <c r="BA275" s="28" t="e">
        <f>#REF!</f>
        <v>#REF!</v>
      </c>
      <c r="BB275" s="28" t="e">
        <f>#REF!*2</f>
        <v>#REF!</v>
      </c>
      <c r="BC275" s="28" t="e">
        <f>#REF!</f>
        <v>#REF!</v>
      </c>
      <c r="BD275" s="28" t="e">
        <f>#REF!*2</f>
        <v>#REF!</v>
      </c>
      <c r="BE275" s="9" t="e">
        <f>#REF!-#REF!</f>
        <v>#REF!</v>
      </c>
      <c r="BF275" s="9" t="e">
        <f>#REF!-#REF!</f>
        <v>#REF!</v>
      </c>
      <c r="BG275" s="9" t="e">
        <f>#REF!-#REF!</f>
        <v>#REF!</v>
      </c>
      <c r="BH275" s="9" t="e">
        <f>#REF!-#REF!</f>
        <v>#REF!</v>
      </c>
      <c r="BI275" s="9" t="e">
        <f>#REF!-#REF!</f>
        <v>#REF!</v>
      </c>
      <c r="BJ275" s="33"/>
      <c r="BK275" s="3">
        <f t="shared" si="178"/>
        <v>0</v>
      </c>
      <c r="BL275" s="3">
        <f t="shared" si="179"/>
        <v>0</v>
      </c>
      <c r="BM275" s="3">
        <f t="shared" si="180"/>
        <v>0</v>
      </c>
      <c r="BN275" s="3">
        <f t="shared" si="181"/>
        <v>0</v>
      </c>
      <c r="BO275" s="3">
        <f t="shared" si="182"/>
        <v>0</v>
      </c>
      <c r="BP275" s="28" t="e">
        <f>#REF!</f>
        <v>#REF!</v>
      </c>
      <c r="BQ275" s="28" t="e">
        <f>#REF!*2</f>
        <v>#REF!</v>
      </c>
      <c r="BR275" s="28" t="e">
        <f>#REF!</f>
        <v>#REF!</v>
      </c>
      <c r="BS275" s="28" t="e">
        <f>#REF!*2</f>
        <v>#REF!</v>
      </c>
      <c r="BT275" s="28" t="e">
        <f>#REF!</f>
        <v>#REF!</v>
      </c>
      <c r="BU275" s="28" t="e">
        <f>#REF!*2</f>
        <v>#REF!</v>
      </c>
      <c r="BV275" s="28" t="e">
        <f>#REF!</f>
        <v>#REF!</v>
      </c>
      <c r="BW275" s="28" t="e">
        <f>#REF!*2</f>
        <v>#REF!</v>
      </c>
      <c r="BX275" s="28" t="e">
        <f>#REF!</f>
        <v>#REF!</v>
      </c>
      <c r="BY275" s="28" t="e">
        <f>#REF!*2</f>
        <v>#REF!</v>
      </c>
      <c r="BZ275" s="28" t="e">
        <f>#REF!</f>
        <v>#REF!</v>
      </c>
      <c r="CA275" s="28" t="e">
        <f>#REF!*2</f>
        <v>#REF!</v>
      </c>
      <c r="CB275" s="9">
        <f t="shared" si="183"/>
        <v>0</v>
      </c>
      <c r="CC275" s="9">
        <f t="shared" si="184"/>
        <v>0</v>
      </c>
      <c r="CD275" s="9">
        <f t="shared" si="185"/>
        <v>0</v>
      </c>
      <c r="CE275" s="9">
        <f t="shared" si="186"/>
        <v>0</v>
      </c>
      <c r="CF275" s="9">
        <f t="shared" si="187"/>
        <v>0</v>
      </c>
      <c r="CG275" s="33"/>
      <c r="CH275" s="3">
        <f t="shared" si="188"/>
        <v>0</v>
      </c>
      <c r="CI275" s="3">
        <f t="shared" si="189"/>
        <v>0</v>
      </c>
      <c r="CJ275" s="3">
        <f t="shared" si="190"/>
        <v>0</v>
      </c>
      <c r="CK275" s="3">
        <f t="shared" si="191"/>
        <v>0</v>
      </c>
      <c r="CL275" s="3">
        <f t="shared" si="192"/>
        <v>0</v>
      </c>
      <c r="CM275" s="32"/>
      <c r="CN275" s="3">
        <f t="shared" si="193"/>
        <v>0</v>
      </c>
      <c r="CO275" s="3">
        <f t="shared" si="194"/>
        <v>0</v>
      </c>
      <c r="CP275" s="3">
        <f t="shared" si="195"/>
        <v>0</v>
      </c>
      <c r="CQ275" s="3">
        <f t="shared" si="196"/>
        <v>0</v>
      </c>
      <c r="CR275" s="3">
        <f t="shared" si="197"/>
        <v>0</v>
      </c>
      <c r="CS275" s="31"/>
      <c r="CT275" s="3" cm="1">
        <f t="array" ref="CT275">SUMPRODUCT(--(MOD(CH275:CL275,2)=1))</f>
        <v>0</v>
      </c>
      <c r="CU275" s="3">
        <f t="shared" si="198"/>
        <v>5</v>
      </c>
      <c r="CV275" s="30"/>
      <c r="CW275" s="3" cm="1">
        <f t="array" ref="CW275">SUMPRODUCT(--(MOD(CH275:CL275,10)&gt;=1), --(MOD(CH275:CL275,10)&lt;=5))</f>
        <v>0</v>
      </c>
      <c r="CX275" s="3">
        <f t="shared" si="199"/>
        <v>5</v>
      </c>
      <c r="CY275" s="30"/>
      <c r="CZ275" s="3" cm="1">
        <f t="array" ref="CZ275">IFERROR(COUNT(_xlfn._xlws.FILTER(CH275:CL275, ISNUMBER(MATCH(CH275:CL275, {2,3,5,7,11,13,17,19,23,29,31,37,41,43}, 0)))), 0)</f>
        <v>0</v>
      </c>
      <c r="DA275" s="3" cm="1">
        <f t="array" ref="DA275">IFERROR(COUNT(_xlfn._xlws.FILTER(CH275:CL275, ISNUMBER(MATCH(CH275:CL275, {1,4,8,10,14,16,20,22,25,26,28,32,34,35,38,40,44}, 0)))), 0)</f>
        <v>0</v>
      </c>
      <c r="DB275" s="3" cm="1">
        <f t="array" ref="DB275">IFERROR(COUNT(_xlfn._xlws.FILTER(CH275:CL275, ISNUMBER(MATCH(CH275:CL275, {6,9,12,15,18,21,24,27,30,33,36,39,42,45}, 0)))), 0)</f>
        <v>0</v>
      </c>
      <c r="DC275" s="29"/>
      <c r="DD275" s="28" t="e">
        <f>#REF!</f>
        <v>#REF!</v>
      </c>
      <c r="DE275" s="28" t="e">
        <f>#REF!*2</f>
        <v>#REF!</v>
      </c>
      <c r="DF275" s="28" t="e">
        <f>#REF!</f>
        <v>#REF!</v>
      </c>
      <c r="DG275" s="28" t="e">
        <f>#REF!*2</f>
        <v>#REF!</v>
      </c>
      <c r="DH275" s="28" t="e">
        <f>#REF!</f>
        <v>#REF!</v>
      </c>
      <c r="DI275" s="28" t="e">
        <f>#REF!*2</f>
        <v>#REF!</v>
      </c>
      <c r="DJ275" s="28" t="e">
        <f>#REF!</f>
        <v>#REF!</v>
      </c>
      <c r="DK275" s="28" t="e">
        <f>#REF!*2</f>
        <v>#REF!</v>
      </c>
      <c r="DL275" s="28" t="e">
        <f>#REF!</f>
        <v>#REF!</v>
      </c>
      <c r="DM275" s="28" t="e">
        <f>#REF!*2</f>
        <v>#REF!</v>
      </c>
      <c r="DN275" s="27"/>
      <c r="DO275" s="26"/>
      <c r="DP275" s="26"/>
      <c r="DQ275" s="26"/>
      <c r="DR275" s="26"/>
      <c r="DS275" s="26"/>
      <c r="DT275" s="25"/>
    </row>
    <row r="276" spans="2:124" x14ac:dyDescent="0.3"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2"/>
      <c r="I276" s="3">
        <f t="shared" si="160"/>
        <v>0</v>
      </c>
      <c r="J276" s="3">
        <f t="shared" si="161"/>
        <v>0</v>
      </c>
      <c r="K276" s="3">
        <f t="shared" si="162"/>
        <v>0</v>
      </c>
      <c r="L276" s="3">
        <f t="shared" si="163"/>
        <v>0</v>
      </c>
      <c r="M276" s="3">
        <f t="shared" si="164"/>
        <v>0</v>
      </c>
      <c r="N276" s="3">
        <f t="shared" si="165"/>
        <v>0</v>
      </c>
      <c r="O276" s="32"/>
      <c r="P276" s="3" cm="1">
        <f t="array" ref="P276">SUMPRODUCT(--(MOD(B276:G276,2)=1))</f>
        <v>0</v>
      </c>
      <c r="Q276" s="3">
        <f t="shared" si="166"/>
        <v>6</v>
      </c>
      <c r="R276" s="34"/>
      <c r="S276" s="3">
        <f t="shared" si="167"/>
        <v>0</v>
      </c>
      <c r="T276" s="3">
        <f t="shared" si="168"/>
        <v>6</v>
      </c>
      <c r="U276" s="34"/>
      <c r="V276" s="3" cm="1">
        <f t="array" ref="V276">SUMPRODUCT(--(MOD(B276:G276,10)&gt;=1), --(MOD(B276:G276,10)&lt;=5))</f>
        <v>0</v>
      </c>
      <c r="W276" s="3">
        <f t="shared" si="169"/>
        <v>6</v>
      </c>
      <c r="X276" s="34"/>
      <c r="Y276" s="3" cm="1">
        <f t="array" ref="Y276">IFERROR(COUNT(_xlfn._xlws.FILTER(B276:G276, ISNUMBER(MATCH(B276:G276, {2,3,5,7,11,13,17,19,23,29,31,37,41,43}, 0)))), 0)</f>
        <v>0</v>
      </c>
      <c r="Z276" s="3" cm="1">
        <f t="array" ref="Z276">IFERROR(COUNT(_xlfn._xlws.FILTER(B276:G276, ISNUMBER(MATCH(B276:G276, {1,4,8,10,14,16,20,22,25,26,28,32,34,35,38,40,44}, 0)))), 0)</f>
        <v>0</v>
      </c>
      <c r="AA276" s="3" cm="1">
        <f t="array" ref="AA276">IFERROR(COUNT(_xlfn._xlws.FILTER(B276:G276, ISNUMBER(MATCH(B276:G276, {6,9,12,15,18,21,24,27,30,33,36,39,42,45}, 0)))), 0)</f>
        <v>0</v>
      </c>
      <c r="AB276" s="30"/>
      <c r="AC276" s="26" cm="1">
        <f t="array" ref="AC276">_xlfn.IFS(
   OR(B276="",ISBLANK(B276),B276=0),0,
   ISNUMBER(MATCH(B276,{2,3,5,7,11,13,17,19,23,29,31,37,41,43},0)),"소",
   AND(ISNUMBER(B276),MOD(B276,3)=0),"배",
   AND(ISNUMBER(B276),B276&gt;0),"자"
)</f>
        <v>0</v>
      </c>
      <c r="AD276" s="26" cm="1">
        <f t="array" ref="AD276">_xlfn.IFS(
   OR(C276="",ISBLANK(C276),C276=0),0,
   ISNUMBER(MATCH(C276,{2,3,5,7,11,13,17,19,23,29,31,37,41,43},0)),"소",
   AND(ISNUMBER(C276),MOD(C276,3)=0),"배",
   AND(ISNUMBER(C276),C276&gt;0),"자"
)</f>
        <v>0</v>
      </c>
      <c r="AE276" s="26" cm="1">
        <f t="array" ref="AE276">_xlfn.IFS(
   OR(D276="",ISBLANK(D276),D276=0),0,
   ISNUMBER(MATCH(D276,{2,3,5,7,11,13,17,19,23,29,31,37,41,43},0)),"소",
   AND(ISNUMBER(D276),MOD(D276,3)=0),"배",
   AND(ISNUMBER(D276),D276&gt;0),"자"
)</f>
        <v>0</v>
      </c>
      <c r="AF276" s="26" cm="1">
        <f t="array" ref="AF276">_xlfn.IFS(
   OR(E276="",ISBLANK(E276),E276=0),0,
   ISNUMBER(MATCH(E276,{2,3,5,7,11,13,17,19,23,29,31,37,41,43},0)),"소",
   AND(ISNUMBER(E276),MOD(E276,3)=0),"배",
   AND(ISNUMBER(E276),E276&gt;0),"자"
)</f>
        <v>0</v>
      </c>
      <c r="AG276" s="26" cm="1">
        <f t="array" ref="AG276">_xlfn.IFS(
   OR(F276="",ISBLANK(F276),F276=0),0,
   ISNUMBER(MATCH(F276,{2,3,5,7,11,13,17,19,23,29,31,37,41,43},0)),"소",
   AND(ISNUMBER(F276),MOD(F276,3)=0),"배",
   AND(ISNUMBER(F276),F276&gt;0),"자"
)</f>
        <v>0</v>
      </c>
      <c r="AH276" s="26" cm="1">
        <f t="array" ref="AH276">_xlfn.IFS(
   OR(G276="",ISBLANK(G276),G276=0),0,
   ISNUMBER(MATCH(G276,{2,3,5,7,11,13,17,19,23,29,31,37,41,43},0)),"소",
   AND(ISNUMBER(G276),MOD(G276,3)=0),"배",
   AND(ISNUMBER(G276),G276&gt;0),"자"
)</f>
        <v>0</v>
      </c>
      <c r="AI276" s="30"/>
      <c r="AJ276" s="3">
        <f t="shared" si="170"/>
        <v>0</v>
      </c>
      <c r="AK276" s="3">
        <f t="shared" si="171"/>
        <v>0</v>
      </c>
      <c r="AL276" s="3">
        <f t="shared" si="172"/>
        <v>6</v>
      </c>
      <c r="AM276" s="33"/>
      <c r="AN276" s="3">
        <f t="shared" si="173"/>
        <v>0</v>
      </c>
      <c r="AO276" s="3">
        <f t="shared" si="174"/>
        <v>0</v>
      </c>
      <c r="AP276" s="3">
        <f t="shared" si="175"/>
        <v>0</v>
      </c>
      <c r="AQ276" s="3">
        <f t="shared" si="176"/>
        <v>0</v>
      </c>
      <c r="AR276" s="3">
        <f t="shared" si="177"/>
        <v>0</v>
      </c>
      <c r="AS276" s="28" t="e">
        <f>#REF!</f>
        <v>#REF!</v>
      </c>
      <c r="AT276" s="28" t="e">
        <f>#REF!*2</f>
        <v>#REF!</v>
      </c>
      <c r="AU276" s="28" t="e">
        <f>#REF!</f>
        <v>#REF!</v>
      </c>
      <c r="AV276" s="28" t="e">
        <f>#REF!*2</f>
        <v>#REF!</v>
      </c>
      <c r="AW276" s="28" t="e">
        <f>#REF!</f>
        <v>#REF!</v>
      </c>
      <c r="AX276" s="28" t="e">
        <f>#REF!*2</f>
        <v>#REF!</v>
      </c>
      <c r="AY276" s="28" t="e">
        <f>#REF!</f>
        <v>#REF!</v>
      </c>
      <c r="AZ276" s="28" t="e">
        <f>#REF!*2</f>
        <v>#REF!</v>
      </c>
      <c r="BA276" s="28" t="e">
        <f>#REF!</f>
        <v>#REF!</v>
      </c>
      <c r="BB276" s="28" t="e">
        <f>#REF!*2</f>
        <v>#REF!</v>
      </c>
      <c r="BC276" s="28" t="e">
        <f>#REF!</f>
        <v>#REF!</v>
      </c>
      <c r="BD276" s="28" t="e">
        <f>#REF!*2</f>
        <v>#REF!</v>
      </c>
      <c r="BE276" s="9" t="e">
        <f>#REF!-#REF!</f>
        <v>#REF!</v>
      </c>
      <c r="BF276" s="9" t="e">
        <f>#REF!-#REF!</f>
        <v>#REF!</v>
      </c>
      <c r="BG276" s="9" t="e">
        <f>#REF!-#REF!</f>
        <v>#REF!</v>
      </c>
      <c r="BH276" s="9" t="e">
        <f>#REF!-#REF!</f>
        <v>#REF!</v>
      </c>
      <c r="BI276" s="9" t="e">
        <f>#REF!-#REF!</f>
        <v>#REF!</v>
      </c>
      <c r="BJ276" s="33"/>
      <c r="BK276" s="3">
        <f t="shared" si="178"/>
        <v>0</v>
      </c>
      <c r="BL276" s="3">
        <f t="shared" si="179"/>
        <v>0</v>
      </c>
      <c r="BM276" s="3">
        <f t="shared" si="180"/>
        <v>0</v>
      </c>
      <c r="BN276" s="3">
        <f t="shared" si="181"/>
        <v>0</v>
      </c>
      <c r="BO276" s="3">
        <f t="shared" si="182"/>
        <v>0</v>
      </c>
      <c r="BP276" s="28" t="e">
        <f>#REF!</f>
        <v>#REF!</v>
      </c>
      <c r="BQ276" s="28" t="e">
        <f>#REF!*2</f>
        <v>#REF!</v>
      </c>
      <c r="BR276" s="28" t="e">
        <f>#REF!</f>
        <v>#REF!</v>
      </c>
      <c r="BS276" s="28" t="e">
        <f>#REF!*2</f>
        <v>#REF!</v>
      </c>
      <c r="BT276" s="28" t="e">
        <f>#REF!</f>
        <v>#REF!</v>
      </c>
      <c r="BU276" s="28" t="e">
        <f>#REF!*2</f>
        <v>#REF!</v>
      </c>
      <c r="BV276" s="28" t="e">
        <f>#REF!</f>
        <v>#REF!</v>
      </c>
      <c r="BW276" s="28" t="e">
        <f>#REF!*2</f>
        <v>#REF!</v>
      </c>
      <c r="BX276" s="28" t="e">
        <f>#REF!</f>
        <v>#REF!</v>
      </c>
      <c r="BY276" s="28" t="e">
        <f>#REF!*2</f>
        <v>#REF!</v>
      </c>
      <c r="BZ276" s="28" t="e">
        <f>#REF!</f>
        <v>#REF!</v>
      </c>
      <c r="CA276" s="28" t="e">
        <f>#REF!*2</f>
        <v>#REF!</v>
      </c>
      <c r="CB276" s="9">
        <f t="shared" si="183"/>
        <v>0</v>
      </c>
      <c r="CC276" s="9">
        <f t="shared" si="184"/>
        <v>0</v>
      </c>
      <c r="CD276" s="9">
        <f t="shared" si="185"/>
        <v>0</v>
      </c>
      <c r="CE276" s="9">
        <f t="shared" si="186"/>
        <v>0</v>
      </c>
      <c r="CF276" s="9">
        <f t="shared" si="187"/>
        <v>0</v>
      </c>
      <c r="CG276" s="33"/>
      <c r="CH276" s="3">
        <f t="shared" si="188"/>
        <v>0</v>
      </c>
      <c r="CI276" s="3">
        <f t="shared" si="189"/>
        <v>0</v>
      </c>
      <c r="CJ276" s="3">
        <f t="shared" si="190"/>
        <v>0</v>
      </c>
      <c r="CK276" s="3">
        <f t="shared" si="191"/>
        <v>0</v>
      </c>
      <c r="CL276" s="3">
        <f t="shared" si="192"/>
        <v>0</v>
      </c>
      <c r="CM276" s="32"/>
      <c r="CN276" s="3">
        <f t="shared" si="193"/>
        <v>0</v>
      </c>
      <c r="CO276" s="3">
        <f t="shared" si="194"/>
        <v>0</v>
      </c>
      <c r="CP276" s="3">
        <f t="shared" si="195"/>
        <v>0</v>
      </c>
      <c r="CQ276" s="3">
        <f t="shared" si="196"/>
        <v>0</v>
      </c>
      <c r="CR276" s="3">
        <f t="shared" si="197"/>
        <v>0</v>
      </c>
      <c r="CS276" s="31"/>
      <c r="CT276" s="3" cm="1">
        <f t="array" ref="CT276">SUMPRODUCT(--(MOD(CH276:CL276,2)=1))</f>
        <v>0</v>
      </c>
      <c r="CU276" s="3">
        <f t="shared" si="198"/>
        <v>5</v>
      </c>
      <c r="CV276" s="30"/>
      <c r="CW276" s="3" cm="1">
        <f t="array" ref="CW276">SUMPRODUCT(--(MOD(CH276:CL276,10)&gt;=1), --(MOD(CH276:CL276,10)&lt;=5))</f>
        <v>0</v>
      </c>
      <c r="CX276" s="3">
        <f t="shared" si="199"/>
        <v>5</v>
      </c>
      <c r="CY276" s="30"/>
      <c r="CZ276" s="3" cm="1">
        <f t="array" ref="CZ276">IFERROR(COUNT(_xlfn._xlws.FILTER(CH276:CL276, ISNUMBER(MATCH(CH276:CL276, {2,3,5,7,11,13,17,19,23,29,31,37,41,43}, 0)))), 0)</f>
        <v>0</v>
      </c>
      <c r="DA276" s="3" cm="1">
        <f t="array" ref="DA276">IFERROR(COUNT(_xlfn._xlws.FILTER(CH276:CL276, ISNUMBER(MATCH(CH276:CL276, {1,4,8,10,14,16,20,22,25,26,28,32,34,35,38,40,44}, 0)))), 0)</f>
        <v>0</v>
      </c>
      <c r="DB276" s="3" cm="1">
        <f t="array" ref="DB276">IFERROR(COUNT(_xlfn._xlws.FILTER(CH276:CL276, ISNUMBER(MATCH(CH276:CL276, {6,9,12,15,18,21,24,27,30,33,36,39,42,45}, 0)))), 0)</f>
        <v>0</v>
      </c>
      <c r="DC276" s="29"/>
      <c r="DD276" s="28" t="e">
        <f>#REF!</f>
        <v>#REF!</v>
      </c>
      <c r="DE276" s="28" t="e">
        <f>#REF!*2</f>
        <v>#REF!</v>
      </c>
      <c r="DF276" s="28" t="e">
        <f>#REF!</f>
        <v>#REF!</v>
      </c>
      <c r="DG276" s="28" t="e">
        <f>#REF!*2</f>
        <v>#REF!</v>
      </c>
      <c r="DH276" s="28" t="e">
        <f>#REF!</f>
        <v>#REF!</v>
      </c>
      <c r="DI276" s="28" t="e">
        <f>#REF!*2</f>
        <v>#REF!</v>
      </c>
      <c r="DJ276" s="28" t="e">
        <f>#REF!</f>
        <v>#REF!</v>
      </c>
      <c r="DK276" s="28" t="e">
        <f>#REF!*2</f>
        <v>#REF!</v>
      </c>
      <c r="DL276" s="28" t="e">
        <f>#REF!</f>
        <v>#REF!</v>
      </c>
      <c r="DM276" s="28" t="e">
        <f>#REF!*2</f>
        <v>#REF!</v>
      </c>
      <c r="DN276" s="27"/>
      <c r="DO276" s="26"/>
      <c r="DP276" s="26"/>
      <c r="DQ276" s="26"/>
      <c r="DR276" s="26"/>
      <c r="DS276" s="26"/>
      <c r="DT276" s="25"/>
    </row>
    <row r="277" spans="2:124" x14ac:dyDescent="0.3"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2"/>
      <c r="I277" s="3">
        <f t="shared" si="160"/>
        <v>0</v>
      </c>
      <c r="J277" s="3">
        <f t="shared" si="161"/>
        <v>0</v>
      </c>
      <c r="K277" s="3">
        <f t="shared" si="162"/>
        <v>0</v>
      </c>
      <c r="L277" s="3">
        <f t="shared" si="163"/>
        <v>0</v>
      </c>
      <c r="M277" s="3">
        <f t="shared" si="164"/>
        <v>0</v>
      </c>
      <c r="N277" s="3">
        <f t="shared" si="165"/>
        <v>0</v>
      </c>
      <c r="O277" s="32"/>
      <c r="P277" s="3" cm="1">
        <f t="array" ref="P277">SUMPRODUCT(--(MOD(B277:G277,2)=1))</f>
        <v>0</v>
      </c>
      <c r="Q277" s="3">
        <f t="shared" si="166"/>
        <v>6</v>
      </c>
      <c r="R277" s="34"/>
      <c r="S277" s="3">
        <f t="shared" si="167"/>
        <v>0</v>
      </c>
      <c r="T277" s="3">
        <f t="shared" si="168"/>
        <v>6</v>
      </c>
      <c r="U277" s="34"/>
      <c r="V277" s="3" cm="1">
        <f t="array" ref="V277">SUMPRODUCT(--(MOD(B277:G277,10)&gt;=1), --(MOD(B277:G277,10)&lt;=5))</f>
        <v>0</v>
      </c>
      <c r="W277" s="3">
        <f t="shared" si="169"/>
        <v>6</v>
      </c>
      <c r="X277" s="34"/>
      <c r="Y277" s="3" cm="1">
        <f t="array" ref="Y277">IFERROR(COUNT(_xlfn._xlws.FILTER(B277:G277, ISNUMBER(MATCH(B277:G277, {2,3,5,7,11,13,17,19,23,29,31,37,41,43}, 0)))), 0)</f>
        <v>0</v>
      </c>
      <c r="Z277" s="3" cm="1">
        <f t="array" ref="Z277">IFERROR(COUNT(_xlfn._xlws.FILTER(B277:G277, ISNUMBER(MATCH(B277:G277, {1,4,8,10,14,16,20,22,25,26,28,32,34,35,38,40,44}, 0)))), 0)</f>
        <v>0</v>
      </c>
      <c r="AA277" s="3" cm="1">
        <f t="array" ref="AA277">IFERROR(COUNT(_xlfn._xlws.FILTER(B277:G277, ISNUMBER(MATCH(B277:G277, {6,9,12,15,18,21,24,27,30,33,36,39,42,45}, 0)))), 0)</f>
        <v>0</v>
      </c>
      <c r="AB277" s="30"/>
      <c r="AC277" s="26" cm="1">
        <f t="array" ref="AC277">_xlfn.IFS(
   OR(B277="",ISBLANK(B277),B277=0),0,
   ISNUMBER(MATCH(B277,{2,3,5,7,11,13,17,19,23,29,31,37,41,43},0)),"소",
   AND(ISNUMBER(B277),MOD(B277,3)=0),"배",
   AND(ISNUMBER(B277),B277&gt;0),"자"
)</f>
        <v>0</v>
      </c>
      <c r="AD277" s="26" cm="1">
        <f t="array" ref="AD277">_xlfn.IFS(
   OR(C277="",ISBLANK(C277),C277=0),0,
   ISNUMBER(MATCH(C277,{2,3,5,7,11,13,17,19,23,29,31,37,41,43},0)),"소",
   AND(ISNUMBER(C277),MOD(C277,3)=0),"배",
   AND(ISNUMBER(C277),C277&gt;0),"자"
)</f>
        <v>0</v>
      </c>
      <c r="AE277" s="26" cm="1">
        <f t="array" ref="AE277">_xlfn.IFS(
   OR(D277="",ISBLANK(D277),D277=0),0,
   ISNUMBER(MATCH(D277,{2,3,5,7,11,13,17,19,23,29,31,37,41,43},0)),"소",
   AND(ISNUMBER(D277),MOD(D277,3)=0),"배",
   AND(ISNUMBER(D277),D277&gt;0),"자"
)</f>
        <v>0</v>
      </c>
      <c r="AF277" s="26" cm="1">
        <f t="array" ref="AF277">_xlfn.IFS(
   OR(E277="",ISBLANK(E277),E277=0),0,
   ISNUMBER(MATCH(E277,{2,3,5,7,11,13,17,19,23,29,31,37,41,43},0)),"소",
   AND(ISNUMBER(E277),MOD(E277,3)=0),"배",
   AND(ISNUMBER(E277),E277&gt;0),"자"
)</f>
        <v>0</v>
      </c>
      <c r="AG277" s="26" cm="1">
        <f t="array" ref="AG277">_xlfn.IFS(
   OR(F277="",ISBLANK(F277),F277=0),0,
   ISNUMBER(MATCH(F277,{2,3,5,7,11,13,17,19,23,29,31,37,41,43},0)),"소",
   AND(ISNUMBER(F277),MOD(F277,3)=0),"배",
   AND(ISNUMBER(F277),F277&gt;0),"자"
)</f>
        <v>0</v>
      </c>
      <c r="AH277" s="26" cm="1">
        <f t="array" ref="AH277">_xlfn.IFS(
   OR(G277="",ISBLANK(G277),G277=0),0,
   ISNUMBER(MATCH(G277,{2,3,5,7,11,13,17,19,23,29,31,37,41,43},0)),"소",
   AND(ISNUMBER(G277),MOD(G277,3)=0),"배",
   AND(ISNUMBER(G277),G277&gt;0),"자"
)</f>
        <v>0</v>
      </c>
      <c r="AI277" s="30"/>
      <c r="AJ277" s="3">
        <f t="shared" si="170"/>
        <v>0</v>
      </c>
      <c r="AK277" s="3">
        <f t="shared" si="171"/>
        <v>0</v>
      </c>
      <c r="AL277" s="3">
        <f t="shared" si="172"/>
        <v>6</v>
      </c>
      <c r="AM277" s="33"/>
      <c r="AN277" s="3">
        <f t="shared" si="173"/>
        <v>0</v>
      </c>
      <c r="AO277" s="3">
        <f t="shared" si="174"/>
        <v>0</v>
      </c>
      <c r="AP277" s="3">
        <f t="shared" si="175"/>
        <v>0</v>
      </c>
      <c r="AQ277" s="3">
        <f t="shared" si="176"/>
        <v>0</v>
      </c>
      <c r="AR277" s="3">
        <f t="shared" si="177"/>
        <v>0</v>
      </c>
      <c r="AS277" s="28" t="e">
        <f>#REF!</f>
        <v>#REF!</v>
      </c>
      <c r="AT277" s="28" t="e">
        <f>#REF!*2</f>
        <v>#REF!</v>
      </c>
      <c r="AU277" s="28" t="e">
        <f>#REF!</f>
        <v>#REF!</v>
      </c>
      <c r="AV277" s="28" t="e">
        <f>#REF!*2</f>
        <v>#REF!</v>
      </c>
      <c r="AW277" s="28" t="e">
        <f>#REF!</f>
        <v>#REF!</v>
      </c>
      <c r="AX277" s="28" t="e">
        <f>#REF!*2</f>
        <v>#REF!</v>
      </c>
      <c r="AY277" s="28" t="e">
        <f>#REF!</f>
        <v>#REF!</v>
      </c>
      <c r="AZ277" s="28" t="e">
        <f>#REF!*2</f>
        <v>#REF!</v>
      </c>
      <c r="BA277" s="28" t="e">
        <f>#REF!</f>
        <v>#REF!</v>
      </c>
      <c r="BB277" s="28" t="e">
        <f>#REF!*2</f>
        <v>#REF!</v>
      </c>
      <c r="BC277" s="28" t="e">
        <f>#REF!</f>
        <v>#REF!</v>
      </c>
      <c r="BD277" s="28" t="e">
        <f>#REF!*2</f>
        <v>#REF!</v>
      </c>
      <c r="BE277" s="9" t="e">
        <f>#REF!-#REF!</f>
        <v>#REF!</v>
      </c>
      <c r="BF277" s="9" t="e">
        <f>#REF!-#REF!</f>
        <v>#REF!</v>
      </c>
      <c r="BG277" s="9" t="e">
        <f>#REF!-#REF!</f>
        <v>#REF!</v>
      </c>
      <c r="BH277" s="9" t="e">
        <f>#REF!-#REF!</f>
        <v>#REF!</v>
      </c>
      <c r="BI277" s="9" t="e">
        <f>#REF!-#REF!</f>
        <v>#REF!</v>
      </c>
      <c r="BJ277" s="33"/>
      <c r="BK277" s="3">
        <f t="shared" si="178"/>
        <v>0</v>
      </c>
      <c r="BL277" s="3">
        <f t="shared" si="179"/>
        <v>0</v>
      </c>
      <c r="BM277" s="3">
        <f t="shared" si="180"/>
        <v>0</v>
      </c>
      <c r="BN277" s="3">
        <f t="shared" si="181"/>
        <v>0</v>
      </c>
      <c r="BO277" s="3">
        <f t="shared" si="182"/>
        <v>0</v>
      </c>
      <c r="BP277" s="28" t="e">
        <f>#REF!</f>
        <v>#REF!</v>
      </c>
      <c r="BQ277" s="28" t="e">
        <f>#REF!*2</f>
        <v>#REF!</v>
      </c>
      <c r="BR277" s="28" t="e">
        <f>#REF!</f>
        <v>#REF!</v>
      </c>
      <c r="BS277" s="28" t="e">
        <f>#REF!*2</f>
        <v>#REF!</v>
      </c>
      <c r="BT277" s="28" t="e">
        <f>#REF!</f>
        <v>#REF!</v>
      </c>
      <c r="BU277" s="28" t="e">
        <f>#REF!*2</f>
        <v>#REF!</v>
      </c>
      <c r="BV277" s="28" t="e">
        <f>#REF!</f>
        <v>#REF!</v>
      </c>
      <c r="BW277" s="28" t="e">
        <f>#REF!*2</f>
        <v>#REF!</v>
      </c>
      <c r="BX277" s="28" t="e">
        <f>#REF!</f>
        <v>#REF!</v>
      </c>
      <c r="BY277" s="28" t="e">
        <f>#REF!*2</f>
        <v>#REF!</v>
      </c>
      <c r="BZ277" s="28" t="e">
        <f>#REF!</f>
        <v>#REF!</v>
      </c>
      <c r="CA277" s="28" t="e">
        <f>#REF!*2</f>
        <v>#REF!</v>
      </c>
      <c r="CB277" s="9">
        <f t="shared" si="183"/>
        <v>0</v>
      </c>
      <c r="CC277" s="9">
        <f t="shared" si="184"/>
        <v>0</v>
      </c>
      <c r="CD277" s="9">
        <f t="shared" si="185"/>
        <v>0</v>
      </c>
      <c r="CE277" s="9">
        <f t="shared" si="186"/>
        <v>0</v>
      </c>
      <c r="CF277" s="9">
        <f t="shared" si="187"/>
        <v>0</v>
      </c>
      <c r="CG277" s="33"/>
      <c r="CH277" s="3">
        <f t="shared" si="188"/>
        <v>0</v>
      </c>
      <c r="CI277" s="3">
        <f t="shared" si="189"/>
        <v>0</v>
      </c>
      <c r="CJ277" s="3">
        <f t="shared" si="190"/>
        <v>0</v>
      </c>
      <c r="CK277" s="3">
        <f t="shared" si="191"/>
        <v>0</v>
      </c>
      <c r="CL277" s="3">
        <f t="shared" si="192"/>
        <v>0</v>
      </c>
      <c r="CM277" s="32"/>
      <c r="CN277" s="3">
        <f t="shared" si="193"/>
        <v>0</v>
      </c>
      <c r="CO277" s="3">
        <f t="shared" si="194"/>
        <v>0</v>
      </c>
      <c r="CP277" s="3">
        <f t="shared" si="195"/>
        <v>0</v>
      </c>
      <c r="CQ277" s="3">
        <f t="shared" si="196"/>
        <v>0</v>
      </c>
      <c r="CR277" s="3">
        <f t="shared" si="197"/>
        <v>0</v>
      </c>
      <c r="CS277" s="31"/>
      <c r="CT277" s="3" cm="1">
        <f t="array" ref="CT277">SUMPRODUCT(--(MOD(CH277:CL277,2)=1))</f>
        <v>0</v>
      </c>
      <c r="CU277" s="3">
        <f t="shared" si="198"/>
        <v>5</v>
      </c>
      <c r="CV277" s="30"/>
      <c r="CW277" s="3" cm="1">
        <f t="array" ref="CW277">SUMPRODUCT(--(MOD(CH277:CL277,10)&gt;=1), --(MOD(CH277:CL277,10)&lt;=5))</f>
        <v>0</v>
      </c>
      <c r="CX277" s="3">
        <f t="shared" si="199"/>
        <v>5</v>
      </c>
      <c r="CY277" s="30"/>
      <c r="CZ277" s="3" cm="1">
        <f t="array" ref="CZ277">IFERROR(COUNT(_xlfn._xlws.FILTER(CH277:CL277, ISNUMBER(MATCH(CH277:CL277, {2,3,5,7,11,13,17,19,23,29,31,37,41,43}, 0)))), 0)</f>
        <v>0</v>
      </c>
      <c r="DA277" s="3" cm="1">
        <f t="array" ref="DA277">IFERROR(COUNT(_xlfn._xlws.FILTER(CH277:CL277, ISNUMBER(MATCH(CH277:CL277, {1,4,8,10,14,16,20,22,25,26,28,32,34,35,38,40,44}, 0)))), 0)</f>
        <v>0</v>
      </c>
      <c r="DB277" s="3" cm="1">
        <f t="array" ref="DB277">IFERROR(COUNT(_xlfn._xlws.FILTER(CH277:CL277, ISNUMBER(MATCH(CH277:CL277, {6,9,12,15,18,21,24,27,30,33,36,39,42,45}, 0)))), 0)</f>
        <v>0</v>
      </c>
      <c r="DC277" s="29"/>
      <c r="DD277" s="28" t="e">
        <f>#REF!</f>
        <v>#REF!</v>
      </c>
      <c r="DE277" s="28" t="e">
        <f>#REF!*2</f>
        <v>#REF!</v>
      </c>
      <c r="DF277" s="28" t="e">
        <f>#REF!</f>
        <v>#REF!</v>
      </c>
      <c r="DG277" s="28" t="e">
        <f>#REF!*2</f>
        <v>#REF!</v>
      </c>
      <c r="DH277" s="28" t="e">
        <f>#REF!</f>
        <v>#REF!</v>
      </c>
      <c r="DI277" s="28" t="e">
        <f>#REF!*2</f>
        <v>#REF!</v>
      </c>
      <c r="DJ277" s="28" t="e">
        <f>#REF!</f>
        <v>#REF!</v>
      </c>
      <c r="DK277" s="28" t="e">
        <f>#REF!*2</f>
        <v>#REF!</v>
      </c>
      <c r="DL277" s="28" t="e">
        <f>#REF!</f>
        <v>#REF!</v>
      </c>
      <c r="DM277" s="28" t="e">
        <f>#REF!*2</f>
        <v>#REF!</v>
      </c>
      <c r="DN277" s="27"/>
      <c r="DO277" s="26"/>
      <c r="DP277" s="26"/>
      <c r="DQ277" s="26"/>
      <c r="DR277" s="26"/>
      <c r="DS277" s="26"/>
      <c r="DT277" s="25"/>
    </row>
    <row r="278" spans="2:124" x14ac:dyDescent="0.3"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2"/>
      <c r="I278" s="3">
        <f t="shared" si="160"/>
        <v>0</v>
      </c>
      <c r="J278" s="3">
        <f t="shared" si="161"/>
        <v>0</v>
      </c>
      <c r="K278" s="3">
        <f t="shared" si="162"/>
        <v>0</v>
      </c>
      <c r="L278" s="3">
        <f t="shared" si="163"/>
        <v>0</v>
      </c>
      <c r="M278" s="3">
        <f t="shared" si="164"/>
        <v>0</v>
      </c>
      <c r="N278" s="3">
        <f t="shared" si="165"/>
        <v>0</v>
      </c>
      <c r="O278" s="32"/>
      <c r="P278" s="3" cm="1">
        <f t="array" ref="P278">SUMPRODUCT(--(MOD(B278:G278,2)=1))</f>
        <v>0</v>
      </c>
      <c r="Q278" s="3">
        <f t="shared" si="166"/>
        <v>6</v>
      </c>
      <c r="R278" s="34"/>
      <c r="S278" s="3">
        <f t="shared" si="167"/>
        <v>0</v>
      </c>
      <c r="T278" s="3">
        <f t="shared" si="168"/>
        <v>6</v>
      </c>
      <c r="U278" s="34"/>
      <c r="V278" s="3" cm="1">
        <f t="array" ref="V278">SUMPRODUCT(--(MOD(B278:G278,10)&gt;=1), --(MOD(B278:G278,10)&lt;=5))</f>
        <v>0</v>
      </c>
      <c r="W278" s="3">
        <f t="shared" si="169"/>
        <v>6</v>
      </c>
      <c r="X278" s="34"/>
      <c r="Y278" s="3" cm="1">
        <f t="array" ref="Y278">IFERROR(COUNT(_xlfn._xlws.FILTER(B278:G278, ISNUMBER(MATCH(B278:G278, {2,3,5,7,11,13,17,19,23,29,31,37,41,43}, 0)))), 0)</f>
        <v>0</v>
      </c>
      <c r="Z278" s="3" cm="1">
        <f t="array" ref="Z278">IFERROR(COUNT(_xlfn._xlws.FILTER(B278:G278, ISNUMBER(MATCH(B278:G278, {1,4,8,10,14,16,20,22,25,26,28,32,34,35,38,40,44}, 0)))), 0)</f>
        <v>0</v>
      </c>
      <c r="AA278" s="3" cm="1">
        <f t="array" ref="AA278">IFERROR(COUNT(_xlfn._xlws.FILTER(B278:G278, ISNUMBER(MATCH(B278:G278, {6,9,12,15,18,21,24,27,30,33,36,39,42,45}, 0)))), 0)</f>
        <v>0</v>
      </c>
      <c r="AB278" s="30"/>
      <c r="AC278" s="26" cm="1">
        <f t="array" ref="AC278">_xlfn.IFS(
   OR(B278="",ISBLANK(B278),B278=0),0,
   ISNUMBER(MATCH(B278,{2,3,5,7,11,13,17,19,23,29,31,37,41,43},0)),"소",
   AND(ISNUMBER(B278),MOD(B278,3)=0),"배",
   AND(ISNUMBER(B278),B278&gt;0),"자"
)</f>
        <v>0</v>
      </c>
      <c r="AD278" s="26" cm="1">
        <f t="array" ref="AD278">_xlfn.IFS(
   OR(C278="",ISBLANK(C278),C278=0),0,
   ISNUMBER(MATCH(C278,{2,3,5,7,11,13,17,19,23,29,31,37,41,43},0)),"소",
   AND(ISNUMBER(C278),MOD(C278,3)=0),"배",
   AND(ISNUMBER(C278),C278&gt;0),"자"
)</f>
        <v>0</v>
      </c>
      <c r="AE278" s="26" cm="1">
        <f t="array" ref="AE278">_xlfn.IFS(
   OR(D278="",ISBLANK(D278),D278=0),0,
   ISNUMBER(MATCH(D278,{2,3,5,7,11,13,17,19,23,29,31,37,41,43},0)),"소",
   AND(ISNUMBER(D278),MOD(D278,3)=0),"배",
   AND(ISNUMBER(D278),D278&gt;0),"자"
)</f>
        <v>0</v>
      </c>
      <c r="AF278" s="26" cm="1">
        <f t="array" ref="AF278">_xlfn.IFS(
   OR(E278="",ISBLANK(E278),E278=0),0,
   ISNUMBER(MATCH(E278,{2,3,5,7,11,13,17,19,23,29,31,37,41,43},0)),"소",
   AND(ISNUMBER(E278),MOD(E278,3)=0),"배",
   AND(ISNUMBER(E278),E278&gt;0),"자"
)</f>
        <v>0</v>
      </c>
      <c r="AG278" s="26" cm="1">
        <f t="array" ref="AG278">_xlfn.IFS(
   OR(F278="",ISBLANK(F278),F278=0),0,
   ISNUMBER(MATCH(F278,{2,3,5,7,11,13,17,19,23,29,31,37,41,43},0)),"소",
   AND(ISNUMBER(F278),MOD(F278,3)=0),"배",
   AND(ISNUMBER(F278),F278&gt;0),"자"
)</f>
        <v>0</v>
      </c>
      <c r="AH278" s="26" cm="1">
        <f t="array" ref="AH278">_xlfn.IFS(
   OR(G278="",ISBLANK(G278),G278=0),0,
   ISNUMBER(MATCH(G278,{2,3,5,7,11,13,17,19,23,29,31,37,41,43},0)),"소",
   AND(ISNUMBER(G278),MOD(G278,3)=0),"배",
   AND(ISNUMBER(G278),G278&gt;0),"자"
)</f>
        <v>0</v>
      </c>
      <c r="AI278" s="30"/>
      <c r="AJ278" s="3">
        <f t="shared" si="170"/>
        <v>0</v>
      </c>
      <c r="AK278" s="3">
        <f t="shared" si="171"/>
        <v>0</v>
      </c>
      <c r="AL278" s="3">
        <f t="shared" si="172"/>
        <v>6</v>
      </c>
      <c r="AM278" s="33"/>
      <c r="AN278" s="3">
        <f t="shared" si="173"/>
        <v>0</v>
      </c>
      <c r="AO278" s="3">
        <f t="shared" si="174"/>
        <v>0</v>
      </c>
      <c r="AP278" s="3">
        <f t="shared" si="175"/>
        <v>0</v>
      </c>
      <c r="AQ278" s="3">
        <f t="shared" si="176"/>
        <v>0</v>
      </c>
      <c r="AR278" s="3">
        <f t="shared" si="177"/>
        <v>0</v>
      </c>
      <c r="AS278" s="28" t="e">
        <f>#REF!</f>
        <v>#REF!</v>
      </c>
      <c r="AT278" s="28" t="e">
        <f>#REF!*2</f>
        <v>#REF!</v>
      </c>
      <c r="AU278" s="28" t="e">
        <f>#REF!</f>
        <v>#REF!</v>
      </c>
      <c r="AV278" s="28" t="e">
        <f>#REF!*2</f>
        <v>#REF!</v>
      </c>
      <c r="AW278" s="28" t="e">
        <f>#REF!</f>
        <v>#REF!</v>
      </c>
      <c r="AX278" s="28" t="e">
        <f>#REF!*2</f>
        <v>#REF!</v>
      </c>
      <c r="AY278" s="28" t="e">
        <f>#REF!</f>
        <v>#REF!</v>
      </c>
      <c r="AZ278" s="28" t="e">
        <f>#REF!*2</f>
        <v>#REF!</v>
      </c>
      <c r="BA278" s="28" t="e">
        <f>#REF!</f>
        <v>#REF!</v>
      </c>
      <c r="BB278" s="28" t="e">
        <f>#REF!*2</f>
        <v>#REF!</v>
      </c>
      <c r="BC278" s="28" t="e">
        <f>#REF!</f>
        <v>#REF!</v>
      </c>
      <c r="BD278" s="28" t="e">
        <f>#REF!*2</f>
        <v>#REF!</v>
      </c>
      <c r="BE278" s="9" t="e">
        <f>#REF!-#REF!</f>
        <v>#REF!</v>
      </c>
      <c r="BF278" s="9" t="e">
        <f>#REF!-#REF!</f>
        <v>#REF!</v>
      </c>
      <c r="BG278" s="9" t="e">
        <f>#REF!-#REF!</f>
        <v>#REF!</v>
      </c>
      <c r="BH278" s="9" t="e">
        <f>#REF!-#REF!</f>
        <v>#REF!</v>
      </c>
      <c r="BI278" s="9" t="e">
        <f>#REF!-#REF!</f>
        <v>#REF!</v>
      </c>
      <c r="BJ278" s="33"/>
      <c r="BK278" s="3">
        <f t="shared" si="178"/>
        <v>0</v>
      </c>
      <c r="BL278" s="3">
        <f t="shared" si="179"/>
        <v>0</v>
      </c>
      <c r="BM278" s="3">
        <f t="shared" si="180"/>
        <v>0</v>
      </c>
      <c r="BN278" s="3">
        <f t="shared" si="181"/>
        <v>0</v>
      </c>
      <c r="BO278" s="3">
        <f t="shared" si="182"/>
        <v>0</v>
      </c>
      <c r="BP278" s="28" t="e">
        <f>#REF!</f>
        <v>#REF!</v>
      </c>
      <c r="BQ278" s="28" t="e">
        <f>#REF!*2</f>
        <v>#REF!</v>
      </c>
      <c r="BR278" s="28" t="e">
        <f>#REF!</f>
        <v>#REF!</v>
      </c>
      <c r="BS278" s="28" t="e">
        <f>#REF!*2</f>
        <v>#REF!</v>
      </c>
      <c r="BT278" s="28" t="e">
        <f>#REF!</f>
        <v>#REF!</v>
      </c>
      <c r="BU278" s="28" t="e">
        <f>#REF!*2</f>
        <v>#REF!</v>
      </c>
      <c r="BV278" s="28" t="e">
        <f>#REF!</f>
        <v>#REF!</v>
      </c>
      <c r="BW278" s="28" t="e">
        <f>#REF!*2</f>
        <v>#REF!</v>
      </c>
      <c r="BX278" s="28" t="e">
        <f>#REF!</f>
        <v>#REF!</v>
      </c>
      <c r="BY278" s="28" t="e">
        <f>#REF!*2</f>
        <v>#REF!</v>
      </c>
      <c r="BZ278" s="28" t="e">
        <f>#REF!</f>
        <v>#REF!</v>
      </c>
      <c r="CA278" s="28" t="e">
        <f>#REF!*2</f>
        <v>#REF!</v>
      </c>
      <c r="CB278" s="9">
        <f t="shared" si="183"/>
        <v>0</v>
      </c>
      <c r="CC278" s="9">
        <f t="shared" si="184"/>
        <v>0</v>
      </c>
      <c r="CD278" s="9">
        <f t="shared" si="185"/>
        <v>0</v>
      </c>
      <c r="CE278" s="9">
        <f t="shared" si="186"/>
        <v>0</v>
      </c>
      <c r="CF278" s="9">
        <f t="shared" si="187"/>
        <v>0</v>
      </c>
      <c r="CG278" s="33"/>
      <c r="CH278" s="3">
        <f t="shared" si="188"/>
        <v>0</v>
      </c>
      <c r="CI278" s="3">
        <f t="shared" si="189"/>
        <v>0</v>
      </c>
      <c r="CJ278" s="3">
        <f t="shared" si="190"/>
        <v>0</v>
      </c>
      <c r="CK278" s="3">
        <f t="shared" si="191"/>
        <v>0</v>
      </c>
      <c r="CL278" s="3">
        <f t="shared" si="192"/>
        <v>0</v>
      </c>
      <c r="CM278" s="32"/>
      <c r="CN278" s="3">
        <f t="shared" si="193"/>
        <v>0</v>
      </c>
      <c r="CO278" s="3">
        <f t="shared" si="194"/>
        <v>0</v>
      </c>
      <c r="CP278" s="3">
        <f t="shared" si="195"/>
        <v>0</v>
      </c>
      <c r="CQ278" s="3">
        <f t="shared" si="196"/>
        <v>0</v>
      </c>
      <c r="CR278" s="3">
        <f t="shared" si="197"/>
        <v>0</v>
      </c>
      <c r="CS278" s="31"/>
      <c r="CT278" s="3" cm="1">
        <f t="array" ref="CT278">SUMPRODUCT(--(MOD(CH278:CL278,2)=1))</f>
        <v>0</v>
      </c>
      <c r="CU278" s="3">
        <f t="shared" si="198"/>
        <v>5</v>
      </c>
      <c r="CV278" s="30"/>
      <c r="CW278" s="3" cm="1">
        <f t="array" ref="CW278">SUMPRODUCT(--(MOD(CH278:CL278,10)&gt;=1), --(MOD(CH278:CL278,10)&lt;=5))</f>
        <v>0</v>
      </c>
      <c r="CX278" s="3">
        <f t="shared" si="199"/>
        <v>5</v>
      </c>
      <c r="CY278" s="30"/>
      <c r="CZ278" s="3" cm="1">
        <f t="array" ref="CZ278">IFERROR(COUNT(_xlfn._xlws.FILTER(CH278:CL278, ISNUMBER(MATCH(CH278:CL278, {2,3,5,7,11,13,17,19,23,29,31,37,41,43}, 0)))), 0)</f>
        <v>0</v>
      </c>
      <c r="DA278" s="3" cm="1">
        <f t="array" ref="DA278">IFERROR(COUNT(_xlfn._xlws.FILTER(CH278:CL278, ISNUMBER(MATCH(CH278:CL278, {1,4,8,10,14,16,20,22,25,26,28,32,34,35,38,40,44}, 0)))), 0)</f>
        <v>0</v>
      </c>
      <c r="DB278" s="3" cm="1">
        <f t="array" ref="DB278">IFERROR(COUNT(_xlfn._xlws.FILTER(CH278:CL278, ISNUMBER(MATCH(CH278:CL278, {6,9,12,15,18,21,24,27,30,33,36,39,42,45}, 0)))), 0)</f>
        <v>0</v>
      </c>
      <c r="DC278" s="29"/>
      <c r="DD278" s="28" t="e">
        <f>#REF!</f>
        <v>#REF!</v>
      </c>
      <c r="DE278" s="28" t="e">
        <f>#REF!*2</f>
        <v>#REF!</v>
      </c>
      <c r="DF278" s="28" t="e">
        <f>#REF!</f>
        <v>#REF!</v>
      </c>
      <c r="DG278" s="28" t="e">
        <f>#REF!*2</f>
        <v>#REF!</v>
      </c>
      <c r="DH278" s="28" t="e">
        <f>#REF!</f>
        <v>#REF!</v>
      </c>
      <c r="DI278" s="28" t="e">
        <f>#REF!*2</f>
        <v>#REF!</v>
      </c>
      <c r="DJ278" s="28" t="e">
        <f>#REF!</f>
        <v>#REF!</v>
      </c>
      <c r="DK278" s="28" t="e">
        <f>#REF!*2</f>
        <v>#REF!</v>
      </c>
      <c r="DL278" s="28" t="e">
        <f>#REF!</f>
        <v>#REF!</v>
      </c>
      <c r="DM278" s="28" t="e">
        <f>#REF!*2</f>
        <v>#REF!</v>
      </c>
      <c r="DN278" s="27"/>
      <c r="DO278" s="26"/>
      <c r="DP278" s="26"/>
      <c r="DQ278" s="26"/>
      <c r="DR278" s="26"/>
      <c r="DS278" s="26"/>
      <c r="DT278" s="25"/>
    </row>
    <row r="279" spans="2:124" x14ac:dyDescent="0.3"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2"/>
      <c r="I279" s="3">
        <f t="shared" si="160"/>
        <v>0</v>
      </c>
      <c r="J279" s="3">
        <f t="shared" si="161"/>
        <v>0</v>
      </c>
      <c r="K279" s="3">
        <f t="shared" si="162"/>
        <v>0</v>
      </c>
      <c r="L279" s="3">
        <f t="shared" si="163"/>
        <v>0</v>
      </c>
      <c r="M279" s="3">
        <f t="shared" si="164"/>
        <v>0</v>
      </c>
      <c r="N279" s="3">
        <f t="shared" si="165"/>
        <v>0</v>
      </c>
      <c r="O279" s="32"/>
      <c r="P279" s="3" cm="1">
        <f t="array" ref="P279">SUMPRODUCT(--(MOD(B279:G279,2)=1))</f>
        <v>0</v>
      </c>
      <c r="Q279" s="3">
        <f t="shared" si="166"/>
        <v>6</v>
      </c>
      <c r="R279" s="34"/>
      <c r="S279" s="3">
        <f t="shared" si="167"/>
        <v>0</v>
      </c>
      <c r="T279" s="3">
        <f t="shared" si="168"/>
        <v>6</v>
      </c>
      <c r="U279" s="34"/>
      <c r="V279" s="3" cm="1">
        <f t="array" ref="V279">SUMPRODUCT(--(MOD(B279:G279,10)&gt;=1), --(MOD(B279:G279,10)&lt;=5))</f>
        <v>0</v>
      </c>
      <c r="W279" s="3">
        <f t="shared" si="169"/>
        <v>6</v>
      </c>
      <c r="X279" s="34"/>
      <c r="Y279" s="3" cm="1">
        <f t="array" ref="Y279">IFERROR(COUNT(_xlfn._xlws.FILTER(B279:G279, ISNUMBER(MATCH(B279:G279, {2,3,5,7,11,13,17,19,23,29,31,37,41,43}, 0)))), 0)</f>
        <v>0</v>
      </c>
      <c r="Z279" s="3" cm="1">
        <f t="array" ref="Z279">IFERROR(COUNT(_xlfn._xlws.FILTER(B279:G279, ISNUMBER(MATCH(B279:G279, {1,4,8,10,14,16,20,22,25,26,28,32,34,35,38,40,44}, 0)))), 0)</f>
        <v>0</v>
      </c>
      <c r="AA279" s="3" cm="1">
        <f t="array" ref="AA279">IFERROR(COUNT(_xlfn._xlws.FILTER(B279:G279, ISNUMBER(MATCH(B279:G279, {6,9,12,15,18,21,24,27,30,33,36,39,42,45}, 0)))), 0)</f>
        <v>0</v>
      </c>
      <c r="AB279" s="30"/>
      <c r="AC279" s="26" cm="1">
        <f t="array" ref="AC279">_xlfn.IFS(
   OR(B279="",ISBLANK(B279),B279=0),0,
   ISNUMBER(MATCH(B279,{2,3,5,7,11,13,17,19,23,29,31,37,41,43},0)),"소",
   AND(ISNUMBER(B279),MOD(B279,3)=0),"배",
   AND(ISNUMBER(B279),B279&gt;0),"자"
)</f>
        <v>0</v>
      </c>
      <c r="AD279" s="26" cm="1">
        <f t="array" ref="AD279">_xlfn.IFS(
   OR(C279="",ISBLANK(C279),C279=0),0,
   ISNUMBER(MATCH(C279,{2,3,5,7,11,13,17,19,23,29,31,37,41,43},0)),"소",
   AND(ISNUMBER(C279),MOD(C279,3)=0),"배",
   AND(ISNUMBER(C279),C279&gt;0),"자"
)</f>
        <v>0</v>
      </c>
      <c r="AE279" s="26" cm="1">
        <f t="array" ref="AE279">_xlfn.IFS(
   OR(D279="",ISBLANK(D279),D279=0),0,
   ISNUMBER(MATCH(D279,{2,3,5,7,11,13,17,19,23,29,31,37,41,43},0)),"소",
   AND(ISNUMBER(D279),MOD(D279,3)=0),"배",
   AND(ISNUMBER(D279),D279&gt;0),"자"
)</f>
        <v>0</v>
      </c>
      <c r="AF279" s="26" cm="1">
        <f t="array" ref="AF279">_xlfn.IFS(
   OR(E279="",ISBLANK(E279),E279=0),0,
   ISNUMBER(MATCH(E279,{2,3,5,7,11,13,17,19,23,29,31,37,41,43},0)),"소",
   AND(ISNUMBER(E279),MOD(E279,3)=0),"배",
   AND(ISNUMBER(E279),E279&gt;0),"자"
)</f>
        <v>0</v>
      </c>
      <c r="AG279" s="26" cm="1">
        <f t="array" ref="AG279">_xlfn.IFS(
   OR(F279="",ISBLANK(F279),F279=0),0,
   ISNUMBER(MATCH(F279,{2,3,5,7,11,13,17,19,23,29,31,37,41,43},0)),"소",
   AND(ISNUMBER(F279),MOD(F279,3)=0),"배",
   AND(ISNUMBER(F279),F279&gt;0),"자"
)</f>
        <v>0</v>
      </c>
      <c r="AH279" s="26" cm="1">
        <f t="array" ref="AH279">_xlfn.IFS(
   OR(G279="",ISBLANK(G279),G279=0),0,
   ISNUMBER(MATCH(G279,{2,3,5,7,11,13,17,19,23,29,31,37,41,43},0)),"소",
   AND(ISNUMBER(G279),MOD(G279,3)=0),"배",
   AND(ISNUMBER(G279),G279&gt;0),"자"
)</f>
        <v>0</v>
      </c>
      <c r="AI279" s="30"/>
      <c r="AJ279" s="3">
        <f t="shared" si="170"/>
        <v>0</v>
      </c>
      <c r="AK279" s="3">
        <f t="shared" si="171"/>
        <v>0</v>
      </c>
      <c r="AL279" s="3">
        <f t="shared" si="172"/>
        <v>6</v>
      </c>
      <c r="AM279" s="33"/>
      <c r="AN279" s="3">
        <f t="shared" si="173"/>
        <v>0</v>
      </c>
      <c r="AO279" s="3">
        <f t="shared" si="174"/>
        <v>0</v>
      </c>
      <c r="AP279" s="3">
        <f t="shared" si="175"/>
        <v>0</v>
      </c>
      <c r="AQ279" s="3">
        <f t="shared" si="176"/>
        <v>0</v>
      </c>
      <c r="AR279" s="3">
        <f t="shared" si="177"/>
        <v>0</v>
      </c>
      <c r="AS279" s="28" t="e">
        <f>#REF!</f>
        <v>#REF!</v>
      </c>
      <c r="AT279" s="28" t="e">
        <f>#REF!*2</f>
        <v>#REF!</v>
      </c>
      <c r="AU279" s="28" t="e">
        <f>#REF!</f>
        <v>#REF!</v>
      </c>
      <c r="AV279" s="28" t="e">
        <f>#REF!*2</f>
        <v>#REF!</v>
      </c>
      <c r="AW279" s="28" t="e">
        <f>#REF!</f>
        <v>#REF!</v>
      </c>
      <c r="AX279" s="28" t="e">
        <f>#REF!*2</f>
        <v>#REF!</v>
      </c>
      <c r="AY279" s="28" t="e">
        <f>#REF!</f>
        <v>#REF!</v>
      </c>
      <c r="AZ279" s="28" t="e">
        <f>#REF!*2</f>
        <v>#REF!</v>
      </c>
      <c r="BA279" s="28" t="e">
        <f>#REF!</f>
        <v>#REF!</v>
      </c>
      <c r="BB279" s="28" t="e">
        <f>#REF!*2</f>
        <v>#REF!</v>
      </c>
      <c r="BC279" s="28" t="e">
        <f>#REF!</f>
        <v>#REF!</v>
      </c>
      <c r="BD279" s="28" t="e">
        <f>#REF!*2</f>
        <v>#REF!</v>
      </c>
      <c r="BE279" s="9" t="e">
        <f>#REF!-#REF!</f>
        <v>#REF!</v>
      </c>
      <c r="BF279" s="9" t="e">
        <f>#REF!-#REF!</f>
        <v>#REF!</v>
      </c>
      <c r="BG279" s="9" t="e">
        <f>#REF!-#REF!</f>
        <v>#REF!</v>
      </c>
      <c r="BH279" s="9" t="e">
        <f>#REF!-#REF!</f>
        <v>#REF!</v>
      </c>
      <c r="BI279" s="9" t="e">
        <f>#REF!-#REF!</f>
        <v>#REF!</v>
      </c>
      <c r="BJ279" s="33"/>
      <c r="BK279" s="3">
        <f t="shared" si="178"/>
        <v>0</v>
      </c>
      <c r="BL279" s="3">
        <f t="shared" si="179"/>
        <v>0</v>
      </c>
      <c r="BM279" s="3">
        <f t="shared" si="180"/>
        <v>0</v>
      </c>
      <c r="BN279" s="3">
        <f t="shared" si="181"/>
        <v>0</v>
      </c>
      <c r="BO279" s="3">
        <f t="shared" si="182"/>
        <v>0</v>
      </c>
      <c r="BP279" s="28" t="e">
        <f>#REF!</f>
        <v>#REF!</v>
      </c>
      <c r="BQ279" s="28" t="e">
        <f>#REF!*2</f>
        <v>#REF!</v>
      </c>
      <c r="BR279" s="28" t="e">
        <f>#REF!</f>
        <v>#REF!</v>
      </c>
      <c r="BS279" s="28" t="e">
        <f>#REF!*2</f>
        <v>#REF!</v>
      </c>
      <c r="BT279" s="28" t="e">
        <f>#REF!</f>
        <v>#REF!</v>
      </c>
      <c r="BU279" s="28" t="e">
        <f>#REF!*2</f>
        <v>#REF!</v>
      </c>
      <c r="BV279" s="28" t="e">
        <f>#REF!</f>
        <v>#REF!</v>
      </c>
      <c r="BW279" s="28" t="e">
        <f>#REF!*2</f>
        <v>#REF!</v>
      </c>
      <c r="BX279" s="28" t="e">
        <f>#REF!</f>
        <v>#REF!</v>
      </c>
      <c r="BY279" s="28" t="e">
        <f>#REF!*2</f>
        <v>#REF!</v>
      </c>
      <c r="BZ279" s="28" t="e">
        <f>#REF!</f>
        <v>#REF!</v>
      </c>
      <c r="CA279" s="28" t="e">
        <f>#REF!*2</f>
        <v>#REF!</v>
      </c>
      <c r="CB279" s="9">
        <f t="shared" si="183"/>
        <v>0</v>
      </c>
      <c r="CC279" s="9">
        <f t="shared" si="184"/>
        <v>0</v>
      </c>
      <c r="CD279" s="9">
        <f t="shared" si="185"/>
        <v>0</v>
      </c>
      <c r="CE279" s="9">
        <f t="shared" si="186"/>
        <v>0</v>
      </c>
      <c r="CF279" s="9">
        <f t="shared" si="187"/>
        <v>0</v>
      </c>
      <c r="CG279" s="33"/>
      <c r="CH279" s="3">
        <f t="shared" si="188"/>
        <v>0</v>
      </c>
      <c r="CI279" s="3">
        <f t="shared" si="189"/>
        <v>0</v>
      </c>
      <c r="CJ279" s="3">
        <f t="shared" si="190"/>
        <v>0</v>
      </c>
      <c r="CK279" s="3">
        <f t="shared" si="191"/>
        <v>0</v>
      </c>
      <c r="CL279" s="3">
        <f t="shared" si="192"/>
        <v>0</v>
      </c>
      <c r="CM279" s="32"/>
      <c r="CN279" s="3">
        <f t="shared" si="193"/>
        <v>0</v>
      </c>
      <c r="CO279" s="3">
        <f t="shared" si="194"/>
        <v>0</v>
      </c>
      <c r="CP279" s="3">
        <f t="shared" si="195"/>
        <v>0</v>
      </c>
      <c r="CQ279" s="3">
        <f t="shared" si="196"/>
        <v>0</v>
      </c>
      <c r="CR279" s="3">
        <f t="shared" si="197"/>
        <v>0</v>
      </c>
      <c r="CS279" s="31"/>
      <c r="CT279" s="3" cm="1">
        <f t="array" ref="CT279">SUMPRODUCT(--(MOD(CH279:CL279,2)=1))</f>
        <v>0</v>
      </c>
      <c r="CU279" s="3">
        <f t="shared" si="198"/>
        <v>5</v>
      </c>
      <c r="CV279" s="30"/>
      <c r="CW279" s="3" cm="1">
        <f t="array" ref="CW279">SUMPRODUCT(--(MOD(CH279:CL279,10)&gt;=1), --(MOD(CH279:CL279,10)&lt;=5))</f>
        <v>0</v>
      </c>
      <c r="CX279" s="3">
        <f t="shared" si="199"/>
        <v>5</v>
      </c>
      <c r="CY279" s="30"/>
      <c r="CZ279" s="3" cm="1">
        <f t="array" ref="CZ279">IFERROR(COUNT(_xlfn._xlws.FILTER(CH279:CL279, ISNUMBER(MATCH(CH279:CL279, {2,3,5,7,11,13,17,19,23,29,31,37,41,43}, 0)))), 0)</f>
        <v>0</v>
      </c>
      <c r="DA279" s="3" cm="1">
        <f t="array" ref="DA279">IFERROR(COUNT(_xlfn._xlws.FILTER(CH279:CL279, ISNUMBER(MATCH(CH279:CL279, {1,4,8,10,14,16,20,22,25,26,28,32,34,35,38,40,44}, 0)))), 0)</f>
        <v>0</v>
      </c>
      <c r="DB279" s="3" cm="1">
        <f t="array" ref="DB279">IFERROR(COUNT(_xlfn._xlws.FILTER(CH279:CL279, ISNUMBER(MATCH(CH279:CL279, {6,9,12,15,18,21,24,27,30,33,36,39,42,45}, 0)))), 0)</f>
        <v>0</v>
      </c>
      <c r="DC279" s="29"/>
      <c r="DD279" s="28" t="e">
        <f>#REF!</f>
        <v>#REF!</v>
      </c>
      <c r="DE279" s="28" t="e">
        <f>#REF!*2</f>
        <v>#REF!</v>
      </c>
      <c r="DF279" s="28" t="e">
        <f>#REF!</f>
        <v>#REF!</v>
      </c>
      <c r="DG279" s="28" t="e">
        <f>#REF!*2</f>
        <v>#REF!</v>
      </c>
      <c r="DH279" s="28" t="e">
        <f>#REF!</f>
        <v>#REF!</v>
      </c>
      <c r="DI279" s="28" t="e">
        <f>#REF!*2</f>
        <v>#REF!</v>
      </c>
      <c r="DJ279" s="28" t="e">
        <f>#REF!</f>
        <v>#REF!</v>
      </c>
      <c r="DK279" s="28" t="e">
        <f>#REF!*2</f>
        <v>#REF!</v>
      </c>
      <c r="DL279" s="28" t="e">
        <f>#REF!</f>
        <v>#REF!</v>
      </c>
      <c r="DM279" s="28" t="e">
        <f>#REF!*2</f>
        <v>#REF!</v>
      </c>
      <c r="DN279" s="27"/>
      <c r="DO279" s="26"/>
      <c r="DP279" s="26"/>
      <c r="DQ279" s="26"/>
      <c r="DR279" s="26"/>
      <c r="DS279" s="26"/>
      <c r="DT279" s="25"/>
    </row>
    <row r="280" spans="2:124" x14ac:dyDescent="0.3"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2"/>
      <c r="I280" s="3">
        <f t="shared" si="160"/>
        <v>0</v>
      </c>
      <c r="J280" s="3">
        <f t="shared" si="161"/>
        <v>0</v>
      </c>
      <c r="K280" s="3">
        <f t="shared" si="162"/>
        <v>0</v>
      </c>
      <c r="L280" s="3">
        <f t="shared" si="163"/>
        <v>0</v>
      </c>
      <c r="M280" s="3">
        <f t="shared" si="164"/>
        <v>0</v>
      </c>
      <c r="N280" s="3">
        <f t="shared" si="165"/>
        <v>0</v>
      </c>
      <c r="O280" s="32"/>
      <c r="P280" s="3" cm="1">
        <f t="array" ref="P280">SUMPRODUCT(--(MOD(B280:G280,2)=1))</f>
        <v>0</v>
      </c>
      <c r="Q280" s="3">
        <f t="shared" si="166"/>
        <v>6</v>
      </c>
      <c r="R280" s="34"/>
      <c r="S280" s="3">
        <f t="shared" si="167"/>
        <v>0</v>
      </c>
      <c r="T280" s="3">
        <f t="shared" si="168"/>
        <v>6</v>
      </c>
      <c r="U280" s="34"/>
      <c r="V280" s="3" cm="1">
        <f t="array" ref="V280">SUMPRODUCT(--(MOD(B280:G280,10)&gt;=1), --(MOD(B280:G280,10)&lt;=5))</f>
        <v>0</v>
      </c>
      <c r="W280" s="3">
        <f t="shared" si="169"/>
        <v>6</v>
      </c>
      <c r="X280" s="34"/>
      <c r="Y280" s="3" cm="1">
        <f t="array" ref="Y280">IFERROR(COUNT(_xlfn._xlws.FILTER(B280:G280, ISNUMBER(MATCH(B280:G280, {2,3,5,7,11,13,17,19,23,29,31,37,41,43}, 0)))), 0)</f>
        <v>0</v>
      </c>
      <c r="Z280" s="3" cm="1">
        <f t="array" ref="Z280">IFERROR(COUNT(_xlfn._xlws.FILTER(B280:G280, ISNUMBER(MATCH(B280:G280, {1,4,8,10,14,16,20,22,25,26,28,32,34,35,38,40,44}, 0)))), 0)</f>
        <v>0</v>
      </c>
      <c r="AA280" s="3" cm="1">
        <f t="array" ref="AA280">IFERROR(COUNT(_xlfn._xlws.FILTER(B280:G280, ISNUMBER(MATCH(B280:G280, {6,9,12,15,18,21,24,27,30,33,36,39,42,45}, 0)))), 0)</f>
        <v>0</v>
      </c>
      <c r="AB280" s="30"/>
      <c r="AC280" s="26" cm="1">
        <f t="array" ref="AC280">_xlfn.IFS(
   OR(B280="",ISBLANK(B280),B280=0),0,
   ISNUMBER(MATCH(B280,{2,3,5,7,11,13,17,19,23,29,31,37,41,43},0)),"소",
   AND(ISNUMBER(B280),MOD(B280,3)=0),"배",
   AND(ISNUMBER(B280),B280&gt;0),"자"
)</f>
        <v>0</v>
      </c>
      <c r="AD280" s="26" cm="1">
        <f t="array" ref="AD280">_xlfn.IFS(
   OR(C280="",ISBLANK(C280),C280=0),0,
   ISNUMBER(MATCH(C280,{2,3,5,7,11,13,17,19,23,29,31,37,41,43},0)),"소",
   AND(ISNUMBER(C280),MOD(C280,3)=0),"배",
   AND(ISNUMBER(C280),C280&gt;0),"자"
)</f>
        <v>0</v>
      </c>
      <c r="AE280" s="26" cm="1">
        <f t="array" ref="AE280">_xlfn.IFS(
   OR(D280="",ISBLANK(D280),D280=0),0,
   ISNUMBER(MATCH(D280,{2,3,5,7,11,13,17,19,23,29,31,37,41,43},0)),"소",
   AND(ISNUMBER(D280),MOD(D280,3)=0),"배",
   AND(ISNUMBER(D280),D280&gt;0),"자"
)</f>
        <v>0</v>
      </c>
      <c r="AF280" s="26" cm="1">
        <f t="array" ref="AF280">_xlfn.IFS(
   OR(E280="",ISBLANK(E280),E280=0),0,
   ISNUMBER(MATCH(E280,{2,3,5,7,11,13,17,19,23,29,31,37,41,43},0)),"소",
   AND(ISNUMBER(E280),MOD(E280,3)=0),"배",
   AND(ISNUMBER(E280),E280&gt;0),"자"
)</f>
        <v>0</v>
      </c>
      <c r="AG280" s="26" cm="1">
        <f t="array" ref="AG280">_xlfn.IFS(
   OR(F280="",ISBLANK(F280),F280=0),0,
   ISNUMBER(MATCH(F280,{2,3,5,7,11,13,17,19,23,29,31,37,41,43},0)),"소",
   AND(ISNUMBER(F280),MOD(F280,3)=0),"배",
   AND(ISNUMBER(F280),F280&gt;0),"자"
)</f>
        <v>0</v>
      </c>
      <c r="AH280" s="26" cm="1">
        <f t="array" ref="AH280">_xlfn.IFS(
   OR(G280="",ISBLANK(G280),G280=0),0,
   ISNUMBER(MATCH(G280,{2,3,5,7,11,13,17,19,23,29,31,37,41,43},0)),"소",
   AND(ISNUMBER(G280),MOD(G280,3)=0),"배",
   AND(ISNUMBER(G280),G280&gt;0),"자"
)</f>
        <v>0</v>
      </c>
      <c r="AI280" s="30"/>
      <c r="AJ280" s="3">
        <f t="shared" si="170"/>
        <v>0</v>
      </c>
      <c r="AK280" s="3">
        <f t="shared" si="171"/>
        <v>0</v>
      </c>
      <c r="AL280" s="3">
        <f t="shared" si="172"/>
        <v>6</v>
      </c>
      <c r="AM280" s="33"/>
      <c r="AN280" s="3">
        <f t="shared" si="173"/>
        <v>0</v>
      </c>
      <c r="AO280" s="3">
        <f t="shared" si="174"/>
        <v>0</v>
      </c>
      <c r="AP280" s="3">
        <f t="shared" si="175"/>
        <v>0</v>
      </c>
      <c r="AQ280" s="3">
        <f t="shared" si="176"/>
        <v>0</v>
      </c>
      <c r="AR280" s="3">
        <f t="shared" si="177"/>
        <v>0</v>
      </c>
      <c r="AS280" s="28" t="e">
        <f>#REF!</f>
        <v>#REF!</v>
      </c>
      <c r="AT280" s="28" t="e">
        <f>#REF!*2</f>
        <v>#REF!</v>
      </c>
      <c r="AU280" s="28" t="e">
        <f>#REF!</f>
        <v>#REF!</v>
      </c>
      <c r="AV280" s="28" t="e">
        <f>#REF!*2</f>
        <v>#REF!</v>
      </c>
      <c r="AW280" s="28" t="e">
        <f>#REF!</f>
        <v>#REF!</v>
      </c>
      <c r="AX280" s="28" t="e">
        <f>#REF!*2</f>
        <v>#REF!</v>
      </c>
      <c r="AY280" s="28" t="e">
        <f>#REF!</f>
        <v>#REF!</v>
      </c>
      <c r="AZ280" s="28" t="e">
        <f>#REF!*2</f>
        <v>#REF!</v>
      </c>
      <c r="BA280" s="28" t="e">
        <f>#REF!</f>
        <v>#REF!</v>
      </c>
      <c r="BB280" s="28" t="e">
        <f>#REF!*2</f>
        <v>#REF!</v>
      </c>
      <c r="BC280" s="28" t="e">
        <f>#REF!</f>
        <v>#REF!</v>
      </c>
      <c r="BD280" s="28" t="e">
        <f>#REF!*2</f>
        <v>#REF!</v>
      </c>
      <c r="BE280" s="9" t="e">
        <f>#REF!-#REF!</f>
        <v>#REF!</v>
      </c>
      <c r="BF280" s="9" t="e">
        <f>#REF!-#REF!</f>
        <v>#REF!</v>
      </c>
      <c r="BG280" s="9" t="e">
        <f>#REF!-#REF!</f>
        <v>#REF!</v>
      </c>
      <c r="BH280" s="9" t="e">
        <f>#REF!-#REF!</f>
        <v>#REF!</v>
      </c>
      <c r="BI280" s="9" t="e">
        <f>#REF!-#REF!</f>
        <v>#REF!</v>
      </c>
      <c r="BJ280" s="33"/>
      <c r="BK280" s="3">
        <f t="shared" si="178"/>
        <v>0</v>
      </c>
      <c r="BL280" s="3">
        <f t="shared" si="179"/>
        <v>0</v>
      </c>
      <c r="BM280" s="3">
        <f t="shared" si="180"/>
        <v>0</v>
      </c>
      <c r="BN280" s="3">
        <f t="shared" si="181"/>
        <v>0</v>
      </c>
      <c r="BO280" s="3">
        <f t="shared" si="182"/>
        <v>0</v>
      </c>
      <c r="BP280" s="28" t="e">
        <f>#REF!</f>
        <v>#REF!</v>
      </c>
      <c r="BQ280" s="28" t="e">
        <f>#REF!*2</f>
        <v>#REF!</v>
      </c>
      <c r="BR280" s="28" t="e">
        <f>#REF!</f>
        <v>#REF!</v>
      </c>
      <c r="BS280" s="28" t="e">
        <f>#REF!*2</f>
        <v>#REF!</v>
      </c>
      <c r="BT280" s="28" t="e">
        <f>#REF!</f>
        <v>#REF!</v>
      </c>
      <c r="BU280" s="28" t="e">
        <f>#REF!*2</f>
        <v>#REF!</v>
      </c>
      <c r="BV280" s="28" t="e">
        <f>#REF!</f>
        <v>#REF!</v>
      </c>
      <c r="BW280" s="28" t="e">
        <f>#REF!*2</f>
        <v>#REF!</v>
      </c>
      <c r="BX280" s="28" t="e">
        <f>#REF!</f>
        <v>#REF!</v>
      </c>
      <c r="BY280" s="28" t="e">
        <f>#REF!*2</f>
        <v>#REF!</v>
      </c>
      <c r="BZ280" s="28" t="e">
        <f>#REF!</f>
        <v>#REF!</v>
      </c>
      <c r="CA280" s="28" t="e">
        <f>#REF!*2</f>
        <v>#REF!</v>
      </c>
      <c r="CB280" s="9">
        <f t="shared" si="183"/>
        <v>0</v>
      </c>
      <c r="CC280" s="9">
        <f t="shared" si="184"/>
        <v>0</v>
      </c>
      <c r="CD280" s="9">
        <f t="shared" si="185"/>
        <v>0</v>
      </c>
      <c r="CE280" s="9">
        <f t="shared" si="186"/>
        <v>0</v>
      </c>
      <c r="CF280" s="9">
        <f t="shared" si="187"/>
        <v>0</v>
      </c>
      <c r="CG280" s="33"/>
      <c r="CH280" s="3">
        <f t="shared" si="188"/>
        <v>0</v>
      </c>
      <c r="CI280" s="3">
        <f t="shared" si="189"/>
        <v>0</v>
      </c>
      <c r="CJ280" s="3">
        <f t="shared" si="190"/>
        <v>0</v>
      </c>
      <c r="CK280" s="3">
        <f t="shared" si="191"/>
        <v>0</v>
      </c>
      <c r="CL280" s="3">
        <f t="shared" si="192"/>
        <v>0</v>
      </c>
      <c r="CM280" s="32"/>
      <c r="CN280" s="3">
        <f t="shared" si="193"/>
        <v>0</v>
      </c>
      <c r="CO280" s="3">
        <f t="shared" si="194"/>
        <v>0</v>
      </c>
      <c r="CP280" s="3">
        <f t="shared" si="195"/>
        <v>0</v>
      </c>
      <c r="CQ280" s="3">
        <f t="shared" si="196"/>
        <v>0</v>
      </c>
      <c r="CR280" s="3">
        <f t="shared" si="197"/>
        <v>0</v>
      </c>
      <c r="CS280" s="31"/>
      <c r="CT280" s="3" cm="1">
        <f t="array" ref="CT280">SUMPRODUCT(--(MOD(CH280:CL280,2)=1))</f>
        <v>0</v>
      </c>
      <c r="CU280" s="3">
        <f t="shared" si="198"/>
        <v>5</v>
      </c>
      <c r="CV280" s="30"/>
      <c r="CW280" s="3" cm="1">
        <f t="array" ref="CW280">SUMPRODUCT(--(MOD(CH280:CL280,10)&gt;=1), --(MOD(CH280:CL280,10)&lt;=5))</f>
        <v>0</v>
      </c>
      <c r="CX280" s="3">
        <f t="shared" si="199"/>
        <v>5</v>
      </c>
      <c r="CY280" s="30"/>
      <c r="CZ280" s="3" cm="1">
        <f t="array" ref="CZ280">IFERROR(COUNT(_xlfn._xlws.FILTER(CH280:CL280, ISNUMBER(MATCH(CH280:CL280, {2,3,5,7,11,13,17,19,23,29,31,37,41,43}, 0)))), 0)</f>
        <v>0</v>
      </c>
      <c r="DA280" s="3" cm="1">
        <f t="array" ref="DA280">IFERROR(COUNT(_xlfn._xlws.FILTER(CH280:CL280, ISNUMBER(MATCH(CH280:CL280, {1,4,8,10,14,16,20,22,25,26,28,32,34,35,38,40,44}, 0)))), 0)</f>
        <v>0</v>
      </c>
      <c r="DB280" s="3" cm="1">
        <f t="array" ref="DB280">IFERROR(COUNT(_xlfn._xlws.FILTER(CH280:CL280, ISNUMBER(MATCH(CH280:CL280, {6,9,12,15,18,21,24,27,30,33,36,39,42,45}, 0)))), 0)</f>
        <v>0</v>
      </c>
      <c r="DC280" s="29"/>
      <c r="DD280" s="28" t="e">
        <f>#REF!</f>
        <v>#REF!</v>
      </c>
      <c r="DE280" s="28" t="e">
        <f>#REF!*2</f>
        <v>#REF!</v>
      </c>
      <c r="DF280" s="28" t="e">
        <f>#REF!</f>
        <v>#REF!</v>
      </c>
      <c r="DG280" s="28" t="e">
        <f>#REF!*2</f>
        <v>#REF!</v>
      </c>
      <c r="DH280" s="28" t="e">
        <f>#REF!</f>
        <v>#REF!</v>
      </c>
      <c r="DI280" s="28" t="e">
        <f>#REF!*2</f>
        <v>#REF!</v>
      </c>
      <c r="DJ280" s="28" t="e">
        <f>#REF!</f>
        <v>#REF!</v>
      </c>
      <c r="DK280" s="28" t="e">
        <f>#REF!*2</f>
        <v>#REF!</v>
      </c>
      <c r="DL280" s="28" t="e">
        <f>#REF!</f>
        <v>#REF!</v>
      </c>
      <c r="DM280" s="28" t="e">
        <f>#REF!*2</f>
        <v>#REF!</v>
      </c>
      <c r="DN280" s="27"/>
      <c r="DO280" s="26"/>
      <c r="DP280" s="26"/>
      <c r="DQ280" s="26"/>
      <c r="DR280" s="26"/>
      <c r="DS280" s="26"/>
      <c r="DT280" s="25"/>
    </row>
    <row r="281" spans="2:124" x14ac:dyDescent="0.3"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2"/>
      <c r="I281" s="3">
        <f t="shared" si="160"/>
        <v>0</v>
      </c>
      <c r="J281" s="3">
        <f t="shared" si="161"/>
        <v>0</v>
      </c>
      <c r="K281" s="3">
        <f t="shared" si="162"/>
        <v>0</v>
      </c>
      <c r="L281" s="3">
        <f t="shared" si="163"/>
        <v>0</v>
      </c>
      <c r="M281" s="3">
        <f t="shared" si="164"/>
        <v>0</v>
      </c>
      <c r="N281" s="3">
        <f t="shared" si="165"/>
        <v>0</v>
      </c>
      <c r="O281" s="32"/>
      <c r="P281" s="3" cm="1">
        <f t="array" ref="P281">SUMPRODUCT(--(MOD(B281:G281,2)=1))</f>
        <v>0</v>
      </c>
      <c r="Q281" s="3">
        <f t="shared" si="166"/>
        <v>6</v>
      </c>
      <c r="R281" s="34"/>
      <c r="S281" s="3">
        <f t="shared" si="167"/>
        <v>0</v>
      </c>
      <c r="T281" s="3">
        <f t="shared" si="168"/>
        <v>6</v>
      </c>
      <c r="U281" s="34"/>
      <c r="V281" s="3" cm="1">
        <f t="array" ref="V281">SUMPRODUCT(--(MOD(B281:G281,10)&gt;=1), --(MOD(B281:G281,10)&lt;=5))</f>
        <v>0</v>
      </c>
      <c r="W281" s="3">
        <f t="shared" si="169"/>
        <v>6</v>
      </c>
      <c r="X281" s="34"/>
      <c r="Y281" s="3" cm="1">
        <f t="array" ref="Y281">IFERROR(COUNT(_xlfn._xlws.FILTER(B281:G281, ISNUMBER(MATCH(B281:G281, {2,3,5,7,11,13,17,19,23,29,31,37,41,43}, 0)))), 0)</f>
        <v>0</v>
      </c>
      <c r="Z281" s="3" cm="1">
        <f t="array" ref="Z281">IFERROR(COUNT(_xlfn._xlws.FILTER(B281:G281, ISNUMBER(MATCH(B281:G281, {1,4,8,10,14,16,20,22,25,26,28,32,34,35,38,40,44}, 0)))), 0)</f>
        <v>0</v>
      </c>
      <c r="AA281" s="3" cm="1">
        <f t="array" ref="AA281">IFERROR(COUNT(_xlfn._xlws.FILTER(B281:G281, ISNUMBER(MATCH(B281:G281, {6,9,12,15,18,21,24,27,30,33,36,39,42,45}, 0)))), 0)</f>
        <v>0</v>
      </c>
      <c r="AB281" s="30"/>
      <c r="AC281" s="26" cm="1">
        <f t="array" ref="AC281">_xlfn.IFS(
   OR(B281="",ISBLANK(B281),B281=0),0,
   ISNUMBER(MATCH(B281,{2,3,5,7,11,13,17,19,23,29,31,37,41,43},0)),"소",
   AND(ISNUMBER(B281),MOD(B281,3)=0),"배",
   AND(ISNUMBER(B281),B281&gt;0),"자"
)</f>
        <v>0</v>
      </c>
      <c r="AD281" s="26" cm="1">
        <f t="array" ref="AD281">_xlfn.IFS(
   OR(C281="",ISBLANK(C281),C281=0),0,
   ISNUMBER(MATCH(C281,{2,3,5,7,11,13,17,19,23,29,31,37,41,43},0)),"소",
   AND(ISNUMBER(C281),MOD(C281,3)=0),"배",
   AND(ISNUMBER(C281),C281&gt;0),"자"
)</f>
        <v>0</v>
      </c>
      <c r="AE281" s="26" cm="1">
        <f t="array" ref="AE281">_xlfn.IFS(
   OR(D281="",ISBLANK(D281),D281=0),0,
   ISNUMBER(MATCH(D281,{2,3,5,7,11,13,17,19,23,29,31,37,41,43},0)),"소",
   AND(ISNUMBER(D281),MOD(D281,3)=0),"배",
   AND(ISNUMBER(D281),D281&gt;0),"자"
)</f>
        <v>0</v>
      </c>
      <c r="AF281" s="26" cm="1">
        <f t="array" ref="AF281">_xlfn.IFS(
   OR(E281="",ISBLANK(E281),E281=0),0,
   ISNUMBER(MATCH(E281,{2,3,5,7,11,13,17,19,23,29,31,37,41,43},0)),"소",
   AND(ISNUMBER(E281),MOD(E281,3)=0),"배",
   AND(ISNUMBER(E281),E281&gt;0),"자"
)</f>
        <v>0</v>
      </c>
      <c r="AG281" s="26" cm="1">
        <f t="array" ref="AG281">_xlfn.IFS(
   OR(F281="",ISBLANK(F281),F281=0),0,
   ISNUMBER(MATCH(F281,{2,3,5,7,11,13,17,19,23,29,31,37,41,43},0)),"소",
   AND(ISNUMBER(F281),MOD(F281,3)=0),"배",
   AND(ISNUMBER(F281),F281&gt;0),"자"
)</f>
        <v>0</v>
      </c>
      <c r="AH281" s="26" cm="1">
        <f t="array" ref="AH281">_xlfn.IFS(
   OR(G281="",ISBLANK(G281),G281=0),0,
   ISNUMBER(MATCH(G281,{2,3,5,7,11,13,17,19,23,29,31,37,41,43},0)),"소",
   AND(ISNUMBER(G281),MOD(G281,3)=0),"배",
   AND(ISNUMBER(G281),G281&gt;0),"자"
)</f>
        <v>0</v>
      </c>
      <c r="AI281" s="30"/>
      <c r="AJ281" s="3">
        <f t="shared" si="170"/>
        <v>0</v>
      </c>
      <c r="AK281" s="3">
        <f t="shared" si="171"/>
        <v>0</v>
      </c>
      <c r="AL281" s="3">
        <f t="shared" si="172"/>
        <v>6</v>
      </c>
      <c r="AM281" s="33"/>
      <c r="AN281" s="3">
        <f t="shared" si="173"/>
        <v>0</v>
      </c>
      <c r="AO281" s="3">
        <f t="shared" si="174"/>
        <v>0</v>
      </c>
      <c r="AP281" s="3">
        <f t="shared" si="175"/>
        <v>0</v>
      </c>
      <c r="AQ281" s="3">
        <f t="shared" si="176"/>
        <v>0</v>
      </c>
      <c r="AR281" s="3">
        <f t="shared" si="177"/>
        <v>0</v>
      </c>
      <c r="AS281" s="28" t="e">
        <f>#REF!</f>
        <v>#REF!</v>
      </c>
      <c r="AT281" s="28" t="e">
        <f>#REF!*2</f>
        <v>#REF!</v>
      </c>
      <c r="AU281" s="28" t="e">
        <f>#REF!</f>
        <v>#REF!</v>
      </c>
      <c r="AV281" s="28" t="e">
        <f>#REF!*2</f>
        <v>#REF!</v>
      </c>
      <c r="AW281" s="28" t="e">
        <f>#REF!</f>
        <v>#REF!</v>
      </c>
      <c r="AX281" s="28" t="e">
        <f>#REF!*2</f>
        <v>#REF!</v>
      </c>
      <c r="AY281" s="28" t="e">
        <f>#REF!</f>
        <v>#REF!</v>
      </c>
      <c r="AZ281" s="28" t="e">
        <f>#REF!*2</f>
        <v>#REF!</v>
      </c>
      <c r="BA281" s="28" t="e">
        <f>#REF!</f>
        <v>#REF!</v>
      </c>
      <c r="BB281" s="28" t="e">
        <f>#REF!*2</f>
        <v>#REF!</v>
      </c>
      <c r="BC281" s="28" t="e">
        <f>#REF!</f>
        <v>#REF!</v>
      </c>
      <c r="BD281" s="28" t="e">
        <f>#REF!*2</f>
        <v>#REF!</v>
      </c>
      <c r="BE281" s="9" t="e">
        <f>#REF!-#REF!</f>
        <v>#REF!</v>
      </c>
      <c r="BF281" s="9" t="e">
        <f>#REF!-#REF!</f>
        <v>#REF!</v>
      </c>
      <c r="BG281" s="9" t="e">
        <f>#REF!-#REF!</f>
        <v>#REF!</v>
      </c>
      <c r="BH281" s="9" t="e">
        <f>#REF!-#REF!</f>
        <v>#REF!</v>
      </c>
      <c r="BI281" s="9" t="e">
        <f>#REF!-#REF!</f>
        <v>#REF!</v>
      </c>
      <c r="BJ281" s="33"/>
      <c r="BK281" s="3">
        <f t="shared" si="178"/>
        <v>0</v>
      </c>
      <c r="BL281" s="3">
        <f t="shared" si="179"/>
        <v>0</v>
      </c>
      <c r="BM281" s="3">
        <f t="shared" si="180"/>
        <v>0</v>
      </c>
      <c r="BN281" s="3">
        <f t="shared" si="181"/>
        <v>0</v>
      </c>
      <c r="BO281" s="3">
        <f t="shared" si="182"/>
        <v>0</v>
      </c>
      <c r="BP281" s="28" t="e">
        <f>#REF!</f>
        <v>#REF!</v>
      </c>
      <c r="BQ281" s="28" t="e">
        <f>#REF!*2</f>
        <v>#REF!</v>
      </c>
      <c r="BR281" s="28" t="e">
        <f>#REF!</f>
        <v>#REF!</v>
      </c>
      <c r="BS281" s="28" t="e">
        <f>#REF!*2</f>
        <v>#REF!</v>
      </c>
      <c r="BT281" s="28" t="e">
        <f>#REF!</f>
        <v>#REF!</v>
      </c>
      <c r="BU281" s="28" t="e">
        <f>#REF!*2</f>
        <v>#REF!</v>
      </c>
      <c r="BV281" s="28" t="e">
        <f>#REF!</f>
        <v>#REF!</v>
      </c>
      <c r="BW281" s="28" t="e">
        <f>#REF!*2</f>
        <v>#REF!</v>
      </c>
      <c r="BX281" s="28" t="e">
        <f>#REF!</f>
        <v>#REF!</v>
      </c>
      <c r="BY281" s="28" t="e">
        <f>#REF!*2</f>
        <v>#REF!</v>
      </c>
      <c r="BZ281" s="28" t="e">
        <f>#REF!</f>
        <v>#REF!</v>
      </c>
      <c r="CA281" s="28" t="e">
        <f>#REF!*2</f>
        <v>#REF!</v>
      </c>
      <c r="CB281" s="9">
        <f t="shared" si="183"/>
        <v>0</v>
      </c>
      <c r="CC281" s="9">
        <f t="shared" si="184"/>
        <v>0</v>
      </c>
      <c r="CD281" s="9">
        <f t="shared" si="185"/>
        <v>0</v>
      </c>
      <c r="CE281" s="9">
        <f t="shared" si="186"/>
        <v>0</v>
      </c>
      <c r="CF281" s="9">
        <f t="shared" si="187"/>
        <v>0</v>
      </c>
      <c r="CG281" s="33"/>
      <c r="CH281" s="3">
        <f t="shared" si="188"/>
        <v>0</v>
      </c>
      <c r="CI281" s="3">
        <f t="shared" si="189"/>
        <v>0</v>
      </c>
      <c r="CJ281" s="3">
        <f t="shared" si="190"/>
        <v>0</v>
      </c>
      <c r="CK281" s="3">
        <f t="shared" si="191"/>
        <v>0</v>
      </c>
      <c r="CL281" s="3">
        <f t="shared" si="192"/>
        <v>0</v>
      </c>
      <c r="CM281" s="32"/>
      <c r="CN281" s="3">
        <f t="shared" si="193"/>
        <v>0</v>
      </c>
      <c r="CO281" s="3">
        <f t="shared" si="194"/>
        <v>0</v>
      </c>
      <c r="CP281" s="3">
        <f t="shared" si="195"/>
        <v>0</v>
      </c>
      <c r="CQ281" s="3">
        <f t="shared" si="196"/>
        <v>0</v>
      </c>
      <c r="CR281" s="3">
        <f t="shared" si="197"/>
        <v>0</v>
      </c>
      <c r="CS281" s="31"/>
      <c r="CT281" s="3" cm="1">
        <f t="array" ref="CT281">SUMPRODUCT(--(MOD(CH281:CL281,2)=1))</f>
        <v>0</v>
      </c>
      <c r="CU281" s="3">
        <f t="shared" si="198"/>
        <v>5</v>
      </c>
      <c r="CV281" s="30"/>
      <c r="CW281" s="3" cm="1">
        <f t="array" ref="CW281">SUMPRODUCT(--(MOD(CH281:CL281,10)&gt;=1), --(MOD(CH281:CL281,10)&lt;=5))</f>
        <v>0</v>
      </c>
      <c r="CX281" s="3">
        <f t="shared" si="199"/>
        <v>5</v>
      </c>
      <c r="CY281" s="30"/>
      <c r="CZ281" s="3" cm="1">
        <f t="array" ref="CZ281">IFERROR(COUNT(_xlfn._xlws.FILTER(CH281:CL281, ISNUMBER(MATCH(CH281:CL281, {2,3,5,7,11,13,17,19,23,29,31,37,41,43}, 0)))), 0)</f>
        <v>0</v>
      </c>
      <c r="DA281" s="3" cm="1">
        <f t="array" ref="DA281">IFERROR(COUNT(_xlfn._xlws.FILTER(CH281:CL281, ISNUMBER(MATCH(CH281:CL281, {1,4,8,10,14,16,20,22,25,26,28,32,34,35,38,40,44}, 0)))), 0)</f>
        <v>0</v>
      </c>
      <c r="DB281" s="3" cm="1">
        <f t="array" ref="DB281">IFERROR(COUNT(_xlfn._xlws.FILTER(CH281:CL281, ISNUMBER(MATCH(CH281:CL281, {6,9,12,15,18,21,24,27,30,33,36,39,42,45}, 0)))), 0)</f>
        <v>0</v>
      </c>
      <c r="DC281" s="29"/>
      <c r="DD281" s="28" t="e">
        <f>#REF!</f>
        <v>#REF!</v>
      </c>
      <c r="DE281" s="28" t="e">
        <f>#REF!*2</f>
        <v>#REF!</v>
      </c>
      <c r="DF281" s="28" t="e">
        <f>#REF!</f>
        <v>#REF!</v>
      </c>
      <c r="DG281" s="28" t="e">
        <f>#REF!*2</f>
        <v>#REF!</v>
      </c>
      <c r="DH281" s="28" t="e">
        <f>#REF!</f>
        <v>#REF!</v>
      </c>
      <c r="DI281" s="28" t="e">
        <f>#REF!*2</f>
        <v>#REF!</v>
      </c>
      <c r="DJ281" s="28" t="e">
        <f>#REF!</f>
        <v>#REF!</v>
      </c>
      <c r="DK281" s="28" t="e">
        <f>#REF!*2</f>
        <v>#REF!</v>
      </c>
      <c r="DL281" s="28" t="e">
        <f>#REF!</f>
        <v>#REF!</v>
      </c>
      <c r="DM281" s="28" t="e">
        <f>#REF!*2</f>
        <v>#REF!</v>
      </c>
      <c r="DN281" s="27"/>
      <c r="DO281" s="26"/>
      <c r="DP281" s="26"/>
      <c r="DQ281" s="26"/>
      <c r="DR281" s="26"/>
      <c r="DS281" s="26"/>
      <c r="DT281" s="25"/>
    </row>
    <row r="282" spans="2:124" x14ac:dyDescent="0.3"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2"/>
      <c r="I282" s="3">
        <f t="shared" si="160"/>
        <v>0</v>
      </c>
      <c r="J282" s="3">
        <f t="shared" si="161"/>
        <v>0</v>
      </c>
      <c r="K282" s="3">
        <f t="shared" si="162"/>
        <v>0</v>
      </c>
      <c r="L282" s="3">
        <f t="shared" si="163"/>
        <v>0</v>
      </c>
      <c r="M282" s="3">
        <f t="shared" si="164"/>
        <v>0</v>
      </c>
      <c r="N282" s="3">
        <f t="shared" si="165"/>
        <v>0</v>
      </c>
      <c r="O282" s="32"/>
      <c r="P282" s="3" cm="1">
        <f t="array" ref="P282">SUMPRODUCT(--(MOD(B282:G282,2)=1))</f>
        <v>0</v>
      </c>
      <c r="Q282" s="3">
        <f t="shared" si="166"/>
        <v>6</v>
      </c>
      <c r="R282" s="34"/>
      <c r="S282" s="3">
        <f t="shared" si="167"/>
        <v>0</v>
      </c>
      <c r="T282" s="3">
        <f t="shared" si="168"/>
        <v>6</v>
      </c>
      <c r="U282" s="34"/>
      <c r="V282" s="3" cm="1">
        <f t="array" ref="V282">SUMPRODUCT(--(MOD(B282:G282,10)&gt;=1), --(MOD(B282:G282,10)&lt;=5))</f>
        <v>0</v>
      </c>
      <c r="W282" s="3">
        <f t="shared" si="169"/>
        <v>6</v>
      </c>
      <c r="X282" s="34"/>
      <c r="Y282" s="3" cm="1">
        <f t="array" ref="Y282">IFERROR(COUNT(_xlfn._xlws.FILTER(B282:G282, ISNUMBER(MATCH(B282:G282, {2,3,5,7,11,13,17,19,23,29,31,37,41,43}, 0)))), 0)</f>
        <v>0</v>
      </c>
      <c r="Z282" s="3" cm="1">
        <f t="array" ref="Z282">IFERROR(COUNT(_xlfn._xlws.FILTER(B282:G282, ISNUMBER(MATCH(B282:G282, {1,4,8,10,14,16,20,22,25,26,28,32,34,35,38,40,44}, 0)))), 0)</f>
        <v>0</v>
      </c>
      <c r="AA282" s="3" cm="1">
        <f t="array" ref="AA282">IFERROR(COUNT(_xlfn._xlws.FILTER(B282:G282, ISNUMBER(MATCH(B282:G282, {6,9,12,15,18,21,24,27,30,33,36,39,42,45}, 0)))), 0)</f>
        <v>0</v>
      </c>
      <c r="AB282" s="30"/>
      <c r="AC282" s="26" cm="1">
        <f t="array" ref="AC282">_xlfn.IFS(
   OR(B282="",ISBLANK(B282),B282=0),0,
   ISNUMBER(MATCH(B282,{2,3,5,7,11,13,17,19,23,29,31,37,41,43},0)),"소",
   AND(ISNUMBER(B282),MOD(B282,3)=0),"배",
   AND(ISNUMBER(B282),B282&gt;0),"자"
)</f>
        <v>0</v>
      </c>
      <c r="AD282" s="26" cm="1">
        <f t="array" ref="AD282">_xlfn.IFS(
   OR(C282="",ISBLANK(C282),C282=0),0,
   ISNUMBER(MATCH(C282,{2,3,5,7,11,13,17,19,23,29,31,37,41,43},0)),"소",
   AND(ISNUMBER(C282),MOD(C282,3)=0),"배",
   AND(ISNUMBER(C282),C282&gt;0),"자"
)</f>
        <v>0</v>
      </c>
      <c r="AE282" s="26" cm="1">
        <f t="array" ref="AE282">_xlfn.IFS(
   OR(D282="",ISBLANK(D282),D282=0),0,
   ISNUMBER(MATCH(D282,{2,3,5,7,11,13,17,19,23,29,31,37,41,43},0)),"소",
   AND(ISNUMBER(D282),MOD(D282,3)=0),"배",
   AND(ISNUMBER(D282),D282&gt;0),"자"
)</f>
        <v>0</v>
      </c>
      <c r="AF282" s="26" cm="1">
        <f t="array" ref="AF282">_xlfn.IFS(
   OR(E282="",ISBLANK(E282),E282=0),0,
   ISNUMBER(MATCH(E282,{2,3,5,7,11,13,17,19,23,29,31,37,41,43},0)),"소",
   AND(ISNUMBER(E282),MOD(E282,3)=0),"배",
   AND(ISNUMBER(E282),E282&gt;0),"자"
)</f>
        <v>0</v>
      </c>
      <c r="AG282" s="26" cm="1">
        <f t="array" ref="AG282">_xlfn.IFS(
   OR(F282="",ISBLANK(F282),F282=0),0,
   ISNUMBER(MATCH(F282,{2,3,5,7,11,13,17,19,23,29,31,37,41,43},0)),"소",
   AND(ISNUMBER(F282),MOD(F282,3)=0),"배",
   AND(ISNUMBER(F282),F282&gt;0),"자"
)</f>
        <v>0</v>
      </c>
      <c r="AH282" s="26" cm="1">
        <f t="array" ref="AH282">_xlfn.IFS(
   OR(G282="",ISBLANK(G282),G282=0),0,
   ISNUMBER(MATCH(G282,{2,3,5,7,11,13,17,19,23,29,31,37,41,43},0)),"소",
   AND(ISNUMBER(G282),MOD(G282,3)=0),"배",
   AND(ISNUMBER(G282),G282&gt;0),"자"
)</f>
        <v>0</v>
      </c>
      <c r="AI282" s="30"/>
      <c r="AJ282" s="3">
        <f t="shared" si="170"/>
        <v>0</v>
      </c>
      <c r="AK282" s="3">
        <f t="shared" si="171"/>
        <v>0</v>
      </c>
      <c r="AL282" s="3">
        <f t="shared" si="172"/>
        <v>6</v>
      </c>
      <c r="AM282" s="33"/>
      <c r="AN282" s="3">
        <f t="shared" si="173"/>
        <v>0</v>
      </c>
      <c r="AO282" s="3">
        <f t="shared" si="174"/>
        <v>0</v>
      </c>
      <c r="AP282" s="3">
        <f t="shared" si="175"/>
        <v>0</v>
      </c>
      <c r="AQ282" s="3">
        <f t="shared" si="176"/>
        <v>0</v>
      </c>
      <c r="AR282" s="3">
        <f t="shared" si="177"/>
        <v>0</v>
      </c>
      <c r="AS282" s="28" t="e">
        <f>#REF!</f>
        <v>#REF!</v>
      </c>
      <c r="AT282" s="28" t="e">
        <f>#REF!*2</f>
        <v>#REF!</v>
      </c>
      <c r="AU282" s="28" t="e">
        <f>#REF!</f>
        <v>#REF!</v>
      </c>
      <c r="AV282" s="28" t="e">
        <f>#REF!*2</f>
        <v>#REF!</v>
      </c>
      <c r="AW282" s="28" t="e">
        <f>#REF!</f>
        <v>#REF!</v>
      </c>
      <c r="AX282" s="28" t="e">
        <f>#REF!*2</f>
        <v>#REF!</v>
      </c>
      <c r="AY282" s="28" t="e">
        <f>#REF!</f>
        <v>#REF!</v>
      </c>
      <c r="AZ282" s="28" t="e">
        <f>#REF!*2</f>
        <v>#REF!</v>
      </c>
      <c r="BA282" s="28" t="e">
        <f>#REF!</f>
        <v>#REF!</v>
      </c>
      <c r="BB282" s="28" t="e">
        <f>#REF!*2</f>
        <v>#REF!</v>
      </c>
      <c r="BC282" s="28" t="e">
        <f>#REF!</f>
        <v>#REF!</v>
      </c>
      <c r="BD282" s="28" t="e">
        <f>#REF!*2</f>
        <v>#REF!</v>
      </c>
      <c r="BE282" s="9" t="e">
        <f>#REF!-#REF!</f>
        <v>#REF!</v>
      </c>
      <c r="BF282" s="9" t="e">
        <f>#REF!-#REF!</f>
        <v>#REF!</v>
      </c>
      <c r="BG282" s="9" t="e">
        <f>#REF!-#REF!</f>
        <v>#REF!</v>
      </c>
      <c r="BH282" s="9" t="e">
        <f>#REF!-#REF!</f>
        <v>#REF!</v>
      </c>
      <c r="BI282" s="9" t="e">
        <f>#REF!-#REF!</f>
        <v>#REF!</v>
      </c>
      <c r="BJ282" s="33"/>
      <c r="BK282" s="3">
        <f t="shared" si="178"/>
        <v>0</v>
      </c>
      <c r="BL282" s="3">
        <f t="shared" si="179"/>
        <v>0</v>
      </c>
      <c r="BM282" s="3">
        <f t="shared" si="180"/>
        <v>0</v>
      </c>
      <c r="BN282" s="3">
        <f t="shared" si="181"/>
        <v>0</v>
      </c>
      <c r="BO282" s="3">
        <f t="shared" si="182"/>
        <v>0</v>
      </c>
      <c r="BP282" s="28" t="e">
        <f>#REF!</f>
        <v>#REF!</v>
      </c>
      <c r="BQ282" s="28" t="e">
        <f>#REF!*2</f>
        <v>#REF!</v>
      </c>
      <c r="BR282" s="28" t="e">
        <f>#REF!</f>
        <v>#REF!</v>
      </c>
      <c r="BS282" s="28" t="e">
        <f>#REF!*2</f>
        <v>#REF!</v>
      </c>
      <c r="BT282" s="28" t="e">
        <f>#REF!</f>
        <v>#REF!</v>
      </c>
      <c r="BU282" s="28" t="e">
        <f>#REF!*2</f>
        <v>#REF!</v>
      </c>
      <c r="BV282" s="28" t="e">
        <f>#REF!</f>
        <v>#REF!</v>
      </c>
      <c r="BW282" s="28" t="e">
        <f>#REF!*2</f>
        <v>#REF!</v>
      </c>
      <c r="BX282" s="28" t="e">
        <f>#REF!</f>
        <v>#REF!</v>
      </c>
      <c r="BY282" s="28" t="e">
        <f>#REF!*2</f>
        <v>#REF!</v>
      </c>
      <c r="BZ282" s="28" t="e">
        <f>#REF!</f>
        <v>#REF!</v>
      </c>
      <c r="CA282" s="28" t="e">
        <f>#REF!*2</f>
        <v>#REF!</v>
      </c>
      <c r="CB282" s="9">
        <f t="shared" si="183"/>
        <v>0</v>
      </c>
      <c r="CC282" s="9">
        <f t="shared" si="184"/>
        <v>0</v>
      </c>
      <c r="CD282" s="9">
        <f t="shared" si="185"/>
        <v>0</v>
      </c>
      <c r="CE282" s="9">
        <f t="shared" si="186"/>
        <v>0</v>
      </c>
      <c r="CF282" s="9">
        <f t="shared" si="187"/>
        <v>0</v>
      </c>
      <c r="CG282" s="33"/>
      <c r="CH282" s="3">
        <f t="shared" si="188"/>
        <v>0</v>
      </c>
      <c r="CI282" s="3">
        <f t="shared" si="189"/>
        <v>0</v>
      </c>
      <c r="CJ282" s="3">
        <f t="shared" si="190"/>
        <v>0</v>
      </c>
      <c r="CK282" s="3">
        <f t="shared" si="191"/>
        <v>0</v>
      </c>
      <c r="CL282" s="3">
        <f t="shared" si="192"/>
        <v>0</v>
      </c>
      <c r="CM282" s="32"/>
      <c r="CN282" s="3">
        <f t="shared" si="193"/>
        <v>0</v>
      </c>
      <c r="CO282" s="3">
        <f t="shared" si="194"/>
        <v>0</v>
      </c>
      <c r="CP282" s="3">
        <f t="shared" si="195"/>
        <v>0</v>
      </c>
      <c r="CQ282" s="3">
        <f t="shared" si="196"/>
        <v>0</v>
      </c>
      <c r="CR282" s="3">
        <f t="shared" si="197"/>
        <v>0</v>
      </c>
      <c r="CS282" s="31"/>
      <c r="CT282" s="3" cm="1">
        <f t="array" ref="CT282">SUMPRODUCT(--(MOD(CH282:CL282,2)=1))</f>
        <v>0</v>
      </c>
      <c r="CU282" s="3">
        <f t="shared" si="198"/>
        <v>5</v>
      </c>
      <c r="CV282" s="30"/>
      <c r="CW282" s="3" cm="1">
        <f t="array" ref="CW282">SUMPRODUCT(--(MOD(CH282:CL282,10)&gt;=1), --(MOD(CH282:CL282,10)&lt;=5))</f>
        <v>0</v>
      </c>
      <c r="CX282" s="3">
        <f t="shared" si="199"/>
        <v>5</v>
      </c>
      <c r="CY282" s="30"/>
      <c r="CZ282" s="3" cm="1">
        <f t="array" ref="CZ282">IFERROR(COUNT(_xlfn._xlws.FILTER(CH282:CL282, ISNUMBER(MATCH(CH282:CL282, {2,3,5,7,11,13,17,19,23,29,31,37,41,43}, 0)))), 0)</f>
        <v>0</v>
      </c>
      <c r="DA282" s="3" cm="1">
        <f t="array" ref="DA282">IFERROR(COUNT(_xlfn._xlws.FILTER(CH282:CL282, ISNUMBER(MATCH(CH282:CL282, {1,4,8,10,14,16,20,22,25,26,28,32,34,35,38,40,44}, 0)))), 0)</f>
        <v>0</v>
      </c>
      <c r="DB282" s="3" cm="1">
        <f t="array" ref="DB282">IFERROR(COUNT(_xlfn._xlws.FILTER(CH282:CL282, ISNUMBER(MATCH(CH282:CL282, {6,9,12,15,18,21,24,27,30,33,36,39,42,45}, 0)))), 0)</f>
        <v>0</v>
      </c>
      <c r="DC282" s="29"/>
      <c r="DD282" s="28" t="e">
        <f>#REF!</f>
        <v>#REF!</v>
      </c>
      <c r="DE282" s="28" t="e">
        <f>#REF!*2</f>
        <v>#REF!</v>
      </c>
      <c r="DF282" s="28" t="e">
        <f>#REF!</f>
        <v>#REF!</v>
      </c>
      <c r="DG282" s="28" t="e">
        <f>#REF!*2</f>
        <v>#REF!</v>
      </c>
      <c r="DH282" s="28" t="e">
        <f>#REF!</f>
        <v>#REF!</v>
      </c>
      <c r="DI282" s="28" t="e">
        <f>#REF!*2</f>
        <v>#REF!</v>
      </c>
      <c r="DJ282" s="28" t="e">
        <f>#REF!</f>
        <v>#REF!</v>
      </c>
      <c r="DK282" s="28" t="e">
        <f>#REF!*2</f>
        <v>#REF!</v>
      </c>
      <c r="DL282" s="28" t="e">
        <f>#REF!</f>
        <v>#REF!</v>
      </c>
      <c r="DM282" s="28" t="e">
        <f>#REF!*2</f>
        <v>#REF!</v>
      </c>
      <c r="DN282" s="27"/>
      <c r="DO282" s="26"/>
      <c r="DP282" s="26"/>
      <c r="DQ282" s="26"/>
      <c r="DR282" s="26"/>
      <c r="DS282" s="26"/>
      <c r="DT282" s="25"/>
    </row>
    <row r="283" spans="2:124" x14ac:dyDescent="0.3"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2"/>
      <c r="I283" s="3">
        <f t="shared" si="160"/>
        <v>0</v>
      </c>
      <c r="J283" s="3">
        <f t="shared" si="161"/>
        <v>0</v>
      </c>
      <c r="K283" s="3">
        <f t="shared" si="162"/>
        <v>0</v>
      </c>
      <c r="L283" s="3">
        <f t="shared" si="163"/>
        <v>0</v>
      </c>
      <c r="M283" s="3">
        <f t="shared" si="164"/>
        <v>0</v>
      </c>
      <c r="N283" s="3">
        <f t="shared" si="165"/>
        <v>0</v>
      </c>
      <c r="O283" s="32"/>
      <c r="P283" s="3" cm="1">
        <f t="array" ref="P283">SUMPRODUCT(--(MOD(B283:G283,2)=1))</f>
        <v>0</v>
      </c>
      <c r="Q283" s="3">
        <f t="shared" si="166"/>
        <v>6</v>
      </c>
      <c r="R283" s="34"/>
      <c r="S283" s="3">
        <f t="shared" si="167"/>
        <v>0</v>
      </c>
      <c r="T283" s="3">
        <f t="shared" si="168"/>
        <v>6</v>
      </c>
      <c r="U283" s="34"/>
      <c r="V283" s="3" cm="1">
        <f t="array" ref="V283">SUMPRODUCT(--(MOD(B283:G283,10)&gt;=1), --(MOD(B283:G283,10)&lt;=5))</f>
        <v>0</v>
      </c>
      <c r="W283" s="3">
        <f t="shared" si="169"/>
        <v>6</v>
      </c>
      <c r="X283" s="34"/>
      <c r="Y283" s="3" cm="1">
        <f t="array" ref="Y283">IFERROR(COUNT(_xlfn._xlws.FILTER(B283:G283, ISNUMBER(MATCH(B283:G283, {2,3,5,7,11,13,17,19,23,29,31,37,41,43}, 0)))), 0)</f>
        <v>0</v>
      </c>
      <c r="Z283" s="3" cm="1">
        <f t="array" ref="Z283">IFERROR(COUNT(_xlfn._xlws.FILTER(B283:G283, ISNUMBER(MATCH(B283:G283, {1,4,8,10,14,16,20,22,25,26,28,32,34,35,38,40,44}, 0)))), 0)</f>
        <v>0</v>
      </c>
      <c r="AA283" s="3" cm="1">
        <f t="array" ref="AA283">IFERROR(COUNT(_xlfn._xlws.FILTER(B283:G283, ISNUMBER(MATCH(B283:G283, {6,9,12,15,18,21,24,27,30,33,36,39,42,45}, 0)))), 0)</f>
        <v>0</v>
      </c>
      <c r="AB283" s="30"/>
      <c r="AC283" s="26" cm="1">
        <f t="array" ref="AC283">_xlfn.IFS(
   OR(B283="",ISBLANK(B283),B283=0),0,
   ISNUMBER(MATCH(B283,{2,3,5,7,11,13,17,19,23,29,31,37,41,43},0)),"소",
   AND(ISNUMBER(B283),MOD(B283,3)=0),"배",
   AND(ISNUMBER(B283),B283&gt;0),"자"
)</f>
        <v>0</v>
      </c>
      <c r="AD283" s="26" cm="1">
        <f t="array" ref="AD283">_xlfn.IFS(
   OR(C283="",ISBLANK(C283),C283=0),0,
   ISNUMBER(MATCH(C283,{2,3,5,7,11,13,17,19,23,29,31,37,41,43},0)),"소",
   AND(ISNUMBER(C283),MOD(C283,3)=0),"배",
   AND(ISNUMBER(C283),C283&gt;0),"자"
)</f>
        <v>0</v>
      </c>
      <c r="AE283" s="26" cm="1">
        <f t="array" ref="AE283">_xlfn.IFS(
   OR(D283="",ISBLANK(D283),D283=0),0,
   ISNUMBER(MATCH(D283,{2,3,5,7,11,13,17,19,23,29,31,37,41,43},0)),"소",
   AND(ISNUMBER(D283),MOD(D283,3)=0),"배",
   AND(ISNUMBER(D283),D283&gt;0),"자"
)</f>
        <v>0</v>
      </c>
      <c r="AF283" s="26" cm="1">
        <f t="array" ref="AF283">_xlfn.IFS(
   OR(E283="",ISBLANK(E283),E283=0),0,
   ISNUMBER(MATCH(E283,{2,3,5,7,11,13,17,19,23,29,31,37,41,43},0)),"소",
   AND(ISNUMBER(E283),MOD(E283,3)=0),"배",
   AND(ISNUMBER(E283),E283&gt;0),"자"
)</f>
        <v>0</v>
      </c>
      <c r="AG283" s="26" cm="1">
        <f t="array" ref="AG283">_xlfn.IFS(
   OR(F283="",ISBLANK(F283),F283=0),0,
   ISNUMBER(MATCH(F283,{2,3,5,7,11,13,17,19,23,29,31,37,41,43},0)),"소",
   AND(ISNUMBER(F283),MOD(F283,3)=0),"배",
   AND(ISNUMBER(F283),F283&gt;0),"자"
)</f>
        <v>0</v>
      </c>
      <c r="AH283" s="26" cm="1">
        <f t="array" ref="AH283">_xlfn.IFS(
   OR(G283="",ISBLANK(G283),G283=0),0,
   ISNUMBER(MATCH(G283,{2,3,5,7,11,13,17,19,23,29,31,37,41,43},0)),"소",
   AND(ISNUMBER(G283),MOD(G283,3)=0),"배",
   AND(ISNUMBER(G283),G283&gt;0),"자"
)</f>
        <v>0</v>
      </c>
      <c r="AI283" s="30"/>
      <c r="AJ283" s="3">
        <f t="shared" si="170"/>
        <v>0</v>
      </c>
      <c r="AK283" s="3">
        <f t="shared" si="171"/>
        <v>0</v>
      </c>
      <c r="AL283" s="3">
        <f t="shared" si="172"/>
        <v>6</v>
      </c>
      <c r="AM283" s="33"/>
      <c r="AN283" s="3">
        <f t="shared" si="173"/>
        <v>0</v>
      </c>
      <c r="AO283" s="3">
        <f t="shared" si="174"/>
        <v>0</v>
      </c>
      <c r="AP283" s="3">
        <f t="shared" si="175"/>
        <v>0</v>
      </c>
      <c r="AQ283" s="3">
        <f t="shared" si="176"/>
        <v>0</v>
      </c>
      <c r="AR283" s="3">
        <f t="shared" si="177"/>
        <v>0</v>
      </c>
      <c r="AS283" s="28" t="e">
        <f>#REF!</f>
        <v>#REF!</v>
      </c>
      <c r="AT283" s="28" t="e">
        <f>#REF!*2</f>
        <v>#REF!</v>
      </c>
      <c r="AU283" s="28" t="e">
        <f>#REF!</f>
        <v>#REF!</v>
      </c>
      <c r="AV283" s="28" t="e">
        <f>#REF!*2</f>
        <v>#REF!</v>
      </c>
      <c r="AW283" s="28" t="e">
        <f>#REF!</f>
        <v>#REF!</v>
      </c>
      <c r="AX283" s="28" t="e">
        <f>#REF!*2</f>
        <v>#REF!</v>
      </c>
      <c r="AY283" s="28" t="e">
        <f>#REF!</f>
        <v>#REF!</v>
      </c>
      <c r="AZ283" s="28" t="e">
        <f>#REF!*2</f>
        <v>#REF!</v>
      </c>
      <c r="BA283" s="28" t="e">
        <f>#REF!</f>
        <v>#REF!</v>
      </c>
      <c r="BB283" s="28" t="e">
        <f>#REF!*2</f>
        <v>#REF!</v>
      </c>
      <c r="BC283" s="28" t="e">
        <f>#REF!</f>
        <v>#REF!</v>
      </c>
      <c r="BD283" s="28" t="e">
        <f>#REF!*2</f>
        <v>#REF!</v>
      </c>
      <c r="BE283" s="9" t="e">
        <f>#REF!-#REF!</f>
        <v>#REF!</v>
      </c>
      <c r="BF283" s="9" t="e">
        <f>#REF!-#REF!</f>
        <v>#REF!</v>
      </c>
      <c r="BG283" s="9" t="e">
        <f>#REF!-#REF!</f>
        <v>#REF!</v>
      </c>
      <c r="BH283" s="9" t="e">
        <f>#REF!-#REF!</f>
        <v>#REF!</v>
      </c>
      <c r="BI283" s="9" t="e">
        <f>#REF!-#REF!</f>
        <v>#REF!</v>
      </c>
      <c r="BJ283" s="33"/>
      <c r="BK283" s="3">
        <f t="shared" si="178"/>
        <v>0</v>
      </c>
      <c r="BL283" s="3">
        <f t="shared" si="179"/>
        <v>0</v>
      </c>
      <c r="BM283" s="3">
        <f t="shared" si="180"/>
        <v>0</v>
      </c>
      <c r="BN283" s="3">
        <f t="shared" si="181"/>
        <v>0</v>
      </c>
      <c r="BO283" s="3">
        <f t="shared" si="182"/>
        <v>0</v>
      </c>
      <c r="BP283" s="28" t="e">
        <f>#REF!</f>
        <v>#REF!</v>
      </c>
      <c r="BQ283" s="28" t="e">
        <f>#REF!*2</f>
        <v>#REF!</v>
      </c>
      <c r="BR283" s="28" t="e">
        <f>#REF!</f>
        <v>#REF!</v>
      </c>
      <c r="BS283" s="28" t="e">
        <f>#REF!*2</f>
        <v>#REF!</v>
      </c>
      <c r="BT283" s="28" t="e">
        <f>#REF!</f>
        <v>#REF!</v>
      </c>
      <c r="BU283" s="28" t="e">
        <f>#REF!*2</f>
        <v>#REF!</v>
      </c>
      <c r="BV283" s="28" t="e">
        <f>#REF!</f>
        <v>#REF!</v>
      </c>
      <c r="BW283" s="28" t="e">
        <f>#REF!*2</f>
        <v>#REF!</v>
      </c>
      <c r="BX283" s="28" t="e">
        <f>#REF!</f>
        <v>#REF!</v>
      </c>
      <c r="BY283" s="28" t="e">
        <f>#REF!*2</f>
        <v>#REF!</v>
      </c>
      <c r="BZ283" s="28" t="e">
        <f>#REF!</f>
        <v>#REF!</v>
      </c>
      <c r="CA283" s="28" t="e">
        <f>#REF!*2</f>
        <v>#REF!</v>
      </c>
      <c r="CB283" s="9">
        <f t="shared" si="183"/>
        <v>0</v>
      </c>
      <c r="CC283" s="9">
        <f t="shared" si="184"/>
        <v>0</v>
      </c>
      <c r="CD283" s="9">
        <f t="shared" si="185"/>
        <v>0</v>
      </c>
      <c r="CE283" s="9">
        <f t="shared" si="186"/>
        <v>0</v>
      </c>
      <c r="CF283" s="9">
        <f t="shared" si="187"/>
        <v>0</v>
      </c>
      <c r="CG283" s="33"/>
      <c r="CH283" s="3">
        <f t="shared" si="188"/>
        <v>0</v>
      </c>
      <c r="CI283" s="3">
        <f t="shared" si="189"/>
        <v>0</v>
      </c>
      <c r="CJ283" s="3">
        <f t="shared" si="190"/>
        <v>0</v>
      </c>
      <c r="CK283" s="3">
        <f t="shared" si="191"/>
        <v>0</v>
      </c>
      <c r="CL283" s="3">
        <f t="shared" si="192"/>
        <v>0</v>
      </c>
      <c r="CM283" s="32"/>
      <c r="CN283" s="3">
        <f t="shared" si="193"/>
        <v>0</v>
      </c>
      <c r="CO283" s="3">
        <f t="shared" si="194"/>
        <v>0</v>
      </c>
      <c r="CP283" s="3">
        <f t="shared" si="195"/>
        <v>0</v>
      </c>
      <c r="CQ283" s="3">
        <f t="shared" si="196"/>
        <v>0</v>
      </c>
      <c r="CR283" s="3">
        <f t="shared" si="197"/>
        <v>0</v>
      </c>
      <c r="CS283" s="31"/>
      <c r="CT283" s="3" cm="1">
        <f t="array" ref="CT283">SUMPRODUCT(--(MOD(CH283:CL283,2)=1))</f>
        <v>0</v>
      </c>
      <c r="CU283" s="3">
        <f t="shared" si="198"/>
        <v>5</v>
      </c>
      <c r="CV283" s="30"/>
      <c r="CW283" s="3" cm="1">
        <f t="array" ref="CW283">SUMPRODUCT(--(MOD(CH283:CL283,10)&gt;=1), --(MOD(CH283:CL283,10)&lt;=5))</f>
        <v>0</v>
      </c>
      <c r="CX283" s="3">
        <f t="shared" si="199"/>
        <v>5</v>
      </c>
      <c r="CY283" s="30"/>
      <c r="CZ283" s="3" cm="1">
        <f t="array" ref="CZ283">IFERROR(COUNT(_xlfn._xlws.FILTER(CH283:CL283, ISNUMBER(MATCH(CH283:CL283, {2,3,5,7,11,13,17,19,23,29,31,37,41,43}, 0)))), 0)</f>
        <v>0</v>
      </c>
      <c r="DA283" s="3" cm="1">
        <f t="array" ref="DA283">IFERROR(COUNT(_xlfn._xlws.FILTER(CH283:CL283, ISNUMBER(MATCH(CH283:CL283, {1,4,8,10,14,16,20,22,25,26,28,32,34,35,38,40,44}, 0)))), 0)</f>
        <v>0</v>
      </c>
      <c r="DB283" s="3" cm="1">
        <f t="array" ref="DB283">IFERROR(COUNT(_xlfn._xlws.FILTER(CH283:CL283, ISNUMBER(MATCH(CH283:CL283, {6,9,12,15,18,21,24,27,30,33,36,39,42,45}, 0)))), 0)</f>
        <v>0</v>
      </c>
      <c r="DC283" s="29"/>
      <c r="DD283" s="28" t="e">
        <f>#REF!</f>
        <v>#REF!</v>
      </c>
      <c r="DE283" s="28" t="e">
        <f>#REF!*2</f>
        <v>#REF!</v>
      </c>
      <c r="DF283" s="28" t="e">
        <f>#REF!</f>
        <v>#REF!</v>
      </c>
      <c r="DG283" s="28" t="e">
        <f>#REF!*2</f>
        <v>#REF!</v>
      </c>
      <c r="DH283" s="28" t="e">
        <f>#REF!</f>
        <v>#REF!</v>
      </c>
      <c r="DI283" s="28" t="e">
        <f>#REF!*2</f>
        <v>#REF!</v>
      </c>
      <c r="DJ283" s="28" t="e">
        <f>#REF!</f>
        <v>#REF!</v>
      </c>
      <c r="DK283" s="28" t="e">
        <f>#REF!*2</f>
        <v>#REF!</v>
      </c>
      <c r="DL283" s="28" t="e">
        <f>#REF!</f>
        <v>#REF!</v>
      </c>
      <c r="DM283" s="28" t="e">
        <f>#REF!*2</f>
        <v>#REF!</v>
      </c>
      <c r="DN283" s="27"/>
      <c r="DO283" s="26"/>
      <c r="DP283" s="26"/>
      <c r="DQ283" s="26"/>
      <c r="DR283" s="26"/>
      <c r="DS283" s="26"/>
      <c r="DT283" s="25"/>
    </row>
    <row r="284" spans="2:124" x14ac:dyDescent="0.3"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2"/>
      <c r="I284" s="3">
        <f t="shared" si="160"/>
        <v>0</v>
      </c>
      <c r="J284" s="3">
        <f t="shared" si="161"/>
        <v>0</v>
      </c>
      <c r="K284" s="3">
        <f t="shared" si="162"/>
        <v>0</v>
      </c>
      <c r="L284" s="3">
        <f t="shared" si="163"/>
        <v>0</v>
      </c>
      <c r="M284" s="3">
        <f t="shared" si="164"/>
        <v>0</v>
      </c>
      <c r="N284" s="3">
        <f t="shared" si="165"/>
        <v>0</v>
      </c>
      <c r="O284" s="32"/>
      <c r="P284" s="3" cm="1">
        <f t="array" ref="P284">SUMPRODUCT(--(MOD(B284:G284,2)=1))</f>
        <v>0</v>
      </c>
      <c r="Q284" s="3">
        <f t="shared" si="166"/>
        <v>6</v>
      </c>
      <c r="R284" s="34"/>
      <c r="S284" s="3">
        <f t="shared" si="167"/>
        <v>0</v>
      </c>
      <c r="T284" s="3">
        <f t="shared" si="168"/>
        <v>6</v>
      </c>
      <c r="U284" s="34"/>
      <c r="V284" s="3" cm="1">
        <f t="array" ref="V284">SUMPRODUCT(--(MOD(B284:G284,10)&gt;=1), --(MOD(B284:G284,10)&lt;=5))</f>
        <v>0</v>
      </c>
      <c r="W284" s="3">
        <f t="shared" si="169"/>
        <v>6</v>
      </c>
      <c r="X284" s="34"/>
      <c r="Y284" s="3" cm="1">
        <f t="array" ref="Y284">IFERROR(COUNT(_xlfn._xlws.FILTER(B284:G284, ISNUMBER(MATCH(B284:G284, {2,3,5,7,11,13,17,19,23,29,31,37,41,43}, 0)))), 0)</f>
        <v>0</v>
      </c>
      <c r="Z284" s="3" cm="1">
        <f t="array" ref="Z284">IFERROR(COUNT(_xlfn._xlws.FILTER(B284:G284, ISNUMBER(MATCH(B284:G284, {1,4,8,10,14,16,20,22,25,26,28,32,34,35,38,40,44}, 0)))), 0)</f>
        <v>0</v>
      </c>
      <c r="AA284" s="3" cm="1">
        <f t="array" ref="AA284">IFERROR(COUNT(_xlfn._xlws.FILTER(B284:G284, ISNUMBER(MATCH(B284:G284, {6,9,12,15,18,21,24,27,30,33,36,39,42,45}, 0)))), 0)</f>
        <v>0</v>
      </c>
      <c r="AB284" s="30"/>
      <c r="AC284" s="26" cm="1">
        <f t="array" ref="AC284">_xlfn.IFS(
   OR(B284="",ISBLANK(B284),B284=0),0,
   ISNUMBER(MATCH(B284,{2,3,5,7,11,13,17,19,23,29,31,37,41,43},0)),"소",
   AND(ISNUMBER(B284),MOD(B284,3)=0),"배",
   AND(ISNUMBER(B284),B284&gt;0),"자"
)</f>
        <v>0</v>
      </c>
      <c r="AD284" s="26" cm="1">
        <f t="array" ref="AD284">_xlfn.IFS(
   OR(C284="",ISBLANK(C284),C284=0),0,
   ISNUMBER(MATCH(C284,{2,3,5,7,11,13,17,19,23,29,31,37,41,43},0)),"소",
   AND(ISNUMBER(C284),MOD(C284,3)=0),"배",
   AND(ISNUMBER(C284),C284&gt;0),"자"
)</f>
        <v>0</v>
      </c>
      <c r="AE284" s="26" cm="1">
        <f t="array" ref="AE284">_xlfn.IFS(
   OR(D284="",ISBLANK(D284),D284=0),0,
   ISNUMBER(MATCH(D284,{2,3,5,7,11,13,17,19,23,29,31,37,41,43},0)),"소",
   AND(ISNUMBER(D284),MOD(D284,3)=0),"배",
   AND(ISNUMBER(D284),D284&gt;0),"자"
)</f>
        <v>0</v>
      </c>
      <c r="AF284" s="26" cm="1">
        <f t="array" ref="AF284">_xlfn.IFS(
   OR(E284="",ISBLANK(E284),E284=0),0,
   ISNUMBER(MATCH(E284,{2,3,5,7,11,13,17,19,23,29,31,37,41,43},0)),"소",
   AND(ISNUMBER(E284),MOD(E284,3)=0),"배",
   AND(ISNUMBER(E284),E284&gt;0),"자"
)</f>
        <v>0</v>
      </c>
      <c r="AG284" s="26" cm="1">
        <f t="array" ref="AG284">_xlfn.IFS(
   OR(F284="",ISBLANK(F284),F284=0),0,
   ISNUMBER(MATCH(F284,{2,3,5,7,11,13,17,19,23,29,31,37,41,43},0)),"소",
   AND(ISNUMBER(F284),MOD(F284,3)=0),"배",
   AND(ISNUMBER(F284),F284&gt;0),"자"
)</f>
        <v>0</v>
      </c>
      <c r="AH284" s="26" cm="1">
        <f t="array" ref="AH284">_xlfn.IFS(
   OR(G284="",ISBLANK(G284),G284=0),0,
   ISNUMBER(MATCH(G284,{2,3,5,7,11,13,17,19,23,29,31,37,41,43},0)),"소",
   AND(ISNUMBER(G284),MOD(G284,3)=0),"배",
   AND(ISNUMBER(G284),G284&gt;0),"자"
)</f>
        <v>0</v>
      </c>
      <c r="AI284" s="30"/>
      <c r="AJ284" s="3">
        <f t="shared" si="170"/>
        <v>0</v>
      </c>
      <c r="AK284" s="3">
        <f t="shared" si="171"/>
        <v>0</v>
      </c>
      <c r="AL284" s="3">
        <f t="shared" si="172"/>
        <v>6</v>
      </c>
      <c r="AM284" s="33"/>
      <c r="AN284" s="3">
        <f t="shared" si="173"/>
        <v>0</v>
      </c>
      <c r="AO284" s="3">
        <f t="shared" si="174"/>
        <v>0</v>
      </c>
      <c r="AP284" s="3">
        <f t="shared" si="175"/>
        <v>0</v>
      </c>
      <c r="AQ284" s="3">
        <f t="shared" si="176"/>
        <v>0</v>
      </c>
      <c r="AR284" s="3">
        <f t="shared" si="177"/>
        <v>0</v>
      </c>
      <c r="AS284" s="28" t="e">
        <f>#REF!</f>
        <v>#REF!</v>
      </c>
      <c r="AT284" s="28" t="e">
        <f>#REF!*2</f>
        <v>#REF!</v>
      </c>
      <c r="AU284" s="28" t="e">
        <f>#REF!</f>
        <v>#REF!</v>
      </c>
      <c r="AV284" s="28" t="e">
        <f>#REF!*2</f>
        <v>#REF!</v>
      </c>
      <c r="AW284" s="28" t="e">
        <f>#REF!</f>
        <v>#REF!</v>
      </c>
      <c r="AX284" s="28" t="e">
        <f>#REF!*2</f>
        <v>#REF!</v>
      </c>
      <c r="AY284" s="28" t="e">
        <f>#REF!</f>
        <v>#REF!</v>
      </c>
      <c r="AZ284" s="28" t="e">
        <f>#REF!*2</f>
        <v>#REF!</v>
      </c>
      <c r="BA284" s="28" t="e">
        <f>#REF!</f>
        <v>#REF!</v>
      </c>
      <c r="BB284" s="28" t="e">
        <f>#REF!*2</f>
        <v>#REF!</v>
      </c>
      <c r="BC284" s="28" t="e">
        <f>#REF!</f>
        <v>#REF!</v>
      </c>
      <c r="BD284" s="28" t="e">
        <f>#REF!*2</f>
        <v>#REF!</v>
      </c>
      <c r="BE284" s="9" t="e">
        <f>#REF!-#REF!</f>
        <v>#REF!</v>
      </c>
      <c r="BF284" s="9" t="e">
        <f>#REF!-#REF!</f>
        <v>#REF!</v>
      </c>
      <c r="BG284" s="9" t="e">
        <f>#REF!-#REF!</f>
        <v>#REF!</v>
      </c>
      <c r="BH284" s="9" t="e">
        <f>#REF!-#REF!</f>
        <v>#REF!</v>
      </c>
      <c r="BI284" s="9" t="e">
        <f>#REF!-#REF!</f>
        <v>#REF!</v>
      </c>
      <c r="BJ284" s="33"/>
      <c r="BK284" s="3">
        <f t="shared" si="178"/>
        <v>0</v>
      </c>
      <c r="BL284" s="3">
        <f t="shared" si="179"/>
        <v>0</v>
      </c>
      <c r="BM284" s="3">
        <f t="shared" si="180"/>
        <v>0</v>
      </c>
      <c r="BN284" s="3">
        <f t="shared" si="181"/>
        <v>0</v>
      </c>
      <c r="BO284" s="3">
        <f t="shared" si="182"/>
        <v>0</v>
      </c>
      <c r="BP284" s="28" t="e">
        <f>#REF!</f>
        <v>#REF!</v>
      </c>
      <c r="BQ284" s="28" t="e">
        <f>#REF!*2</f>
        <v>#REF!</v>
      </c>
      <c r="BR284" s="28" t="e">
        <f>#REF!</f>
        <v>#REF!</v>
      </c>
      <c r="BS284" s="28" t="e">
        <f>#REF!*2</f>
        <v>#REF!</v>
      </c>
      <c r="BT284" s="28" t="e">
        <f>#REF!</f>
        <v>#REF!</v>
      </c>
      <c r="BU284" s="28" t="e">
        <f>#REF!*2</f>
        <v>#REF!</v>
      </c>
      <c r="BV284" s="28" t="e">
        <f>#REF!</f>
        <v>#REF!</v>
      </c>
      <c r="BW284" s="28" t="e">
        <f>#REF!*2</f>
        <v>#REF!</v>
      </c>
      <c r="BX284" s="28" t="e">
        <f>#REF!</f>
        <v>#REF!</v>
      </c>
      <c r="BY284" s="28" t="e">
        <f>#REF!*2</f>
        <v>#REF!</v>
      </c>
      <c r="BZ284" s="28" t="e">
        <f>#REF!</f>
        <v>#REF!</v>
      </c>
      <c r="CA284" s="28" t="e">
        <f>#REF!*2</f>
        <v>#REF!</v>
      </c>
      <c r="CB284" s="9">
        <f t="shared" si="183"/>
        <v>0</v>
      </c>
      <c r="CC284" s="9">
        <f t="shared" si="184"/>
        <v>0</v>
      </c>
      <c r="CD284" s="9">
        <f t="shared" si="185"/>
        <v>0</v>
      </c>
      <c r="CE284" s="9">
        <f t="shared" si="186"/>
        <v>0</v>
      </c>
      <c r="CF284" s="9">
        <f t="shared" si="187"/>
        <v>0</v>
      </c>
      <c r="CG284" s="33"/>
      <c r="CH284" s="3">
        <f t="shared" si="188"/>
        <v>0</v>
      </c>
      <c r="CI284" s="3">
        <f t="shared" si="189"/>
        <v>0</v>
      </c>
      <c r="CJ284" s="3">
        <f t="shared" si="190"/>
        <v>0</v>
      </c>
      <c r="CK284" s="3">
        <f t="shared" si="191"/>
        <v>0</v>
      </c>
      <c r="CL284" s="3">
        <f t="shared" si="192"/>
        <v>0</v>
      </c>
      <c r="CM284" s="32"/>
      <c r="CN284" s="3">
        <f t="shared" si="193"/>
        <v>0</v>
      </c>
      <c r="CO284" s="3">
        <f t="shared" si="194"/>
        <v>0</v>
      </c>
      <c r="CP284" s="3">
        <f t="shared" si="195"/>
        <v>0</v>
      </c>
      <c r="CQ284" s="3">
        <f t="shared" si="196"/>
        <v>0</v>
      </c>
      <c r="CR284" s="3">
        <f t="shared" si="197"/>
        <v>0</v>
      </c>
      <c r="CS284" s="31"/>
      <c r="CT284" s="3" cm="1">
        <f t="array" ref="CT284">SUMPRODUCT(--(MOD(CH284:CL284,2)=1))</f>
        <v>0</v>
      </c>
      <c r="CU284" s="3">
        <f t="shared" si="198"/>
        <v>5</v>
      </c>
      <c r="CV284" s="30"/>
      <c r="CW284" s="3" cm="1">
        <f t="array" ref="CW284">SUMPRODUCT(--(MOD(CH284:CL284,10)&gt;=1), --(MOD(CH284:CL284,10)&lt;=5))</f>
        <v>0</v>
      </c>
      <c r="CX284" s="3">
        <f t="shared" si="199"/>
        <v>5</v>
      </c>
      <c r="CY284" s="30"/>
      <c r="CZ284" s="3" cm="1">
        <f t="array" ref="CZ284">IFERROR(COUNT(_xlfn._xlws.FILTER(CH284:CL284, ISNUMBER(MATCH(CH284:CL284, {2,3,5,7,11,13,17,19,23,29,31,37,41,43}, 0)))), 0)</f>
        <v>0</v>
      </c>
      <c r="DA284" s="3" cm="1">
        <f t="array" ref="DA284">IFERROR(COUNT(_xlfn._xlws.FILTER(CH284:CL284, ISNUMBER(MATCH(CH284:CL284, {1,4,8,10,14,16,20,22,25,26,28,32,34,35,38,40,44}, 0)))), 0)</f>
        <v>0</v>
      </c>
      <c r="DB284" s="3" cm="1">
        <f t="array" ref="DB284">IFERROR(COUNT(_xlfn._xlws.FILTER(CH284:CL284, ISNUMBER(MATCH(CH284:CL284, {6,9,12,15,18,21,24,27,30,33,36,39,42,45}, 0)))), 0)</f>
        <v>0</v>
      </c>
      <c r="DC284" s="29"/>
      <c r="DD284" s="28" t="e">
        <f>#REF!</f>
        <v>#REF!</v>
      </c>
      <c r="DE284" s="28" t="e">
        <f>#REF!*2</f>
        <v>#REF!</v>
      </c>
      <c r="DF284" s="28" t="e">
        <f>#REF!</f>
        <v>#REF!</v>
      </c>
      <c r="DG284" s="28" t="e">
        <f>#REF!*2</f>
        <v>#REF!</v>
      </c>
      <c r="DH284" s="28" t="e">
        <f>#REF!</f>
        <v>#REF!</v>
      </c>
      <c r="DI284" s="28" t="e">
        <f>#REF!*2</f>
        <v>#REF!</v>
      </c>
      <c r="DJ284" s="28" t="e">
        <f>#REF!</f>
        <v>#REF!</v>
      </c>
      <c r="DK284" s="28" t="e">
        <f>#REF!*2</f>
        <v>#REF!</v>
      </c>
      <c r="DL284" s="28" t="e">
        <f>#REF!</f>
        <v>#REF!</v>
      </c>
      <c r="DM284" s="28" t="e">
        <f>#REF!*2</f>
        <v>#REF!</v>
      </c>
      <c r="DN284" s="27"/>
      <c r="DO284" s="26"/>
      <c r="DP284" s="26"/>
      <c r="DQ284" s="26"/>
      <c r="DR284" s="26"/>
      <c r="DS284" s="26"/>
      <c r="DT284" s="25"/>
    </row>
    <row r="285" spans="2:124" x14ac:dyDescent="0.3"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2"/>
      <c r="I285" s="3">
        <f t="shared" si="160"/>
        <v>0</v>
      </c>
      <c r="J285" s="3">
        <f t="shared" si="161"/>
        <v>0</v>
      </c>
      <c r="K285" s="3">
        <f t="shared" si="162"/>
        <v>0</v>
      </c>
      <c r="L285" s="3">
        <f t="shared" si="163"/>
        <v>0</v>
      </c>
      <c r="M285" s="3">
        <f t="shared" si="164"/>
        <v>0</v>
      </c>
      <c r="N285" s="3">
        <f t="shared" si="165"/>
        <v>0</v>
      </c>
      <c r="O285" s="32"/>
      <c r="P285" s="3" cm="1">
        <f t="array" ref="P285">SUMPRODUCT(--(MOD(B285:G285,2)=1))</f>
        <v>0</v>
      </c>
      <c r="Q285" s="3">
        <f t="shared" si="166"/>
        <v>6</v>
      </c>
      <c r="R285" s="34"/>
      <c r="S285" s="3">
        <f t="shared" si="167"/>
        <v>0</v>
      </c>
      <c r="T285" s="3">
        <f t="shared" si="168"/>
        <v>6</v>
      </c>
      <c r="U285" s="34"/>
      <c r="V285" s="3" cm="1">
        <f t="array" ref="V285">SUMPRODUCT(--(MOD(B285:G285,10)&gt;=1), --(MOD(B285:G285,10)&lt;=5))</f>
        <v>0</v>
      </c>
      <c r="W285" s="3">
        <f t="shared" si="169"/>
        <v>6</v>
      </c>
      <c r="X285" s="34"/>
      <c r="Y285" s="3" cm="1">
        <f t="array" ref="Y285">IFERROR(COUNT(_xlfn._xlws.FILTER(B285:G285, ISNUMBER(MATCH(B285:G285, {2,3,5,7,11,13,17,19,23,29,31,37,41,43}, 0)))), 0)</f>
        <v>0</v>
      </c>
      <c r="Z285" s="3" cm="1">
        <f t="array" ref="Z285">IFERROR(COUNT(_xlfn._xlws.FILTER(B285:G285, ISNUMBER(MATCH(B285:G285, {1,4,8,10,14,16,20,22,25,26,28,32,34,35,38,40,44}, 0)))), 0)</f>
        <v>0</v>
      </c>
      <c r="AA285" s="3" cm="1">
        <f t="array" ref="AA285">IFERROR(COUNT(_xlfn._xlws.FILTER(B285:G285, ISNUMBER(MATCH(B285:G285, {6,9,12,15,18,21,24,27,30,33,36,39,42,45}, 0)))), 0)</f>
        <v>0</v>
      </c>
      <c r="AB285" s="30"/>
      <c r="AC285" s="26" cm="1">
        <f t="array" ref="AC285">_xlfn.IFS(
   OR(B285="",ISBLANK(B285),B285=0),0,
   ISNUMBER(MATCH(B285,{2,3,5,7,11,13,17,19,23,29,31,37,41,43},0)),"소",
   AND(ISNUMBER(B285),MOD(B285,3)=0),"배",
   AND(ISNUMBER(B285),B285&gt;0),"자"
)</f>
        <v>0</v>
      </c>
      <c r="AD285" s="26" cm="1">
        <f t="array" ref="AD285">_xlfn.IFS(
   OR(C285="",ISBLANK(C285),C285=0),0,
   ISNUMBER(MATCH(C285,{2,3,5,7,11,13,17,19,23,29,31,37,41,43},0)),"소",
   AND(ISNUMBER(C285),MOD(C285,3)=0),"배",
   AND(ISNUMBER(C285),C285&gt;0),"자"
)</f>
        <v>0</v>
      </c>
      <c r="AE285" s="26" cm="1">
        <f t="array" ref="AE285">_xlfn.IFS(
   OR(D285="",ISBLANK(D285),D285=0),0,
   ISNUMBER(MATCH(D285,{2,3,5,7,11,13,17,19,23,29,31,37,41,43},0)),"소",
   AND(ISNUMBER(D285),MOD(D285,3)=0),"배",
   AND(ISNUMBER(D285),D285&gt;0),"자"
)</f>
        <v>0</v>
      </c>
      <c r="AF285" s="26" cm="1">
        <f t="array" ref="AF285">_xlfn.IFS(
   OR(E285="",ISBLANK(E285),E285=0),0,
   ISNUMBER(MATCH(E285,{2,3,5,7,11,13,17,19,23,29,31,37,41,43},0)),"소",
   AND(ISNUMBER(E285),MOD(E285,3)=0),"배",
   AND(ISNUMBER(E285),E285&gt;0),"자"
)</f>
        <v>0</v>
      </c>
      <c r="AG285" s="26" cm="1">
        <f t="array" ref="AG285">_xlfn.IFS(
   OR(F285="",ISBLANK(F285),F285=0),0,
   ISNUMBER(MATCH(F285,{2,3,5,7,11,13,17,19,23,29,31,37,41,43},0)),"소",
   AND(ISNUMBER(F285),MOD(F285,3)=0),"배",
   AND(ISNUMBER(F285),F285&gt;0),"자"
)</f>
        <v>0</v>
      </c>
      <c r="AH285" s="26" cm="1">
        <f t="array" ref="AH285">_xlfn.IFS(
   OR(G285="",ISBLANK(G285),G285=0),0,
   ISNUMBER(MATCH(G285,{2,3,5,7,11,13,17,19,23,29,31,37,41,43},0)),"소",
   AND(ISNUMBER(G285),MOD(G285,3)=0),"배",
   AND(ISNUMBER(G285),G285&gt;0),"자"
)</f>
        <v>0</v>
      </c>
      <c r="AI285" s="30"/>
      <c r="AJ285" s="3">
        <f t="shared" si="170"/>
        <v>0</v>
      </c>
      <c r="AK285" s="3">
        <f t="shared" si="171"/>
        <v>0</v>
      </c>
      <c r="AL285" s="3">
        <f t="shared" si="172"/>
        <v>6</v>
      </c>
      <c r="AM285" s="33"/>
      <c r="AN285" s="3">
        <f t="shared" si="173"/>
        <v>0</v>
      </c>
      <c r="AO285" s="3">
        <f t="shared" si="174"/>
        <v>0</v>
      </c>
      <c r="AP285" s="3">
        <f t="shared" si="175"/>
        <v>0</v>
      </c>
      <c r="AQ285" s="3">
        <f t="shared" si="176"/>
        <v>0</v>
      </c>
      <c r="AR285" s="3">
        <f t="shared" si="177"/>
        <v>0</v>
      </c>
      <c r="AS285" s="28" t="e">
        <f>#REF!</f>
        <v>#REF!</v>
      </c>
      <c r="AT285" s="28" t="e">
        <f>#REF!*2</f>
        <v>#REF!</v>
      </c>
      <c r="AU285" s="28" t="e">
        <f>#REF!</f>
        <v>#REF!</v>
      </c>
      <c r="AV285" s="28" t="e">
        <f>#REF!*2</f>
        <v>#REF!</v>
      </c>
      <c r="AW285" s="28" t="e">
        <f>#REF!</f>
        <v>#REF!</v>
      </c>
      <c r="AX285" s="28" t="e">
        <f>#REF!*2</f>
        <v>#REF!</v>
      </c>
      <c r="AY285" s="28" t="e">
        <f>#REF!</f>
        <v>#REF!</v>
      </c>
      <c r="AZ285" s="28" t="e">
        <f>#REF!*2</f>
        <v>#REF!</v>
      </c>
      <c r="BA285" s="28" t="e">
        <f>#REF!</f>
        <v>#REF!</v>
      </c>
      <c r="BB285" s="28" t="e">
        <f>#REF!*2</f>
        <v>#REF!</v>
      </c>
      <c r="BC285" s="28" t="e">
        <f>#REF!</f>
        <v>#REF!</v>
      </c>
      <c r="BD285" s="28" t="e">
        <f>#REF!*2</f>
        <v>#REF!</v>
      </c>
      <c r="BE285" s="9" t="e">
        <f>#REF!-#REF!</f>
        <v>#REF!</v>
      </c>
      <c r="BF285" s="9" t="e">
        <f>#REF!-#REF!</f>
        <v>#REF!</v>
      </c>
      <c r="BG285" s="9" t="e">
        <f>#REF!-#REF!</f>
        <v>#REF!</v>
      </c>
      <c r="BH285" s="9" t="e">
        <f>#REF!-#REF!</f>
        <v>#REF!</v>
      </c>
      <c r="BI285" s="9" t="e">
        <f>#REF!-#REF!</f>
        <v>#REF!</v>
      </c>
      <c r="BJ285" s="33"/>
      <c r="BK285" s="3">
        <f t="shared" si="178"/>
        <v>0</v>
      </c>
      <c r="BL285" s="3">
        <f t="shared" si="179"/>
        <v>0</v>
      </c>
      <c r="BM285" s="3">
        <f t="shared" si="180"/>
        <v>0</v>
      </c>
      <c r="BN285" s="3">
        <f t="shared" si="181"/>
        <v>0</v>
      </c>
      <c r="BO285" s="3">
        <f t="shared" si="182"/>
        <v>0</v>
      </c>
      <c r="BP285" s="28" t="e">
        <f>#REF!</f>
        <v>#REF!</v>
      </c>
      <c r="BQ285" s="28" t="e">
        <f>#REF!*2</f>
        <v>#REF!</v>
      </c>
      <c r="BR285" s="28" t="e">
        <f>#REF!</f>
        <v>#REF!</v>
      </c>
      <c r="BS285" s="28" t="e">
        <f>#REF!*2</f>
        <v>#REF!</v>
      </c>
      <c r="BT285" s="28" t="e">
        <f>#REF!</f>
        <v>#REF!</v>
      </c>
      <c r="BU285" s="28" t="e">
        <f>#REF!*2</f>
        <v>#REF!</v>
      </c>
      <c r="BV285" s="28" t="e">
        <f>#REF!</f>
        <v>#REF!</v>
      </c>
      <c r="BW285" s="28" t="e">
        <f>#REF!*2</f>
        <v>#REF!</v>
      </c>
      <c r="BX285" s="28" t="e">
        <f>#REF!</f>
        <v>#REF!</v>
      </c>
      <c r="BY285" s="28" t="e">
        <f>#REF!*2</f>
        <v>#REF!</v>
      </c>
      <c r="BZ285" s="28" t="e">
        <f>#REF!</f>
        <v>#REF!</v>
      </c>
      <c r="CA285" s="28" t="e">
        <f>#REF!*2</f>
        <v>#REF!</v>
      </c>
      <c r="CB285" s="9">
        <f t="shared" si="183"/>
        <v>0</v>
      </c>
      <c r="CC285" s="9">
        <f t="shared" si="184"/>
        <v>0</v>
      </c>
      <c r="CD285" s="9">
        <f t="shared" si="185"/>
        <v>0</v>
      </c>
      <c r="CE285" s="9">
        <f t="shared" si="186"/>
        <v>0</v>
      </c>
      <c r="CF285" s="9">
        <f t="shared" si="187"/>
        <v>0</v>
      </c>
      <c r="CG285" s="33"/>
      <c r="CH285" s="3">
        <f t="shared" si="188"/>
        <v>0</v>
      </c>
      <c r="CI285" s="3">
        <f t="shared" si="189"/>
        <v>0</v>
      </c>
      <c r="CJ285" s="3">
        <f t="shared" si="190"/>
        <v>0</v>
      </c>
      <c r="CK285" s="3">
        <f t="shared" si="191"/>
        <v>0</v>
      </c>
      <c r="CL285" s="3">
        <f t="shared" si="192"/>
        <v>0</v>
      </c>
      <c r="CM285" s="32"/>
      <c r="CN285" s="3">
        <f t="shared" si="193"/>
        <v>0</v>
      </c>
      <c r="CO285" s="3">
        <f t="shared" si="194"/>
        <v>0</v>
      </c>
      <c r="CP285" s="3">
        <f t="shared" si="195"/>
        <v>0</v>
      </c>
      <c r="CQ285" s="3">
        <f t="shared" si="196"/>
        <v>0</v>
      </c>
      <c r="CR285" s="3">
        <f t="shared" si="197"/>
        <v>0</v>
      </c>
      <c r="CS285" s="31"/>
      <c r="CT285" s="3" cm="1">
        <f t="array" ref="CT285">SUMPRODUCT(--(MOD(CH285:CL285,2)=1))</f>
        <v>0</v>
      </c>
      <c r="CU285" s="3">
        <f t="shared" si="198"/>
        <v>5</v>
      </c>
      <c r="CV285" s="30"/>
      <c r="CW285" s="3" cm="1">
        <f t="array" ref="CW285">SUMPRODUCT(--(MOD(CH285:CL285,10)&gt;=1), --(MOD(CH285:CL285,10)&lt;=5))</f>
        <v>0</v>
      </c>
      <c r="CX285" s="3">
        <f t="shared" si="199"/>
        <v>5</v>
      </c>
      <c r="CY285" s="30"/>
      <c r="CZ285" s="3" cm="1">
        <f t="array" ref="CZ285">IFERROR(COUNT(_xlfn._xlws.FILTER(CH285:CL285, ISNUMBER(MATCH(CH285:CL285, {2,3,5,7,11,13,17,19,23,29,31,37,41,43}, 0)))), 0)</f>
        <v>0</v>
      </c>
      <c r="DA285" s="3" cm="1">
        <f t="array" ref="DA285">IFERROR(COUNT(_xlfn._xlws.FILTER(CH285:CL285, ISNUMBER(MATCH(CH285:CL285, {1,4,8,10,14,16,20,22,25,26,28,32,34,35,38,40,44}, 0)))), 0)</f>
        <v>0</v>
      </c>
      <c r="DB285" s="3" cm="1">
        <f t="array" ref="DB285">IFERROR(COUNT(_xlfn._xlws.FILTER(CH285:CL285, ISNUMBER(MATCH(CH285:CL285, {6,9,12,15,18,21,24,27,30,33,36,39,42,45}, 0)))), 0)</f>
        <v>0</v>
      </c>
      <c r="DC285" s="29"/>
      <c r="DD285" s="28" t="e">
        <f>#REF!</f>
        <v>#REF!</v>
      </c>
      <c r="DE285" s="28" t="e">
        <f>#REF!*2</f>
        <v>#REF!</v>
      </c>
      <c r="DF285" s="28" t="e">
        <f>#REF!</f>
        <v>#REF!</v>
      </c>
      <c r="DG285" s="28" t="e">
        <f>#REF!*2</f>
        <v>#REF!</v>
      </c>
      <c r="DH285" s="28" t="e">
        <f>#REF!</f>
        <v>#REF!</v>
      </c>
      <c r="DI285" s="28" t="e">
        <f>#REF!*2</f>
        <v>#REF!</v>
      </c>
      <c r="DJ285" s="28" t="e">
        <f>#REF!</f>
        <v>#REF!</v>
      </c>
      <c r="DK285" s="28" t="e">
        <f>#REF!*2</f>
        <v>#REF!</v>
      </c>
      <c r="DL285" s="28" t="e">
        <f>#REF!</f>
        <v>#REF!</v>
      </c>
      <c r="DM285" s="28" t="e">
        <f>#REF!*2</f>
        <v>#REF!</v>
      </c>
      <c r="DN285" s="27"/>
      <c r="DO285" s="26"/>
      <c r="DP285" s="26"/>
      <c r="DQ285" s="26"/>
      <c r="DR285" s="26"/>
      <c r="DS285" s="26"/>
      <c r="DT285" s="25"/>
    </row>
    <row r="286" spans="2:124" x14ac:dyDescent="0.3"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2"/>
      <c r="I286" s="3">
        <f t="shared" si="160"/>
        <v>0</v>
      </c>
      <c r="J286" s="3">
        <f t="shared" si="161"/>
        <v>0</v>
      </c>
      <c r="K286" s="3">
        <f t="shared" si="162"/>
        <v>0</v>
      </c>
      <c r="L286" s="3">
        <f t="shared" si="163"/>
        <v>0</v>
      </c>
      <c r="M286" s="3">
        <f t="shared" si="164"/>
        <v>0</v>
      </c>
      <c r="N286" s="3">
        <f t="shared" si="165"/>
        <v>0</v>
      </c>
      <c r="O286" s="32"/>
      <c r="P286" s="3" cm="1">
        <f t="array" ref="P286">SUMPRODUCT(--(MOD(B286:G286,2)=1))</f>
        <v>0</v>
      </c>
      <c r="Q286" s="3">
        <f t="shared" si="166"/>
        <v>6</v>
      </c>
      <c r="R286" s="34"/>
      <c r="S286" s="3">
        <f t="shared" si="167"/>
        <v>0</v>
      </c>
      <c r="T286" s="3">
        <f t="shared" si="168"/>
        <v>6</v>
      </c>
      <c r="U286" s="34"/>
      <c r="V286" s="3" cm="1">
        <f t="array" ref="V286">SUMPRODUCT(--(MOD(B286:G286,10)&gt;=1), --(MOD(B286:G286,10)&lt;=5))</f>
        <v>0</v>
      </c>
      <c r="W286" s="3">
        <f t="shared" si="169"/>
        <v>6</v>
      </c>
      <c r="X286" s="34"/>
      <c r="Y286" s="3" cm="1">
        <f t="array" ref="Y286">IFERROR(COUNT(_xlfn._xlws.FILTER(B286:G286, ISNUMBER(MATCH(B286:G286, {2,3,5,7,11,13,17,19,23,29,31,37,41,43}, 0)))), 0)</f>
        <v>0</v>
      </c>
      <c r="Z286" s="3" cm="1">
        <f t="array" ref="Z286">IFERROR(COUNT(_xlfn._xlws.FILTER(B286:G286, ISNUMBER(MATCH(B286:G286, {1,4,8,10,14,16,20,22,25,26,28,32,34,35,38,40,44}, 0)))), 0)</f>
        <v>0</v>
      </c>
      <c r="AA286" s="3" cm="1">
        <f t="array" ref="AA286">IFERROR(COUNT(_xlfn._xlws.FILTER(B286:G286, ISNUMBER(MATCH(B286:G286, {6,9,12,15,18,21,24,27,30,33,36,39,42,45}, 0)))), 0)</f>
        <v>0</v>
      </c>
      <c r="AB286" s="30"/>
      <c r="AC286" s="26" cm="1">
        <f t="array" ref="AC286">_xlfn.IFS(
   OR(B286="",ISBLANK(B286),B286=0),0,
   ISNUMBER(MATCH(B286,{2,3,5,7,11,13,17,19,23,29,31,37,41,43},0)),"소",
   AND(ISNUMBER(B286),MOD(B286,3)=0),"배",
   AND(ISNUMBER(B286),B286&gt;0),"자"
)</f>
        <v>0</v>
      </c>
      <c r="AD286" s="26" cm="1">
        <f t="array" ref="AD286">_xlfn.IFS(
   OR(C286="",ISBLANK(C286),C286=0),0,
   ISNUMBER(MATCH(C286,{2,3,5,7,11,13,17,19,23,29,31,37,41,43},0)),"소",
   AND(ISNUMBER(C286),MOD(C286,3)=0),"배",
   AND(ISNUMBER(C286),C286&gt;0),"자"
)</f>
        <v>0</v>
      </c>
      <c r="AE286" s="26" cm="1">
        <f t="array" ref="AE286">_xlfn.IFS(
   OR(D286="",ISBLANK(D286),D286=0),0,
   ISNUMBER(MATCH(D286,{2,3,5,7,11,13,17,19,23,29,31,37,41,43},0)),"소",
   AND(ISNUMBER(D286),MOD(D286,3)=0),"배",
   AND(ISNUMBER(D286),D286&gt;0),"자"
)</f>
        <v>0</v>
      </c>
      <c r="AF286" s="26" cm="1">
        <f t="array" ref="AF286">_xlfn.IFS(
   OR(E286="",ISBLANK(E286),E286=0),0,
   ISNUMBER(MATCH(E286,{2,3,5,7,11,13,17,19,23,29,31,37,41,43},0)),"소",
   AND(ISNUMBER(E286),MOD(E286,3)=0),"배",
   AND(ISNUMBER(E286),E286&gt;0),"자"
)</f>
        <v>0</v>
      </c>
      <c r="AG286" s="26" cm="1">
        <f t="array" ref="AG286">_xlfn.IFS(
   OR(F286="",ISBLANK(F286),F286=0),0,
   ISNUMBER(MATCH(F286,{2,3,5,7,11,13,17,19,23,29,31,37,41,43},0)),"소",
   AND(ISNUMBER(F286),MOD(F286,3)=0),"배",
   AND(ISNUMBER(F286),F286&gt;0),"자"
)</f>
        <v>0</v>
      </c>
      <c r="AH286" s="26" cm="1">
        <f t="array" ref="AH286">_xlfn.IFS(
   OR(G286="",ISBLANK(G286),G286=0),0,
   ISNUMBER(MATCH(G286,{2,3,5,7,11,13,17,19,23,29,31,37,41,43},0)),"소",
   AND(ISNUMBER(G286),MOD(G286,3)=0),"배",
   AND(ISNUMBER(G286),G286&gt;0),"자"
)</f>
        <v>0</v>
      </c>
      <c r="AI286" s="30"/>
      <c r="AJ286" s="3">
        <f t="shared" si="170"/>
        <v>0</v>
      </c>
      <c r="AK286" s="3">
        <f t="shared" si="171"/>
        <v>0</v>
      </c>
      <c r="AL286" s="3">
        <f t="shared" si="172"/>
        <v>6</v>
      </c>
      <c r="AM286" s="33"/>
      <c r="AN286" s="3">
        <f t="shared" si="173"/>
        <v>0</v>
      </c>
      <c r="AO286" s="3">
        <f t="shared" si="174"/>
        <v>0</v>
      </c>
      <c r="AP286" s="3">
        <f t="shared" si="175"/>
        <v>0</v>
      </c>
      <c r="AQ286" s="3">
        <f t="shared" si="176"/>
        <v>0</v>
      </c>
      <c r="AR286" s="3">
        <f t="shared" si="177"/>
        <v>0</v>
      </c>
      <c r="AS286" s="28" t="e">
        <f>#REF!</f>
        <v>#REF!</v>
      </c>
      <c r="AT286" s="28" t="e">
        <f>#REF!*2</f>
        <v>#REF!</v>
      </c>
      <c r="AU286" s="28" t="e">
        <f>#REF!</f>
        <v>#REF!</v>
      </c>
      <c r="AV286" s="28" t="e">
        <f>#REF!*2</f>
        <v>#REF!</v>
      </c>
      <c r="AW286" s="28" t="e">
        <f>#REF!</f>
        <v>#REF!</v>
      </c>
      <c r="AX286" s="28" t="e">
        <f>#REF!*2</f>
        <v>#REF!</v>
      </c>
      <c r="AY286" s="28" t="e">
        <f>#REF!</f>
        <v>#REF!</v>
      </c>
      <c r="AZ286" s="28" t="e">
        <f>#REF!*2</f>
        <v>#REF!</v>
      </c>
      <c r="BA286" s="28" t="e">
        <f>#REF!</f>
        <v>#REF!</v>
      </c>
      <c r="BB286" s="28" t="e">
        <f>#REF!*2</f>
        <v>#REF!</v>
      </c>
      <c r="BC286" s="28" t="e">
        <f>#REF!</f>
        <v>#REF!</v>
      </c>
      <c r="BD286" s="28" t="e">
        <f>#REF!*2</f>
        <v>#REF!</v>
      </c>
      <c r="BE286" s="9" t="e">
        <f>#REF!-#REF!</f>
        <v>#REF!</v>
      </c>
      <c r="BF286" s="9" t="e">
        <f>#REF!-#REF!</f>
        <v>#REF!</v>
      </c>
      <c r="BG286" s="9" t="e">
        <f>#REF!-#REF!</f>
        <v>#REF!</v>
      </c>
      <c r="BH286" s="9" t="e">
        <f>#REF!-#REF!</f>
        <v>#REF!</v>
      </c>
      <c r="BI286" s="9" t="e">
        <f>#REF!-#REF!</f>
        <v>#REF!</v>
      </c>
      <c r="BJ286" s="33"/>
      <c r="BK286" s="3">
        <f t="shared" si="178"/>
        <v>0</v>
      </c>
      <c r="BL286" s="3">
        <f t="shared" si="179"/>
        <v>0</v>
      </c>
      <c r="BM286" s="3">
        <f t="shared" si="180"/>
        <v>0</v>
      </c>
      <c r="BN286" s="3">
        <f t="shared" si="181"/>
        <v>0</v>
      </c>
      <c r="BO286" s="3">
        <f t="shared" si="182"/>
        <v>0</v>
      </c>
      <c r="BP286" s="28" t="e">
        <f>#REF!</f>
        <v>#REF!</v>
      </c>
      <c r="BQ286" s="28" t="e">
        <f>#REF!*2</f>
        <v>#REF!</v>
      </c>
      <c r="BR286" s="28" t="e">
        <f>#REF!</f>
        <v>#REF!</v>
      </c>
      <c r="BS286" s="28" t="e">
        <f>#REF!*2</f>
        <v>#REF!</v>
      </c>
      <c r="BT286" s="28" t="e">
        <f>#REF!</f>
        <v>#REF!</v>
      </c>
      <c r="BU286" s="28" t="e">
        <f>#REF!*2</f>
        <v>#REF!</v>
      </c>
      <c r="BV286" s="28" t="e">
        <f>#REF!</f>
        <v>#REF!</v>
      </c>
      <c r="BW286" s="28" t="e">
        <f>#REF!*2</f>
        <v>#REF!</v>
      </c>
      <c r="BX286" s="28" t="e">
        <f>#REF!</f>
        <v>#REF!</v>
      </c>
      <c r="BY286" s="28" t="e">
        <f>#REF!*2</f>
        <v>#REF!</v>
      </c>
      <c r="BZ286" s="28" t="e">
        <f>#REF!</f>
        <v>#REF!</v>
      </c>
      <c r="CA286" s="28" t="e">
        <f>#REF!*2</f>
        <v>#REF!</v>
      </c>
      <c r="CB286" s="9">
        <f t="shared" si="183"/>
        <v>0</v>
      </c>
      <c r="CC286" s="9">
        <f t="shared" si="184"/>
        <v>0</v>
      </c>
      <c r="CD286" s="9">
        <f t="shared" si="185"/>
        <v>0</v>
      </c>
      <c r="CE286" s="9">
        <f t="shared" si="186"/>
        <v>0</v>
      </c>
      <c r="CF286" s="9">
        <f t="shared" si="187"/>
        <v>0</v>
      </c>
      <c r="CG286" s="33"/>
      <c r="CH286" s="3">
        <f t="shared" si="188"/>
        <v>0</v>
      </c>
      <c r="CI286" s="3">
        <f t="shared" si="189"/>
        <v>0</v>
      </c>
      <c r="CJ286" s="3">
        <f t="shared" si="190"/>
        <v>0</v>
      </c>
      <c r="CK286" s="3">
        <f t="shared" si="191"/>
        <v>0</v>
      </c>
      <c r="CL286" s="3">
        <f t="shared" si="192"/>
        <v>0</v>
      </c>
      <c r="CM286" s="32"/>
      <c r="CN286" s="3">
        <f t="shared" si="193"/>
        <v>0</v>
      </c>
      <c r="CO286" s="3">
        <f t="shared" si="194"/>
        <v>0</v>
      </c>
      <c r="CP286" s="3">
        <f t="shared" si="195"/>
        <v>0</v>
      </c>
      <c r="CQ286" s="3">
        <f t="shared" si="196"/>
        <v>0</v>
      </c>
      <c r="CR286" s="3">
        <f t="shared" si="197"/>
        <v>0</v>
      </c>
      <c r="CS286" s="31"/>
      <c r="CT286" s="3" cm="1">
        <f t="array" ref="CT286">SUMPRODUCT(--(MOD(CH286:CL286,2)=1))</f>
        <v>0</v>
      </c>
      <c r="CU286" s="3">
        <f t="shared" si="198"/>
        <v>5</v>
      </c>
      <c r="CV286" s="30"/>
      <c r="CW286" s="3" cm="1">
        <f t="array" ref="CW286">SUMPRODUCT(--(MOD(CH286:CL286,10)&gt;=1), --(MOD(CH286:CL286,10)&lt;=5))</f>
        <v>0</v>
      </c>
      <c r="CX286" s="3">
        <f t="shared" si="199"/>
        <v>5</v>
      </c>
      <c r="CY286" s="30"/>
      <c r="CZ286" s="3" cm="1">
        <f t="array" ref="CZ286">IFERROR(COUNT(_xlfn._xlws.FILTER(CH286:CL286, ISNUMBER(MATCH(CH286:CL286, {2,3,5,7,11,13,17,19,23,29,31,37,41,43}, 0)))), 0)</f>
        <v>0</v>
      </c>
      <c r="DA286" s="3" cm="1">
        <f t="array" ref="DA286">IFERROR(COUNT(_xlfn._xlws.FILTER(CH286:CL286, ISNUMBER(MATCH(CH286:CL286, {1,4,8,10,14,16,20,22,25,26,28,32,34,35,38,40,44}, 0)))), 0)</f>
        <v>0</v>
      </c>
      <c r="DB286" s="3" cm="1">
        <f t="array" ref="DB286">IFERROR(COUNT(_xlfn._xlws.FILTER(CH286:CL286, ISNUMBER(MATCH(CH286:CL286, {6,9,12,15,18,21,24,27,30,33,36,39,42,45}, 0)))), 0)</f>
        <v>0</v>
      </c>
      <c r="DC286" s="29"/>
      <c r="DD286" s="28" t="e">
        <f>#REF!</f>
        <v>#REF!</v>
      </c>
      <c r="DE286" s="28" t="e">
        <f>#REF!*2</f>
        <v>#REF!</v>
      </c>
      <c r="DF286" s="28" t="e">
        <f>#REF!</f>
        <v>#REF!</v>
      </c>
      <c r="DG286" s="28" t="e">
        <f>#REF!*2</f>
        <v>#REF!</v>
      </c>
      <c r="DH286" s="28" t="e">
        <f>#REF!</f>
        <v>#REF!</v>
      </c>
      <c r="DI286" s="28" t="e">
        <f>#REF!*2</f>
        <v>#REF!</v>
      </c>
      <c r="DJ286" s="28" t="e">
        <f>#REF!</f>
        <v>#REF!</v>
      </c>
      <c r="DK286" s="28" t="e">
        <f>#REF!*2</f>
        <v>#REF!</v>
      </c>
      <c r="DL286" s="28" t="e">
        <f>#REF!</f>
        <v>#REF!</v>
      </c>
      <c r="DM286" s="28" t="e">
        <f>#REF!*2</f>
        <v>#REF!</v>
      </c>
      <c r="DN286" s="27"/>
      <c r="DO286" s="26"/>
      <c r="DP286" s="26"/>
      <c r="DQ286" s="26"/>
      <c r="DR286" s="26"/>
      <c r="DS286" s="26"/>
      <c r="DT286" s="25"/>
    </row>
    <row r="287" spans="2:124" x14ac:dyDescent="0.3"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2"/>
      <c r="I287" s="3">
        <f t="shared" si="160"/>
        <v>0</v>
      </c>
      <c r="J287" s="3">
        <f t="shared" si="161"/>
        <v>0</v>
      </c>
      <c r="K287" s="3">
        <f t="shared" si="162"/>
        <v>0</v>
      </c>
      <c r="L287" s="3">
        <f t="shared" si="163"/>
        <v>0</v>
      </c>
      <c r="M287" s="3">
        <f t="shared" si="164"/>
        <v>0</v>
      </c>
      <c r="N287" s="3">
        <f t="shared" si="165"/>
        <v>0</v>
      </c>
      <c r="O287" s="32"/>
      <c r="P287" s="3" cm="1">
        <f t="array" ref="P287">SUMPRODUCT(--(MOD(B287:G287,2)=1))</f>
        <v>0</v>
      </c>
      <c r="Q287" s="3">
        <f t="shared" si="166"/>
        <v>6</v>
      </c>
      <c r="R287" s="34"/>
      <c r="S287" s="3">
        <f t="shared" si="167"/>
        <v>0</v>
      </c>
      <c r="T287" s="3">
        <f t="shared" si="168"/>
        <v>6</v>
      </c>
      <c r="U287" s="34"/>
      <c r="V287" s="3" cm="1">
        <f t="array" ref="V287">SUMPRODUCT(--(MOD(B287:G287,10)&gt;=1), --(MOD(B287:G287,10)&lt;=5))</f>
        <v>0</v>
      </c>
      <c r="W287" s="3">
        <f t="shared" si="169"/>
        <v>6</v>
      </c>
      <c r="X287" s="34"/>
      <c r="Y287" s="3" cm="1">
        <f t="array" ref="Y287">IFERROR(COUNT(_xlfn._xlws.FILTER(B287:G287, ISNUMBER(MATCH(B287:G287, {2,3,5,7,11,13,17,19,23,29,31,37,41,43}, 0)))), 0)</f>
        <v>0</v>
      </c>
      <c r="Z287" s="3" cm="1">
        <f t="array" ref="Z287">IFERROR(COUNT(_xlfn._xlws.FILTER(B287:G287, ISNUMBER(MATCH(B287:G287, {1,4,8,10,14,16,20,22,25,26,28,32,34,35,38,40,44}, 0)))), 0)</f>
        <v>0</v>
      </c>
      <c r="AA287" s="3" cm="1">
        <f t="array" ref="AA287">IFERROR(COUNT(_xlfn._xlws.FILTER(B287:G287, ISNUMBER(MATCH(B287:G287, {6,9,12,15,18,21,24,27,30,33,36,39,42,45}, 0)))), 0)</f>
        <v>0</v>
      </c>
      <c r="AB287" s="30"/>
      <c r="AC287" s="26" cm="1">
        <f t="array" ref="AC287">_xlfn.IFS(
   OR(B287="",ISBLANK(B287),B287=0),0,
   ISNUMBER(MATCH(B287,{2,3,5,7,11,13,17,19,23,29,31,37,41,43},0)),"소",
   AND(ISNUMBER(B287),MOD(B287,3)=0),"배",
   AND(ISNUMBER(B287),B287&gt;0),"자"
)</f>
        <v>0</v>
      </c>
      <c r="AD287" s="26" cm="1">
        <f t="array" ref="AD287">_xlfn.IFS(
   OR(C287="",ISBLANK(C287),C287=0),0,
   ISNUMBER(MATCH(C287,{2,3,5,7,11,13,17,19,23,29,31,37,41,43},0)),"소",
   AND(ISNUMBER(C287),MOD(C287,3)=0),"배",
   AND(ISNUMBER(C287),C287&gt;0),"자"
)</f>
        <v>0</v>
      </c>
      <c r="AE287" s="26" cm="1">
        <f t="array" ref="AE287">_xlfn.IFS(
   OR(D287="",ISBLANK(D287),D287=0),0,
   ISNUMBER(MATCH(D287,{2,3,5,7,11,13,17,19,23,29,31,37,41,43},0)),"소",
   AND(ISNUMBER(D287),MOD(D287,3)=0),"배",
   AND(ISNUMBER(D287),D287&gt;0),"자"
)</f>
        <v>0</v>
      </c>
      <c r="AF287" s="26" cm="1">
        <f t="array" ref="AF287">_xlfn.IFS(
   OR(E287="",ISBLANK(E287),E287=0),0,
   ISNUMBER(MATCH(E287,{2,3,5,7,11,13,17,19,23,29,31,37,41,43},0)),"소",
   AND(ISNUMBER(E287),MOD(E287,3)=0),"배",
   AND(ISNUMBER(E287),E287&gt;0),"자"
)</f>
        <v>0</v>
      </c>
      <c r="AG287" s="26" cm="1">
        <f t="array" ref="AG287">_xlfn.IFS(
   OR(F287="",ISBLANK(F287),F287=0),0,
   ISNUMBER(MATCH(F287,{2,3,5,7,11,13,17,19,23,29,31,37,41,43},0)),"소",
   AND(ISNUMBER(F287),MOD(F287,3)=0),"배",
   AND(ISNUMBER(F287),F287&gt;0),"자"
)</f>
        <v>0</v>
      </c>
      <c r="AH287" s="26" cm="1">
        <f t="array" ref="AH287">_xlfn.IFS(
   OR(G287="",ISBLANK(G287),G287=0),0,
   ISNUMBER(MATCH(G287,{2,3,5,7,11,13,17,19,23,29,31,37,41,43},0)),"소",
   AND(ISNUMBER(G287),MOD(G287,3)=0),"배",
   AND(ISNUMBER(G287),G287&gt;0),"자"
)</f>
        <v>0</v>
      </c>
      <c r="AI287" s="30"/>
      <c r="AJ287" s="3">
        <f t="shared" si="170"/>
        <v>0</v>
      </c>
      <c r="AK287" s="3">
        <f t="shared" si="171"/>
        <v>0</v>
      </c>
      <c r="AL287" s="3">
        <f t="shared" si="172"/>
        <v>6</v>
      </c>
      <c r="AM287" s="33"/>
      <c r="AN287" s="3">
        <f t="shared" si="173"/>
        <v>0</v>
      </c>
      <c r="AO287" s="3">
        <f t="shared" si="174"/>
        <v>0</v>
      </c>
      <c r="AP287" s="3">
        <f t="shared" si="175"/>
        <v>0</v>
      </c>
      <c r="AQ287" s="3">
        <f t="shared" si="176"/>
        <v>0</v>
      </c>
      <c r="AR287" s="3">
        <f t="shared" si="177"/>
        <v>0</v>
      </c>
      <c r="AS287" s="28" t="e">
        <f>#REF!</f>
        <v>#REF!</v>
      </c>
      <c r="AT287" s="28" t="e">
        <f>#REF!*2</f>
        <v>#REF!</v>
      </c>
      <c r="AU287" s="28" t="e">
        <f>#REF!</f>
        <v>#REF!</v>
      </c>
      <c r="AV287" s="28" t="e">
        <f>#REF!*2</f>
        <v>#REF!</v>
      </c>
      <c r="AW287" s="28" t="e">
        <f>#REF!</f>
        <v>#REF!</v>
      </c>
      <c r="AX287" s="28" t="e">
        <f>#REF!*2</f>
        <v>#REF!</v>
      </c>
      <c r="AY287" s="28" t="e">
        <f>#REF!</f>
        <v>#REF!</v>
      </c>
      <c r="AZ287" s="28" t="e">
        <f>#REF!*2</f>
        <v>#REF!</v>
      </c>
      <c r="BA287" s="28" t="e">
        <f>#REF!</f>
        <v>#REF!</v>
      </c>
      <c r="BB287" s="28" t="e">
        <f>#REF!*2</f>
        <v>#REF!</v>
      </c>
      <c r="BC287" s="28" t="e">
        <f>#REF!</f>
        <v>#REF!</v>
      </c>
      <c r="BD287" s="28" t="e">
        <f>#REF!*2</f>
        <v>#REF!</v>
      </c>
      <c r="BE287" s="9" t="e">
        <f>#REF!-#REF!</f>
        <v>#REF!</v>
      </c>
      <c r="BF287" s="9" t="e">
        <f>#REF!-#REF!</f>
        <v>#REF!</v>
      </c>
      <c r="BG287" s="9" t="e">
        <f>#REF!-#REF!</f>
        <v>#REF!</v>
      </c>
      <c r="BH287" s="9" t="e">
        <f>#REF!-#REF!</f>
        <v>#REF!</v>
      </c>
      <c r="BI287" s="9" t="e">
        <f>#REF!-#REF!</f>
        <v>#REF!</v>
      </c>
      <c r="BJ287" s="33"/>
      <c r="BK287" s="3">
        <f t="shared" si="178"/>
        <v>0</v>
      </c>
      <c r="BL287" s="3">
        <f t="shared" si="179"/>
        <v>0</v>
      </c>
      <c r="BM287" s="3">
        <f t="shared" si="180"/>
        <v>0</v>
      </c>
      <c r="BN287" s="3">
        <f t="shared" si="181"/>
        <v>0</v>
      </c>
      <c r="BO287" s="3">
        <f t="shared" si="182"/>
        <v>0</v>
      </c>
      <c r="BP287" s="28" t="e">
        <f>#REF!</f>
        <v>#REF!</v>
      </c>
      <c r="BQ287" s="28" t="e">
        <f>#REF!*2</f>
        <v>#REF!</v>
      </c>
      <c r="BR287" s="28" t="e">
        <f>#REF!</f>
        <v>#REF!</v>
      </c>
      <c r="BS287" s="28" t="e">
        <f>#REF!*2</f>
        <v>#REF!</v>
      </c>
      <c r="BT287" s="28" t="e">
        <f>#REF!</f>
        <v>#REF!</v>
      </c>
      <c r="BU287" s="28" t="e">
        <f>#REF!*2</f>
        <v>#REF!</v>
      </c>
      <c r="BV287" s="28" t="e">
        <f>#REF!</f>
        <v>#REF!</v>
      </c>
      <c r="BW287" s="28" t="e">
        <f>#REF!*2</f>
        <v>#REF!</v>
      </c>
      <c r="BX287" s="28" t="e">
        <f>#REF!</f>
        <v>#REF!</v>
      </c>
      <c r="BY287" s="28" t="e">
        <f>#REF!*2</f>
        <v>#REF!</v>
      </c>
      <c r="BZ287" s="28" t="e">
        <f>#REF!</f>
        <v>#REF!</v>
      </c>
      <c r="CA287" s="28" t="e">
        <f>#REF!*2</f>
        <v>#REF!</v>
      </c>
      <c r="CB287" s="9">
        <f t="shared" si="183"/>
        <v>0</v>
      </c>
      <c r="CC287" s="9">
        <f t="shared" si="184"/>
        <v>0</v>
      </c>
      <c r="CD287" s="9">
        <f t="shared" si="185"/>
        <v>0</v>
      </c>
      <c r="CE287" s="9">
        <f t="shared" si="186"/>
        <v>0</v>
      </c>
      <c r="CF287" s="9">
        <f t="shared" si="187"/>
        <v>0</v>
      </c>
      <c r="CG287" s="33"/>
      <c r="CH287" s="3">
        <f t="shared" si="188"/>
        <v>0</v>
      </c>
      <c r="CI287" s="3">
        <f t="shared" si="189"/>
        <v>0</v>
      </c>
      <c r="CJ287" s="3">
        <f t="shared" si="190"/>
        <v>0</v>
      </c>
      <c r="CK287" s="3">
        <f t="shared" si="191"/>
        <v>0</v>
      </c>
      <c r="CL287" s="3">
        <f t="shared" si="192"/>
        <v>0</v>
      </c>
      <c r="CM287" s="32"/>
      <c r="CN287" s="3">
        <f t="shared" si="193"/>
        <v>0</v>
      </c>
      <c r="CO287" s="3">
        <f t="shared" si="194"/>
        <v>0</v>
      </c>
      <c r="CP287" s="3">
        <f t="shared" si="195"/>
        <v>0</v>
      </c>
      <c r="CQ287" s="3">
        <f t="shared" si="196"/>
        <v>0</v>
      </c>
      <c r="CR287" s="3">
        <f t="shared" si="197"/>
        <v>0</v>
      </c>
      <c r="CS287" s="31"/>
      <c r="CT287" s="3" cm="1">
        <f t="array" ref="CT287">SUMPRODUCT(--(MOD(CH287:CL287,2)=1))</f>
        <v>0</v>
      </c>
      <c r="CU287" s="3">
        <f t="shared" si="198"/>
        <v>5</v>
      </c>
      <c r="CV287" s="30"/>
      <c r="CW287" s="3" cm="1">
        <f t="array" ref="CW287">SUMPRODUCT(--(MOD(CH287:CL287,10)&gt;=1), --(MOD(CH287:CL287,10)&lt;=5))</f>
        <v>0</v>
      </c>
      <c r="CX287" s="3">
        <f t="shared" si="199"/>
        <v>5</v>
      </c>
      <c r="CY287" s="30"/>
      <c r="CZ287" s="3" cm="1">
        <f t="array" ref="CZ287">IFERROR(COUNT(_xlfn._xlws.FILTER(CH287:CL287, ISNUMBER(MATCH(CH287:CL287, {2,3,5,7,11,13,17,19,23,29,31,37,41,43}, 0)))), 0)</f>
        <v>0</v>
      </c>
      <c r="DA287" s="3" cm="1">
        <f t="array" ref="DA287">IFERROR(COUNT(_xlfn._xlws.FILTER(CH287:CL287, ISNUMBER(MATCH(CH287:CL287, {1,4,8,10,14,16,20,22,25,26,28,32,34,35,38,40,44}, 0)))), 0)</f>
        <v>0</v>
      </c>
      <c r="DB287" s="3" cm="1">
        <f t="array" ref="DB287">IFERROR(COUNT(_xlfn._xlws.FILTER(CH287:CL287, ISNUMBER(MATCH(CH287:CL287, {6,9,12,15,18,21,24,27,30,33,36,39,42,45}, 0)))), 0)</f>
        <v>0</v>
      </c>
      <c r="DC287" s="29"/>
      <c r="DD287" s="28" t="e">
        <f>#REF!</f>
        <v>#REF!</v>
      </c>
      <c r="DE287" s="28" t="e">
        <f>#REF!*2</f>
        <v>#REF!</v>
      </c>
      <c r="DF287" s="28" t="e">
        <f>#REF!</f>
        <v>#REF!</v>
      </c>
      <c r="DG287" s="28" t="e">
        <f>#REF!*2</f>
        <v>#REF!</v>
      </c>
      <c r="DH287" s="28" t="e">
        <f>#REF!</f>
        <v>#REF!</v>
      </c>
      <c r="DI287" s="28" t="e">
        <f>#REF!*2</f>
        <v>#REF!</v>
      </c>
      <c r="DJ287" s="28" t="e">
        <f>#REF!</f>
        <v>#REF!</v>
      </c>
      <c r="DK287" s="28" t="e">
        <f>#REF!*2</f>
        <v>#REF!</v>
      </c>
      <c r="DL287" s="28" t="e">
        <f>#REF!</f>
        <v>#REF!</v>
      </c>
      <c r="DM287" s="28" t="e">
        <f>#REF!*2</f>
        <v>#REF!</v>
      </c>
      <c r="DN287" s="27"/>
      <c r="DO287" s="26"/>
      <c r="DP287" s="26"/>
      <c r="DQ287" s="26"/>
      <c r="DR287" s="26"/>
      <c r="DS287" s="26"/>
      <c r="DT287" s="25"/>
    </row>
    <row r="288" spans="2:124" x14ac:dyDescent="0.3"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2"/>
      <c r="I288" s="3">
        <f t="shared" si="160"/>
        <v>0</v>
      </c>
      <c r="J288" s="3">
        <f t="shared" si="161"/>
        <v>0</v>
      </c>
      <c r="K288" s="3">
        <f t="shared" si="162"/>
        <v>0</v>
      </c>
      <c r="L288" s="3">
        <f t="shared" si="163"/>
        <v>0</v>
      </c>
      <c r="M288" s="3">
        <f t="shared" si="164"/>
        <v>0</v>
      </c>
      <c r="N288" s="3">
        <f t="shared" si="165"/>
        <v>0</v>
      </c>
      <c r="O288" s="32"/>
      <c r="P288" s="3" cm="1">
        <f t="array" ref="P288">SUMPRODUCT(--(MOD(B288:G288,2)=1))</f>
        <v>0</v>
      </c>
      <c r="Q288" s="3">
        <f t="shared" si="166"/>
        <v>6</v>
      </c>
      <c r="R288" s="34"/>
      <c r="S288" s="3">
        <f t="shared" si="167"/>
        <v>0</v>
      </c>
      <c r="T288" s="3">
        <f t="shared" si="168"/>
        <v>6</v>
      </c>
      <c r="U288" s="34"/>
      <c r="V288" s="3" cm="1">
        <f t="array" ref="V288">SUMPRODUCT(--(MOD(B288:G288,10)&gt;=1), --(MOD(B288:G288,10)&lt;=5))</f>
        <v>0</v>
      </c>
      <c r="W288" s="3">
        <f t="shared" si="169"/>
        <v>6</v>
      </c>
      <c r="X288" s="34"/>
      <c r="Y288" s="3" cm="1">
        <f t="array" ref="Y288">IFERROR(COUNT(_xlfn._xlws.FILTER(B288:G288, ISNUMBER(MATCH(B288:G288, {2,3,5,7,11,13,17,19,23,29,31,37,41,43}, 0)))), 0)</f>
        <v>0</v>
      </c>
      <c r="Z288" s="3" cm="1">
        <f t="array" ref="Z288">IFERROR(COUNT(_xlfn._xlws.FILTER(B288:G288, ISNUMBER(MATCH(B288:G288, {1,4,8,10,14,16,20,22,25,26,28,32,34,35,38,40,44}, 0)))), 0)</f>
        <v>0</v>
      </c>
      <c r="AA288" s="3" cm="1">
        <f t="array" ref="AA288">IFERROR(COUNT(_xlfn._xlws.FILTER(B288:G288, ISNUMBER(MATCH(B288:G288, {6,9,12,15,18,21,24,27,30,33,36,39,42,45}, 0)))), 0)</f>
        <v>0</v>
      </c>
      <c r="AB288" s="30"/>
      <c r="AC288" s="26" cm="1">
        <f t="array" ref="AC288">_xlfn.IFS(
   OR(B288="",ISBLANK(B288),B288=0),0,
   ISNUMBER(MATCH(B288,{2,3,5,7,11,13,17,19,23,29,31,37,41,43},0)),"소",
   AND(ISNUMBER(B288),MOD(B288,3)=0),"배",
   AND(ISNUMBER(B288),B288&gt;0),"자"
)</f>
        <v>0</v>
      </c>
      <c r="AD288" s="26" cm="1">
        <f t="array" ref="AD288">_xlfn.IFS(
   OR(C288="",ISBLANK(C288),C288=0),0,
   ISNUMBER(MATCH(C288,{2,3,5,7,11,13,17,19,23,29,31,37,41,43},0)),"소",
   AND(ISNUMBER(C288),MOD(C288,3)=0),"배",
   AND(ISNUMBER(C288),C288&gt;0),"자"
)</f>
        <v>0</v>
      </c>
      <c r="AE288" s="26" cm="1">
        <f t="array" ref="AE288">_xlfn.IFS(
   OR(D288="",ISBLANK(D288),D288=0),0,
   ISNUMBER(MATCH(D288,{2,3,5,7,11,13,17,19,23,29,31,37,41,43},0)),"소",
   AND(ISNUMBER(D288),MOD(D288,3)=0),"배",
   AND(ISNUMBER(D288),D288&gt;0),"자"
)</f>
        <v>0</v>
      </c>
      <c r="AF288" s="26" cm="1">
        <f t="array" ref="AF288">_xlfn.IFS(
   OR(E288="",ISBLANK(E288),E288=0),0,
   ISNUMBER(MATCH(E288,{2,3,5,7,11,13,17,19,23,29,31,37,41,43},0)),"소",
   AND(ISNUMBER(E288),MOD(E288,3)=0),"배",
   AND(ISNUMBER(E288),E288&gt;0),"자"
)</f>
        <v>0</v>
      </c>
      <c r="AG288" s="26" cm="1">
        <f t="array" ref="AG288">_xlfn.IFS(
   OR(F288="",ISBLANK(F288),F288=0),0,
   ISNUMBER(MATCH(F288,{2,3,5,7,11,13,17,19,23,29,31,37,41,43},0)),"소",
   AND(ISNUMBER(F288),MOD(F288,3)=0),"배",
   AND(ISNUMBER(F288),F288&gt;0),"자"
)</f>
        <v>0</v>
      </c>
      <c r="AH288" s="26" cm="1">
        <f t="array" ref="AH288">_xlfn.IFS(
   OR(G288="",ISBLANK(G288),G288=0),0,
   ISNUMBER(MATCH(G288,{2,3,5,7,11,13,17,19,23,29,31,37,41,43},0)),"소",
   AND(ISNUMBER(G288),MOD(G288,3)=0),"배",
   AND(ISNUMBER(G288),G288&gt;0),"자"
)</f>
        <v>0</v>
      </c>
      <c r="AI288" s="30"/>
      <c r="AJ288" s="3">
        <f t="shared" si="170"/>
        <v>0</v>
      </c>
      <c r="AK288" s="3">
        <f t="shared" si="171"/>
        <v>0</v>
      </c>
      <c r="AL288" s="3">
        <f t="shared" si="172"/>
        <v>6</v>
      </c>
      <c r="AM288" s="33"/>
      <c r="AN288" s="3">
        <f t="shared" si="173"/>
        <v>0</v>
      </c>
      <c r="AO288" s="3">
        <f t="shared" si="174"/>
        <v>0</v>
      </c>
      <c r="AP288" s="3">
        <f t="shared" si="175"/>
        <v>0</v>
      </c>
      <c r="AQ288" s="3">
        <f t="shared" si="176"/>
        <v>0</v>
      </c>
      <c r="AR288" s="3">
        <f t="shared" si="177"/>
        <v>0</v>
      </c>
      <c r="AS288" s="28" t="e">
        <f>#REF!</f>
        <v>#REF!</v>
      </c>
      <c r="AT288" s="28" t="e">
        <f>#REF!*2</f>
        <v>#REF!</v>
      </c>
      <c r="AU288" s="28" t="e">
        <f>#REF!</f>
        <v>#REF!</v>
      </c>
      <c r="AV288" s="28" t="e">
        <f>#REF!*2</f>
        <v>#REF!</v>
      </c>
      <c r="AW288" s="28" t="e">
        <f>#REF!</f>
        <v>#REF!</v>
      </c>
      <c r="AX288" s="28" t="e">
        <f>#REF!*2</f>
        <v>#REF!</v>
      </c>
      <c r="AY288" s="28" t="e">
        <f>#REF!</f>
        <v>#REF!</v>
      </c>
      <c r="AZ288" s="28" t="e">
        <f>#REF!*2</f>
        <v>#REF!</v>
      </c>
      <c r="BA288" s="28" t="e">
        <f>#REF!</f>
        <v>#REF!</v>
      </c>
      <c r="BB288" s="28" t="e">
        <f>#REF!*2</f>
        <v>#REF!</v>
      </c>
      <c r="BC288" s="28" t="e">
        <f>#REF!</f>
        <v>#REF!</v>
      </c>
      <c r="BD288" s="28" t="e">
        <f>#REF!*2</f>
        <v>#REF!</v>
      </c>
      <c r="BE288" s="9" t="e">
        <f>#REF!-#REF!</f>
        <v>#REF!</v>
      </c>
      <c r="BF288" s="9" t="e">
        <f>#REF!-#REF!</f>
        <v>#REF!</v>
      </c>
      <c r="BG288" s="9" t="e">
        <f>#REF!-#REF!</f>
        <v>#REF!</v>
      </c>
      <c r="BH288" s="9" t="e">
        <f>#REF!-#REF!</f>
        <v>#REF!</v>
      </c>
      <c r="BI288" s="9" t="e">
        <f>#REF!-#REF!</f>
        <v>#REF!</v>
      </c>
      <c r="BJ288" s="33"/>
      <c r="BK288" s="3">
        <f t="shared" si="178"/>
        <v>0</v>
      </c>
      <c r="BL288" s="3">
        <f t="shared" si="179"/>
        <v>0</v>
      </c>
      <c r="BM288" s="3">
        <f t="shared" si="180"/>
        <v>0</v>
      </c>
      <c r="BN288" s="3">
        <f t="shared" si="181"/>
        <v>0</v>
      </c>
      <c r="BO288" s="3">
        <f t="shared" si="182"/>
        <v>0</v>
      </c>
      <c r="BP288" s="28" t="e">
        <f>#REF!</f>
        <v>#REF!</v>
      </c>
      <c r="BQ288" s="28" t="e">
        <f>#REF!*2</f>
        <v>#REF!</v>
      </c>
      <c r="BR288" s="28" t="e">
        <f>#REF!</f>
        <v>#REF!</v>
      </c>
      <c r="BS288" s="28" t="e">
        <f>#REF!*2</f>
        <v>#REF!</v>
      </c>
      <c r="BT288" s="28" t="e">
        <f>#REF!</f>
        <v>#REF!</v>
      </c>
      <c r="BU288" s="28" t="e">
        <f>#REF!*2</f>
        <v>#REF!</v>
      </c>
      <c r="BV288" s="28" t="e">
        <f>#REF!</f>
        <v>#REF!</v>
      </c>
      <c r="BW288" s="28" t="e">
        <f>#REF!*2</f>
        <v>#REF!</v>
      </c>
      <c r="BX288" s="28" t="e">
        <f>#REF!</f>
        <v>#REF!</v>
      </c>
      <c r="BY288" s="28" t="e">
        <f>#REF!*2</f>
        <v>#REF!</v>
      </c>
      <c r="BZ288" s="28" t="e">
        <f>#REF!</f>
        <v>#REF!</v>
      </c>
      <c r="CA288" s="28" t="e">
        <f>#REF!*2</f>
        <v>#REF!</v>
      </c>
      <c r="CB288" s="9">
        <f t="shared" si="183"/>
        <v>0</v>
      </c>
      <c r="CC288" s="9">
        <f t="shared" si="184"/>
        <v>0</v>
      </c>
      <c r="CD288" s="9">
        <f t="shared" si="185"/>
        <v>0</v>
      </c>
      <c r="CE288" s="9">
        <f t="shared" si="186"/>
        <v>0</v>
      </c>
      <c r="CF288" s="9">
        <f t="shared" si="187"/>
        <v>0</v>
      </c>
      <c r="CG288" s="33"/>
      <c r="CH288" s="3">
        <f t="shared" si="188"/>
        <v>0</v>
      </c>
      <c r="CI288" s="3">
        <f t="shared" si="189"/>
        <v>0</v>
      </c>
      <c r="CJ288" s="3">
        <f t="shared" si="190"/>
        <v>0</v>
      </c>
      <c r="CK288" s="3">
        <f t="shared" si="191"/>
        <v>0</v>
      </c>
      <c r="CL288" s="3">
        <f t="shared" si="192"/>
        <v>0</v>
      </c>
      <c r="CM288" s="32"/>
      <c r="CN288" s="3">
        <f t="shared" si="193"/>
        <v>0</v>
      </c>
      <c r="CO288" s="3">
        <f t="shared" si="194"/>
        <v>0</v>
      </c>
      <c r="CP288" s="3">
        <f t="shared" si="195"/>
        <v>0</v>
      </c>
      <c r="CQ288" s="3">
        <f t="shared" si="196"/>
        <v>0</v>
      </c>
      <c r="CR288" s="3">
        <f t="shared" si="197"/>
        <v>0</v>
      </c>
      <c r="CS288" s="31"/>
      <c r="CT288" s="3" cm="1">
        <f t="array" ref="CT288">SUMPRODUCT(--(MOD(CH288:CL288,2)=1))</f>
        <v>0</v>
      </c>
      <c r="CU288" s="3">
        <f t="shared" si="198"/>
        <v>5</v>
      </c>
      <c r="CV288" s="30"/>
      <c r="CW288" s="3" cm="1">
        <f t="array" ref="CW288">SUMPRODUCT(--(MOD(CH288:CL288,10)&gt;=1), --(MOD(CH288:CL288,10)&lt;=5))</f>
        <v>0</v>
      </c>
      <c r="CX288" s="3">
        <f t="shared" si="199"/>
        <v>5</v>
      </c>
      <c r="CY288" s="30"/>
      <c r="CZ288" s="3" cm="1">
        <f t="array" ref="CZ288">IFERROR(COUNT(_xlfn._xlws.FILTER(CH288:CL288, ISNUMBER(MATCH(CH288:CL288, {2,3,5,7,11,13,17,19,23,29,31,37,41,43}, 0)))), 0)</f>
        <v>0</v>
      </c>
      <c r="DA288" s="3" cm="1">
        <f t="array" ref="DA288">IFERROR(COUNT(_xlfn._xlws.FILTER(CH288:CL288, ISNUMBER(MATCH(CH288:CL288, {1,4,8,10,14,16,20,22,25,26,28,32,34,35,38,40,44}, 0)))), 0)</f>
        <v>0</v>
      </c>
      <c r="DB288" s="3" cm="1">
        <f t="array" ref="DB288">IFERROR(COUNT(_xlfn._xlws.FILTER(CH288:CL288, ISNUMBER(MATCH(CH288:CL288, {6,9,12,15,18,21,24,27,30,33,36,39,42,45}, 0)))), 0)</f>
        <v>0</v>
      </c>
      <c r="DC288" s="29"/>
      <c r="DD288" s="28" t="e">
        <f>#REF!</f>
        <v>#REF!</v>
      </c>
      <c r="DE288" s="28" t="e">
        <f>#REF!*2</f>
        <v>#REF!</v>
      </c>
      <c r="DF288" s="28" t="e">
        <f>#REF!</f>
        <v>#REF!</v>
      </c>
      <c r="DG288" s="28" t="e">
        <f>#REF!*2</f>
        <v>#REF!</v>
      </c>
      <c r="DH288" s="28" t="e">
        <f>#REF!</f>
        <v>#REF!</v>
      </c>
      <c r="DI288" s="28" t="e">
        <f>#REF!*2</f>
        <v>#REF!</v>
      </c>
      <c r="DJ288" s="28" t="e">
        <f>#REF!</f>
        <v>#REF!</v>
      </c>
      <c r="DK288" s="28" t="e">
        <f>#REF!*2</f>
        <v>#REF!</v>
      </c>
      <c r="DL288" s="28" t="e">
        <f>#REF!</f>
        <v>#REF!</v>
      </c>
      <c r="DM288" s="28" t="e">
        <f>#REF!*2</f>
        <v>#REF!</v>
      </c>
      <c r="DN288" s="27"/>
      <c r="DO288" s="26"/>
      <c r="DP288" s="26"/>
      <c r="DQ288" s="26"/>
      <c r="DR288" s="26"/>
      <c r="DS288" s="26"/>
      <c r="DT288" s="25"/>
    </row>
    <row r="289" spans="2:124" x14ac:dyDescent="0.3"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2"/>
      <c r="I289" s="3">
        <f t="shared" si="160"/>
        <v>0</v>
      </c>
      <c r="J289" s="3">
        <f t="shared" si="161"/>
        <v>0</v>
      </c>
      <c r="K289" s="3">
        <f t="shared" si="162"/>
        <v>0</v>
      </c>
      <c r="L289" s="3">
        <f t="shared" si="163"/>
        <v>0</v>
      </c>
      <c r="M289" s="3">
        <f t="shared" si="164"/>
        <v>0</v>
      </c>
      <c r="N289" s="3">
        <f t="shared" si="165"/>
        <v>0</v>
      </c>
      <c r="O289" s="32"/>
      <c r="P289" s="3" cm="1">
        <f t="array" ref="P289">SUMPRODUCT(--(MOD(B289:G289,2)=1))</f>
        <v>0</v>
      </c>
      <c r="Q289" s="3">
        <f t="shared" si="166"/>
        <v>6</v>
      </c>
      <c r="R289" s="34"/>
      <c r="S289" s="3">
        <f t="shared" si="167"/>
        <v>0</v>
      </c>
      <c r="T289" s="3">
        <f t="shared" si="168"/>
        <v>6</v>
      </c>
      <c r="U289" s="34"/>
      <c r="V289" s="3" cm="1">
        <f t="array" ref="V289">SUMPRODUCT(--(MOD(B289:G289,10)&gt;=1), --(MOD(B289:G289,10)&lt;=5))</f>
        <v>0</v>
      </c>
      <c r="W289" s="3">
        <f t="shared" si="169"/>
        <v>6</v>
      </c>
      <c r="X289" s="34"/>
      <c r="Y289" s="3" cm="1">
        <f t="array" ref="Y289">IFERROR(COUNT(_xlfn._xlws.FILTER(B289:G289, ISNUMBER(MATCH(B289:G289, {2,3,5,7,11,13,17,19,23,29,31,37,41,43}, 0)))), 0)</f>
        <v>0</v>
      </c>
      <c r="Z289" s="3" cm="1">
        <f t="array" ref="Z289">IFERROR(COUNT(_xlfn._xlws.FILTER(B289:G289, ISNUMBER(MATCH(B289:G289, {1,4,8,10,14,16,20,22,25,26,28,32,34,35,38,40,44}, 0)))), 0)</f>
        <v>0</v>
      </c>
      <c r="AA289" s="3" cm="1">
        <f t="array" ref="AA289">IFERROR(COUNT(_xlfn._xlws.FILTER(B289:G289, ISNUMBER(MATCH(B289:G289, {6,9,12,15,18,21,24,27,30,33,36,39,42,45}, 0)))), 0)</f>
        <v>0</v>
      </c>
      <c r="AB289" s="30"/>
      <c r="AC289" s="26" cm="1">
        <f t="array" ref="AC289">_xlfn.IFS(
   OR(B289="",ISBLANK(B289),B289=0),0,
   ISNUMBER(MATCH(B289,{2,3,5,7,11,13,17,19,23,29,31,37,41,43},0)),"소",
   AND(ISNUMBER(B289),MOD(B289,3)=0),"배",
   AND(ISNUMBER(B289),B289&gt;0),"자"
)</f>
        <v>0</v>
      </c>
      <c r="AD289" s="26" cm="1">
        <f t="array" ref="AD289">_xlfn.IFS(
   OR(C289="",ISBLANK(C289),C289=0),0,
   ISNUMBER(MATCH(C289,{2,3,5,7,11,13,17,19,23,29,31,37,41,43},0)),"소",
   AND(ISNUMBER(C289),MOD(C289,3)=0),"배",
   AND(ISNUMBER(C289),C289&gt;0),"자"
)</f>
        <v>0</v>
      </c>
      <c r="AE289" s="26" cm="1">
        <f t="array" ref="AE289">_xlfn.IFS(
   OR(D289="",ISBLANK(D289),D289=0),0,
   ISNUMBER(MATCH(D289,{2,3,5,7,11,13,17,19,23,29,31,37,41,43},0)),"소",
   AND(ISNUMBER(D289),MOD(D289,3)=0),"배",
   AND(ISNUMBER(D289),D289&gt;0),"자"
)</f>
        <v>0</v>
      </c>
      <c r="AF289" s="26" cm="1">
        <f t="array" ref="AF289">_xlfn.IFS(
   OR(E289="",ISBLANK(E289),E289=0),0,
   ISNUMBER(MATCH(E289,{2,3,5,7,11,13,17,19,23,29,31,37,41,43},0)),"소",
   AND(ISNUMBER(E289),MOD(E289,3)=0),"배",
   AND(ISNUMBER(E289),E289&gt;0),"자"
)</f>
        <v>0</v>
      </c>
      <c r="AG289" s="26" cm="1">
        <f t="array" ref="AG289">_xlfn.IFS(
   OR(F289="",ISBLANK(F289),F289=0),0,
   ISNUMBER(MATCH(F289,{2,3,5,7,11,13,17,19,23,29,31,37,41,43},0)),"소",
   AND(ISNUMBER(F289),MOD(F289,3)=0),"배",
   AND(ISNUMBER(F289),F289&gt;0),"자"
)</f>
        <v>0</v>
      </c>
      <c r="AH289" s="26" cm="1">
        <f t="array" ref="AH289">_xlfn.IFS(
   OR(G289="",ISBLANK(G289),G289=0),0,
   ISNUMBER(MATCH(G289,{2,3,5,7,11,13,17,19,23,29,31,37,41,43},0)),"소",
   AND(ISNUMBER(G289),MOD(G289,3)=0),"배",
   AND(ISNUMBER(G289),G289&gt;0),"자"
)</f>
        <v>0</v>
      </c>
      <c r="AI289" s="30"/>
      <c r="AJ289" s="3">
        <f t="shared" si="170"/>
        <v>0</v>
      </c>
      <c r="AK289" s="3">
        <f t="shared" si="171"/>
        <v>0</v>
      </c>
      <c r="AL289" s="3">
        <f t="shared" si="172"/>
        <v>6</v>
      </c>
      <c r="AM289" s="33"/>
      <c r="AN289" s="3">
        <f t="shared" si="173"/>
        <v>0</v>
      </c>
      <c r="AO289" s="3">
        <f t="shared" si="174"/>
        <v>0</v>
      </c>
      <c r="AP289" s="3">
        <f t="shared" si="175"/>
        <v>0</v>
      </c>
      <c r="AQ289" s="3">
        <f t="shared" si="176"/>
        <v>0</v>
      </c>
      <c r="AR289" s="3">
        <f t="shared" si="177"/>
        <v>0</v>
      </c>
      <c r="AS289" s="28" t="e">
        <f>#REF!</f>
        <v>#REF!</v>
      </c>
      <c r="AT289" s="28" t="e">
        <f>#REF!*2</f>
        <v>#REF!</v>
      </c>
      <c r="AU289" s="28" t="e">
        <f>#REF!</f>
        <v>#REF!</v>
      </c>
      <c r="AV289" s="28" t="e">
        <f>#REF!*2</f>
        <v>#REF!</v>
      </c>
      <c r="AW289" s="28" t="e">
        <f>#REF!</f>
        <v>#REF!</v>
      </c>
      <c r="AX289" s="28" t="e">
        <f>#REF!*2</f>
        <v>#REF!</v>
      </c>
      <c r="AY289" s="28" t="e">
        <f>#REF!</f>
        <v>#REF!</v>
      </c>
      <c r="AZ289" s="28" t="e">
        <f>#REF!*2</f>
        <v>#REF!</v>
      </c>
      <c r="BA289" s="28" t="e">
        <f>#REF!</f>
        <v>#REF!</v>
      </c>
      <c r="BB289" s="28" t="e">
        <f>#REF!*2</f>
        <v>#REF!</v>
      </c>
      <c r="BC289" s="28" t="e">
        <f>#REF!</f>
        <v>#REF!</v>
      </c>
      <c r="BD289" s="28" t="e">
        <f>#REF!*2</f>
        <v>#REF!</v>
      </c>
      <c r="BE289" s="9" t="e">
        <f>#REF!-#REF!</f>
        <v>#REF!</v>
      </c>
      <c r="BF289" s="9" t="e">
        <f>#REF!-#REF!</f>
        <v>#REF!</v>
      </c>
      <c r="BG289" s="9" t="e">
        <f>#REF!-#REF!</f>
        <v>#REF!</v>
      </c>
      <c r="BH289" s="9" t="e">
        <f>#REF!-#REF!</f>
        <v>#REF!</v>
      </c>
      <c r="BI289" s="9" t="e">
        <f>#REF!-#REF!</f>
        <v>#REF!</v>
      </c>
      <c r="BJ289" s="33"/>
      <c r="BK289" s="3">
        <f t="shared" si="178"/>
        <v>0</v>
      </c>
      <c r="BL289" s="3">
        <f t="shared" si="179"/>
        <v>0</v>
      </c>
      <c r="BM289" s="3">
        <f t="shared" si="180"/>
        <v>0</v>
      </c>
      <c r="BN289" s="3">
        <f t="shared" si="181"/>
        <v>0</v>
      </c>
      <c r="BO289" s="3">
        <f t="shared" si="182"/>
        <v>0</v>
      </c>
      <c r="BP289" s="28" t="e">
        <f>#REF!</f>
        <v>#REF!</v>
      </c>
      <c r="BQ289" s="28" t="e">
        <f>#REF!*2</f>
        <v>#REF!</v>
      </c>
      <c r="BR289" s="28" t="e">
        <f>#REF!</f>
        <v>#REF!</v>
      </c>
      <c r="BS289" s="28" t="e">
        <f>#REF!*2</f>
        <v>#REF!</v>
      </c>
      <c r="BT289" s="28" t="e">
        <f>#REF!</f>
        <v>#REF!</v>
      </c>
      <c r="BU289" s="28" t="e">
        <f>#REF!*2</f>
        <v>#REF!</v>
      </c>
      <c r="BV289" s="28" t="e">
        <f>#REF!</f>
        <v>#REF!</v>
      </c>
      <c r="BW289" s="28" t="e">
        <f>#REF!*2</f>
        <v>#REF!</v>
      </c>
      <c r="BX289" s="28" t="e">
        <f>#REF!</f>
        <v>#REF!</v>
      </c>
      <c r="BY289" s="28" t="e">
        <f>#REF!*2</f>
        <v>#REF!</v>
      </c>
      <c r="BZ289" s="28" t="e">
        <f>#REF!</f>
        <v>#REF!</v>
      </c>
      <c r="CA289" s="28" t="e">
        <f>#REF!*2</f>
        <v>#REF!</v>
      </c>
      <c r="CB289" s="9">
        <f t="shared" si="183"/>
        <v>0</v>
      </c>
      <c r="CC289" s="9">
        <f t="shared" si="184"/>
        <v>0</v>
      </c>
      <c r="CD289" s="9">
        <f t="shared" si="185"/>
        <v>0</v>
      </c>
      <c r="CE289" s="9">
        <f t="shared" si="186"/>
        <v>0</v>
      </c>
      <c r="CF289" s="9">
        <f t="shared" si="187"/>
        <v>0</v>
      </c>
      <c r="CG289" s="33"/>
      <c r="CH289" s="3">
        <f t="shared" si="188"/>
        <v>0</v>
      </c>
      <c r="CI289" s="3">
        <f t="shared" si="189"/>
        <v>0</v>
      </c>
      <c r="CJ289" s="3">
        <f t="shared" si="190"/>
        <v>0</v>
      </c>
      <c r="CK289" s="3">
        <f t="shared" si="191"/>
        <v>0</v>
      </c>
      <c r="CL289" s="3">
        <f t="shared" si="192"/>
        <v>0</v>
      </c>
      <c r="CM289" s="32"/>
      <c r="CN289" s="3">
        <f t="shared" si="193"/>
        <v>0</v>
      </c>
      <c r="CO289" s="3">
        <f t="shared" si="194"/>
        <v>0</v>
      </c>
      <c r="CP289" s="3">
        <f t="shared" si="195"/>
        <v>0</v>
      </c>
      <c r="CQ289" s="3">
        <f t="shared" si="196"/>
        <v>0</v>
      </c>
      <c r="CR289" s="3">
        <f t="shared" si="197"/>
        <v>0</v>
      </c>
      <c r="CS289" s="31"/>
      <c r="CT289" s="3" cm="1">
        <f t="array" ref="CT289">SUMPRODUCT(--(MOD(CH289:CL289,2)=1))</f>
        <v>0</v>
      </c>
      <c r="CU289" s="3">
        <f t="shared" si="198"/>
        <v>5</v>
      </c>
      <c r="CV289" s="30"/>
      <c r="CW289" s="3" cm="1">
        <f t="array" ref="CW289">SUMPRODUCT(--(MOD(CH289:CL289,10)&gt;=1), --(MOD(CH289:CL289,10)&lt;=5))</f>
        <v>0</v>
      </c>
      <c r="CX289" s="3">
        <f t="shared" si="199"/>
        <v>5</v>
      </c>
      <c r="CY289" s="30"/>
      <c r="CZ289" s="3" cm="1">
        <f t="array" ref="CZ289">IFERROR(COUNT(_xlfn._xlws.FILTER(CH289:CL289, ISNUMBER(MATCH(CH289:CL289, {2,3,5,7,11,13,17,19,23,29,31,37,41,43}, 0)))), 0)</f>
        <v>0</v>
      </c>
      <c r="DA289" s="3" cm="1">
        <f t="array" ref="DA289">IFERROR(COUNT(_xlfn._xlws.FILTER(CH289:CL289, ISNUMBER(MATCH(CH289:CL289, {1,4,8,10,14,16,20,22,25,26,28,32,34,35,38,40,44}, 0)))), 0)</f>
        <v>0</v>
      </c>
      <c r="DB289" s="3" cm="1">
        <f t="array" ref="DB289">IFERROR(COUNT(_xlfn._xlws.FILTER(CH289:CL289, ISNUMBER(MATCH(CH289:CL289, {6,9,12,15,18,21,24,27,30,33,36,39,42,45}, 0)))), 0)</f>
        <v>0</v>
      </c>
      <c r="DC289" s="29"/>
      <c r="DD289" s="28" t="e">
        <f>#REF!</f>
        <v>#REF!</v>
      </c>
      <c r="DE289" s="28" t="e">
        <f>#REF!*2</f>
        <v>#REF!</v>
      </c>
      <c r="DF289" s="28" t="e">
        <f>#REF!</f>
        <v>#REF!</v>
      </c>
      <c r="DG289" s="28" t="e">
        <f>#REF!*2</f>
        <v>#REF!</v>
      </c>
      <c r="DH289" s="28" t="e">
        <f>#REF!</f>
        <v>#REF!</v>
      </c>
      <c r="DI289" s="28" t="e">
        <f>#REF!*2</f>
        <v>#REF!</v>
      </c>
      <c r="DJ289" s="28" t="e">
        <f>#REF!</f>
        <v>#REF!</v>
      </c>
      <c r="DK289" s="28" t="e">
        <f>#REF!*2</f>
        <v>#REF!</v>
      </c>
      <c r="DL289" s="28" t="e">
        <f>#REF!</f>
        <v>#REF!</v>
      </c>
      <c r="DM289" s="28" t="e">
        <f>#REF!*2</f>
        <v>#REF!</v>
      </c>
      <c r="DN289" s="27"/>
      <c r="DO289" s="26"/>
      <c r="DP289" s="26"/>
      <c r="DQ289" s="26"/>
      <c r="DR289" s="26"/>
      <c r="DS289" s="26"/>
      <c r="DT289" s="25"/>
    </row>
    <row r="290" spans="2:124" x14ac:dyDescent="0.3"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2"/>
      <c r="I290" s="3">
        <f t="shared" si="160"/>
        <v>0</v>
      </c>
      <c r="J290" s="3">
        <f t="shared" si="161"/>
        <v>0</v>
      </c>
      <c r="K290" s="3">
        <f t="shared" si="162"/>
        <v>0</v>
      </c>
      <c r="L290" s="3">
        <f t="shared" si="163"/>
        <v>0</v>
      </c>
      <c r="M290" s="3">
        <f t="shared" si="164"/>
        <v>0</v>
      </c>
      <c r="N290" s="3">
        <f t="shared" si="165"/>
        <v>0</v>
      </c>
      <c r="O290" s="32"/>
      <c r="P290" s="3" cm="1">
        <f t="array" ref="P290">SUMPRODUCT(--(MOD(B290:G290,2)=1))</f>
        <v>0</v>
      </c>
      <c r="Q290" s="3">
        <f t="shared" si="166"/>
        <v>6</v>
      </c>
      <c r="R290" s="34"/>
      <c r="S290" s="3">
        <f t="shared" si="167"/>
        <v>0</v>
      </c>
      <c r="T290" s="3">
        <f t="shared" si="168"/>
        <v>6</v>
      </c>
      <c r="U290" s="34"/>
      <c r="V290" s="3" cm="1">
        <f t="array" ref="V290">SUMPRODUCT(--(MOD(B290:G290,10)&gt;=1), --(MOD(B290:G290,10)&lt;=5))</f>
        <v>0</v>
      </c>
      <c r="W290" s="3">
        <f t="shared" si="169"/>
        <v>6</v>
      </c>
      <c r="X290" s="34"/>
      <c r="Y290" s="3" cm="1">
        <f t="array" ref="Y290">IFERROR(COUNT(_xlfn._xlws.FILTER(B290:G290, ISNUMBER(MATCH(B290:G290, {2,3,5,7,11,13,17,19,23,29,31,37,41,43}, 0)))), 0)</f>
        <v>0</v>
      </c>
      <c r="Z290" s="3" cm="1">
        <f t="array" ref="Z290">IFERROR(COUNT(_xlfn._xlws.FILTER(B290:G290, ISNUMBER(MATCH(B290:G290, {1,4,8,10,14,16,20,22,25,26,28,32,34,35,38,40,44}, 0)))), 0)</f>
        <v>0</v>
      </c>
      <c r="AA290" s="3" cm="1">
        <f t="array" ref="AA290">IFERROR(COUNT(_xlfn._xlws.FILTER(B290:G290, ISNUMBER(MATCH(B290:G290, {6,9,12,15,18,21,24,27,30,33,36,39,42,45}, 0)))), 0)</f>
        <v>0</v>
      </c>
      <c r="AB290" s="30"/>
      <c r="AC290" s="26" cm="1">
        <f t="array" ref="AC290">_xlfn.IFS(
   OR(B290="",ISBLANK(B290),B290=0),0,
   ISNUMBER(MATCH(B290,{2,3,5,7,11,13,17,19,23,29,31,37,41,43},0)),"소",
   AND(ISNUMBER(B290),MOD(B290,3)=0),"배",
   AND(ISNUMBER(B290),B290&gt;0),"자"
)</f>
        <v>0</v>
      </c>
      <c r="AD290" s="26" cm="1">
        <f t="array" ref="AD290">_xlfn.IFS(
   OR(C290="",ISBLANK(C290),C290=0),0,
   ISNUMBER(MATCH(C290,{2,3,5,7,11,13,17,19,23,29,31,37,41,43},0)),"소",
   AND(ISNUMBER(C290),MOD(C290,3)=0),"배",
   AND(ISNUMBER(C290),C290&gt;0),"자"
)</f>
        <v>0</v>
      </c>
      <c r="AE290" s="26" cm="1">
        <f t="array" ref="AE290">_xlfn.IFS(
   OR(D290="",ISBLANK(D290),D290=0),0,
   ISNUMBER(MATCH(D290,{2,3,5,7,11,13,17,19,23,29,31,37,41,43},0)),"소",
   AND(ISNUMBER(D290),MOD(D290,3)=0),"배",
   AND(ISNUMBER(D290),D290&gt;0),"자"
)</f>
        <v>0</v>
      </c>
      <c r="AF290" s="26" cm="1">
        <f t="array" ref="AF290">_xlfn.IFS(
   OR(E290="",ISBLANK(E290),E290=0),0,
   ISNUMBER(MATCH(E290,{2,3,5,7,11,13,17,19,23,29,31,37,41,43},0)),"소",
   AND(ISNUMBER(E290),MOD(E290,3)=0),"배",
   AND(ISNUMBER(E290),E290&gt;0),"자"
)</f>
        <v>0</v>
      </c>
      <c r="AG290" s="26" cm="1">
        <f t="array" ref="AG290">_xlfn.IFS(
   OR(F290="",ISBLANK(F290),F290=0),0,
   ISNUMBER(MATCH(F290,{2,3,5,7,11,13,17,19,23,29,31,37,41,43},0)),"소",
   AND(ISNUMBER(F290),MOD(F290,3)=0),"배",
   AND(ISNUMBER(F290),F290&gt;0),"자"
)</f>
        <v>0</v>
      </c>
      <c r="AH290" s="26" cm="1">
        <f t="array" ref="AH290">_xlfn.IFS(
   OR(G290="",ISBLANK(G290),G290=0),0,
   ISNUMBER(MATCH(G290,{2,3,5,7,11,13,17,19,23,29,31,37,41,43},0)),"소",
   AND(ISNUMBER(G290),MOD(G290,3)=0),"배",
   AND(ISNUMBER(G290),G290&gt;0),"자"
)</f>
        <v>0</v>
      </c>
      <c r="AI290" s="30"/>
      <c r="AJ290" s="3">
        <f t="shared" si="170"/>
        <v>0</v>
      </c>
      <c r="AK290" s="3">
        <f t="shared" si="171"/>
        <v>0</v>
      </c>
      <c r="AL290" s="3">
        <f t="shared" si="172"/>
        <v>6</v>
      </c>
      <c r="AM290" s="33"/>
      <c r="AN290" s="3">
        <f t="shared" si="173"/>
        <v>0</v>
      </c>
      <c r="AO290" s="3">
        <f t="shared" si="174"/>
        <v>0</v>
      </c>
      <c r="AP290" s="3">
        <f t="shared" si="175"/>
        <v>0</v>
      </c>
      <c r="AQ290" s="3">
        <f t="shared" si="176"/>
        <v>0</v>
      </c>
      <c r="AR290" s="3">
        <f t="shared" si="177"/>
        <v>0</v>
      </c>
      <c r="AS290" s="28" t="e">
        <f>#REF!</f>
        <v>#REF!</v>
      </c>
      <c r="AT290" s="28" t="e">
        <f>#REF!*2</f>
        <v>#REF!</v>
      </c>
      <c r="AU290" s="28" t="e">
        <f>#REF!</f>
        <v>#REF!</v>
      </c>
      <c r="AV290" s="28" t="e">
        <f>#REF!*2</f>
        <v>#REF!</v>
      </c>
      <c r="AW290" s="28" t="e">
        <f>#REF!</f>
        <v>#REF!</v>
      </c>
      <c r="AX290" s="28" t="e">
        <f>#REF!*2</f>
        <v>#REF!</v>
      </c>
      <c r="AY290" s="28" t="e">
        <f>#REF!</f>
        <v>#REF!</v>
      </c>
      <c r="AZ290" s="28" t="e">
        <f>#REF!*2</f>
        <v>#REF!</v>
      </c>
      <c r="BA290" s="28" t="e">
        <f>#REF!</f>
        <v>#REF!</v>
      </c>
      <c r="BB290" s="28" t="e">
        <f>#REF!*2</f>
        <v>#REF!</v>
      </c>
      <c r="BC290" s="28" t="e">
        <f>#REF!</f>
        <v>#REF!</v>
      </c>
      <c r="BD290" s="28" t="e">
        <f>#REF!*2</f>
        <v>#REF!</v>
      </c>
      <c r="BE290" s="9" t="e">
        <f>#REF!-#REF!</f>
        <v>#REF!</v>
      </c>
      <c r="BF290" s="9" t="e">
        <f>#REF!-#REF!</f>
        <v>#REF!</v>
      </c>
      <c r="BG290" s="9" t="e">
        <f>#REF!-#REF!</f>
        <v>#REF!</v>
      </c>
      <c r="BH290" s="9" t="e">
        <f>#REF!-#REF!</f>
        <v>#REF!</v>
      </c>
      <c r="BI290" s="9" t="e">
        <f>#REF!-#REF!</f>
        <v>#REF!</v>
      </c>
      <c r="BJ290" s="33"/>
      <c r="BK290" s="3">
        <f t="shared" si="178"/>
        <v>0</v>
      </c>
      <c r="BL290" s="3">
        <f t="shared" si="179"/>
        <v>0</v>
      </c>
      <c r="BM290" s="3">
        <f t="shared" si="180"/>
        <v>0</v>
      </c>
      <c r="BN290" s="3">
        <f t="shared" si="181"/>
        <v>0</v>
      </c>
      <c r="BO290" s="3">
        <f t="shared" si="182"/>
        <v>0</v>
      </c>
      <c r="BP290" s="28" t="e">
        <f>#REF!</f>
        <v>#REF!</v>
      </c>
      <c r="BQ290" s="28" t="e">
        <f>#REF!*2</f>
        <v>#REF!</v>
      </c>
      <c r="BR290" s="28" t="e">
        <f>#REF!</f>
        <v>#REF!</v>
      </c>
      <c r="BS290" s="28" t="e">
        <f>#REF!*2</f>
        <v>#REF!</v>
      </c>
      <c r="BT290" s="28" t="e">
        <f>#REF!</f>
        <v>#REF!</v>
      </c>
      <c r="BU290" s="28" t="e">
        <f>#REF!*2</f>
        <v>#REF!</v>
      </c>
      <c r="BV290" s="28" t="e">
        <f>#REF!</f>
        <v>#REF!</v>
      </c>
      <c r="BW290" s="28" t="e">
        <f>#REF!*2</f>
        <v>#REF!</v>
      </c>
      <c r="BX290" s="28" t="e">
        <f>#REF!</f>
        <v>#REF!</v>
      </c>
      <c r="BY290" s="28" t="e">
        <f>#REF!*2</f>
        <v>#REF!</v>
      </c>
      <c r="BZ290" s="28" t="e">
        <f>#REF!</f>
        <v>#REF!</v>
      </c>
      <c r="CA290" s="28" t="e">
        <f>#REF!*2</f>
        <v>#REF!</v>
      </c>
      <c r="CB290" s="9">
        <f t="shared" si="183"/>
        <v>0</v>
      </c>
      <c r="CC290" s="9">
        <f t="shared" si="184"/>
        <v>0</v>
      </c>
      <c r="CD290" s="9">
        <f t="shared" si="185"/>
        <v>0</v>
      </c>
      <c r="CE290" s="9">
        <f t="shared" si="186"/>
        <v>0</v>
      </c>
      <c r="CF290" s="9">
        <f t="shared" si="187"/>
        <v>0</v>
      </c>
      <c r="CG290" s="33"/>
      <c r="CH290" s="3">
        <f t="shared" si="188"/>
        <v>0</v>
      </c>
      <c r="CI290" s="3">
        <f t="shared" si="189"/>
        <v>0</v>
      </c>
      <c r="CJ290" s="3">
        <f t="shared" si="190"/>
        <v>0</v>
      </c>
      <c r="CK290" s="3">
        <f t="shared" si="191"/>
        <v>0</v>
      </c>
      <c r="CL290" s="3">
        <f t="shared" si="192"/>
        <v>0</v>
      </c>
      <c r="CM290" s="32"/>
      <c r="CN290" s="3">
        <f t="shared" si="193"/>
        <v>0</v>
      </c>
      <c r="CO290" s="3">
        <f t="shared" si="194"/>
        <v>0</v>
      </c>
      <c r="CP290" s="3">
        <f t="shared" si="195"/>
        <v>0</v>
      </c>
      <c r="CQ290" s="3">
        <f t="shared" si="196"/>
        <v>0</v>
      </c>
      <c r="CR290" s="3">
        <f t="shared" si="197"/>
        <v>0</v>
      </c>
      <c r="CS290" s="31"/>
      <c r="CT290" s="3" cm="1">
        <f t="array" ref="CT290">SUMPRODUCT(--(MOD(CH290:CL290,2)=1))</f>
        <v>0</v>
      </c>
      <c r="CU290" s="3">
        <f t="shared" si="198"/>
        <v>5</v>
      </c>
      <c r="CV290" s="30"/>
      <c r="CW290" s="3" cm="1">
        <f t="array" ref="CW290">SUMPRODUCT(--(MOD(CH290:CL290,10)&gt;=1), --(MOD(CH290:CL290,10)&lt;=5))</f>
        <v>0</v>
      </c>
      <c r="CX290" s="3">
        <f t="shared" si="199"/>
        <v>5</v>
      </c>
      <c r="CY290" s="30"/>
      <c r="CZ290" s="3" cm="1">
        <f t="array" ref="CZ290">IFERROR(COUNT(_xlfn._xlws.FILTER(CH290:CL290, ISNUMBER(MATCH(CH290:CL290, {2,3,5,7,11,13,17,19,23,29,31,37,41,43}, 0)))), 0)</f>
        <v>0</v>
      </c>
      <c r="DA290" s="3" cm="1">
        <f t="array" ref="DA290">IFERROR(COUNT(_xlfn._xlws.FILTER(CH290:CL290, ISNUMBER(MATCH(CH290:CL290, {1,4,8,10,14,16,20,22,25,26,28,32,34,35,38,40,44}, 0)))), 0)</f>
        <v>0</v>
      </c>
      <c r="DB290" s="3" cm="1">
        <f t="array" ref="DB290">IFERROR(COUNT(_xlfn._xlws.FILTER(CH290:CL290, ISNUMBER(MATCH(CH290:CL290, {6,9,12,15,18,21,24,27,30,33,36,39,42,45}, 0)))), 0)</f>
        <v>0</v>
      </c>
      <c r="DC290" s="29"/>
      <c r="DD290" s="28" t="e">
        <f>#REF!</f>
        <v>#REF!</v>
      </c>
      <c r="DE290" s="28" t="e">
        <f>#REF!*2</f>
        <v>#REF!</v>
      </c>
      <c r="DF290" s="28" t="e">
        <f>#REF!</f>
        <v>#REF!</v>
      </c>
      <c r="DG290" s="28" t="e">
        <f>#REF!*2</f>
        <v>#REF!</v>
      </c>
      <c r="DH290" s="28" t="e">
        <f>#REF!</f>
        <v>#REF!</v>
      </c>
      <c r="DI290" s="28" t="e">
        <f>#REF!*2</f>
        <v>#REF!</v>
      </c>
      <c r="DJ290" s="28" t="e">
        <f>#REF!</f>
        <v>#REF!</v>
      </c>
      <c r="DK290" s="28" t="e">
        <f>#REF!*2</f>
        <v>#REF!</v>
      </c>
      <c r="DL290" s="28" t="e">
        <f>#REF!</f>
        <v>#REF!</v>
      </c>
      <c r="DM290" s="28" t="e">
        <f>#REF!*2</f>
        <v>#REF!</v>
      </c>
      <c r="DN290" s="27"/>
      <c r="DO290" s="26"/>
      <c r="DP290" s="26"/>
      <c r="DQ290" s="26"/>
      <c r="DR290" s="26"/>
      <c r="DS290" s="26"/>
      <c r="DT290" s="25"/>
    </row>
    <row r="291" spans="2:124" x14ac:dyDescent="0.3"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2"/>
      <c r="I291" s="3">
        <f t="shared" si="160"/>
        <v>0</v>
      </c>
      <c r="J291" s="3">
        <f t="shared" si="161"/>
        <v>0</v>
      </c>
      <c r="K291" s="3">
        <f t="shared" si="162"/>
        <v>0</v>
      </c>
      <c r="L291" s="3">
        <f t="shared" si="163"/>
        <v>0</v>
      </c>
      <c r="M291" s="3">
        <f t="shared" si="164"/>
        <v>0</v>
      </c>
      <c r="N291" s="3">
        <f t="shared" si="165"/>
        <v>0</v>
      </c>
      <c r="O291" s="32"/>
      <c r="P291" s="3" cm="1">
        <f t="array" ref="P291">SUMPRODUCT(--(MOD(B291:G291,2)=1))</f>
        <v>0</v>
      </c>
      <c r="Q291" s="3">
        <f t="shared" si="166"/>
        <v>6</v>
      </c>
      <c r="R291" s="34"/>
      <c r="S291" s="3">
        <f t="shared" si="167"/>
        <v>0</v>
      </c>
      <c r="T291" s="3">
        <f t="shared" si="168"/>
        <v>6</v>
      </c>
      <c r="U291" s="34"/>
      <c r="V291" s="3" cm="1">
        <f t="array" ref="V291">SUMPRODUCT(--(MOD(B291:G291,10)&gt;=1), --(MOD(B291:G291,10)&lt;=5))</f>
        <v>0</v>
      </c>
      <c r="W291" s="3">
        <f t="shared" si="169"/>
        <v>6</v>
      </c>
      <c r="X291" s="34"/>
      <c r="Y291" s="3" cm="1">
        <f t="array" ref="Y291">IFERROR(COUNT(_xlfn._xlws.FILTER(B291:G291, ISNUMBER(MATCH(B291:G291, {2,3,5,7,11,13,17,19,23,29,31,37,41,43}, 0)))), 0)</f>
        <v>0</v>
      </c>
      <c r="Z291" s="3" cm="1">
        <f t="array" ref="Z291">IFERROR(COUNT(_xlfn._xlws.FILTER(B291:G291, ISNUMBER(MATCH(B291:G291, {1,4,8,10,14,16,20,22,25,26,28,32,34,35,38,40,44}, 0)))), 0)</f>
        <v>0</v>
      </c>
      <c r="AA291" s="3" cm="1">
        <f t="array" ref="AA291">IFERROR(COUNT(_xlfn._xlws.FILTER(B291:G291, ISNUMBER(MATCH(B291:G291, {6,9,12,15,18,21,24,27,30,33,36,39,42,45}, 0)))), 0)</f>
        <v>0</v>
      </c>
      <c r="AB291" s="30"/>
      <c r="AC291" s="26" cm="1">
        <f t="array" ref="AC291">_xlfn.IFS(
   OR(B291="",ISBLANK(B291),B291=0),0,
   ISNUMBER(MATCH(B291,{2,3,5,7,11,13,17,19,23,29,31,37,41,43},0)),"소",
   AND(ISNUMBER(B291),MOD(B291,3)=0),"배",
   AND(ISNUMBER(B291),B291&gt;0),"자"
)</f>
        <v>0</v>
      </c>
      <c r="AD291" s="26" cm="1">
        <f t="array" ref="AD291">_xlfn.IFS(
   OR(C291="",ISBLANK(C291),C291=0),0,
   ISNUMBER(MATCH(C291,{2,3,5,7,11,13,17,19,23,29,31,37,41,43},0)),"소",
   AND(ISNUMBER(C291),MOD(C291,3)=0),"배",
   AND(ISNUMBER(C291),C291&gt;0),"자"
)</f>
        <v>0</v>
      </c>
      <c r="AE291" s="26" cm="1">
        <f t="array" ref="AE291">_xlfn.IFS(
   OR(D291="",ISBLANK(D291),D291=0),0,
   ISNUMBER(MATCH(D291,{2,3,5,7,11,13,17,19,23,29,31,37,41,43},0)),"소",
   AND(ISNUMBER(D291),MOD(D291,3)=0),"배",
   AND(ISNUMBER(D291),D291&gt;0),"자"
)</f>
        <v>0</v>
      </c>
      <c r="AF291" s="26" cm="1">
        <f t="array" ref="AF291">_xlfn.IFS(
   OR(E291="",ISBLANK(E291),E291=0),0,
   ISNUMBER(MATCH(E291,{2,3,5,7,11,13,17,19,23,29,31,37,41,43},0)),"소",
   AND(ISNUMBER(E291),MOD(E291,3)=0),"배",
   AND(ISNUMBER(E291),E291&gt;0),"자"
)</f>
        <v>0</v>
      </c>
      <c r="AG291" s="26" cm="1">
        <f t="array" ref="AG291">_xlfn.IFS(
   OR(F291="",ISBLANK(F291),F291=0),0,
   ISNUMBER(MATCH(F291,{2,3,5,7,11,13,17,19,23,29,31,37,41,43},0)),"소",
   AND(ISNUMBER(F291),MOD(F291,3)=0),"배",
   AND(ISNUMBER(F291),F291&gt;0),"자"
)</f>
        <v>0</v>
      </c>
      <c r="AH291" s="26" cm="1">
        <f t="array" ref="AH291">_xlfn.IFS(
   OR(G291="",ISBLANK(G291),G291=0),0,
   ISNUMBER(MATCH(G291,{2,3,5,7,11,13,17,19,23,29,31,37,41,43},0)),"소",
   AND(ISNUMBER(G291),MOD(G291,3)=0),"배",
   AND(ISNUMBER(G291),G291&gt;0),"자"
)</f>
        <v>0</v>
      </c>
      <c r="AI291" s="30"/>
      <c r="AJ291" s="3">
        <f t="shared" si="170"/>
        <v>0</v>
      </c>
      <c r="AK291" s="3">
        <f t="shared" si="171"/>
        <v>0</v>
      </c>
      <c r="AL291" s="3">
        <f t="shared" si="172"/>
        <v>6</v>
      </c>
      <c r="AM291" s="33"/>
      <c r="AN291" s="3">
        <f t="shared" si="173"/>
        <v>0</v>
      </c>
      <c r="AO291" s="3">
        <f t="shared" si="174"/>
        <v>0</v>
      </c>
      <c r="AP291" s="3">
        <f t="shared" si="175"/>
        <v>0</v>
      </c>
      <c r="AQ291" s="3">
        <f t="shared" si="176"/>
        <v>0</v>
      </c>
      <c r="AR291" s="3">
        <f t="shared" si="177"/>
        <v>0</v>
      </c>
      <c r="AS291" s="28" t="e">
        <f>#REF!</f>
        <v>#REF!</v>
      </c>
      <c r="AT291" s="28" t="e">
        <f>#REF!*2</f>
        <v>#REF!</v>
      </c>
      <c r="AU291" s="28" t="e">
        <f>#REF!</f>
        <v>#REF!</v>
      </c>
      <c r="AV291" s="28" t="e">
        <f>#REF!*2</f>
        <v>#REF!</v>
      </c>
      <c r="AW291" s="28" t="e">
        <f>#REF!</f>
        <v>#REF!</v>
      </c>
      <c r="AX291" s="28" t="e">
        <f>#REF!*2</f>
        <v>#REF!</v>
      </c>
      <c r="AY291" s="28" t="e">
        <f>#REF!</f>
        <v>#REF!</v>
      </c>
      <c r="AZ291" s="28" t="e">
        <f>#REF!*2</f>
        <v>#REF!</v>
      </c>
      <c r="BA291" s="28" t="e">
        <f>#REF!</f>
        <v>#REF!</v>
      </c>
      <c r="BB291" s="28" t="e">
        <f>#REF!*2</f>
        <v>#REF!</v>
      </c>
      <c r="BC291" s="28" t="e">
        <f>#REF!</f>
        <v>#REF!</v>
      </c>
      <c r="BD291" s="28" t="e">
        <f>#REF!*2</f>
        <v>#REF!</v>
      </c>
      <c r="BE291" s="9" t="e">
        <f>#REF!-#REF!</f>
        <v>#REF!</v>
      </c>
      <c r="BF291" s="9" t="e">
        <f>#REF!-#REF!</f>
        <v>#REF!</v>
      </c>
      <c r="BG291" s="9" t="e">
        <f>#REF!-#REF!</f>
        <v>#REF!</v>
      </c>
      <c r="BH291" s="9" t="e">
        <f>#REF!-#REF!</f>
        <v>#REF!</v>
      </c>
      <c r="BI291" s="9" t="e">
        <f>#REF!-#REF!</f>
        <v>#REF!</v>
      </c>
      <c r="BJ291" s="33"/>
      <c r="BK291" s="3">
        <f t="shared" si="178"/>
        <v>0</v>
      </c>
      <c r="BL291" s="3">
        <f t="shared" si="179"/>
        <v>0</v>
      </c>
      <c r="BM291" s="3">
        <f t="shared" si="180"/>
        <v>0</v>
      </c>
      <c r="BN291" s="3">
        <f t="shared" si="181"/>
        <v>0</v>
      </c>
      <c r="BO291" s="3">
        <f t="shared" si="182"/>
        <v>0</v>
      </c>
      <c r="BP291" s="28" t="e">
        <f>#REF!</f>
        <v>#REF!</v>
      </c>
      <c r="BQ291" s="28" t="e">
        <f>#REF!*2</f>
        <v>#REF!</v>
      </c>
      <c r="BR291" s="28" t="e">
        <f>#REF!</f>
        <v>#REF!</v>
      </c>
      <c r="BS291" s="28" t="e">
        <f>#REF!*2</f>
        <v>#REF!</v>
      </c>
      <c r="BT291" s="28" t="e">
        <f>#REF!</f>
        <v>#REF!</v>
      </c>
      <c r="BU291" s="28" t="e">
        <f>#REF!*2</f>
        <v>#REF!</v>
      </c>
      <c r="BV291" s="28" t="e">
        <f>#REF!</f>
        <v>#REF!</v>
      </c>
      <c r="BW291" s="28" t="e">
        <f>#REF!*2</f>
        <v>#REF!</v>
      </c>
      <c r="BX291" s="28" t="e">
        <f>#REF!</f>
        <v>#REF!</v>
      </c>
      <c r="BY291" s="28" t="e">
        <f>#REF!*2</f>
        <v>#REF!</v>
      </c>
      <c r="BZ291" s="28" t="e">
        <f>#REF!</f>
        <v>#REF!</v>
      </c>
      <c r="CA291" s="28" t="e">
        <f>#REF!*2</f>
        <v>#REF!</v>
      </c>
      <c r="CB291" s="9">
        <f t="shared" si="183"/>
        <v>0</v>
      </c>
      <c r="CC291" s="9">
        <f t="shared" si="184"/>
        <v>0</v>
      </c>
      <c r="CD291" s="9">
        <f t="shared" si="185"/>
        <v>0</v>
      </c>
      <c r="CE291" s="9">
        <f t="shared" si="186"/>
        <v>0</v>
      </c>
      <c r="CF291" s="9">
        <f t="shared" si="187"/>
        <v>0</v>
      </c>
      <c r="CG291" s="33"/>
      <c r="CH291" s="3">
        <f t="shared" si="188"/>
        <v>0</v>
      </c>
      <c r="CI291" s="3">
        <f t="shared" si="189"/>
        <v>0</v>
      </c>
      <c r="CJ291" s="3">
        <f t="shared" si="190"/>
        <v>0</v>
      </c>
      <c r="CK291" s="3">
        <f t="shared" si="191"/>
        <v>0</v>
      </c>
      <c r="CL291" s="3">
        <f t="shared" si="192"/>
        <v>0</v>
      </c>
      <c r="CM291" s="32"/>
      <c r="CN291" s="3">
        <f t="shared" si="193"/>
        <v>0</v>
      </c>
      <c r="CO291" s="3">
        <f t="shared" si="194"/>
        <v>0</v>
      </c>
      <c r="CP291" s="3">
        <f t="shared" si="195"/>
        <v>0</v>
      </c>
      <c r="CQ291" s="3">
        <f t="shared" si="196"/>
        <v>0</v>
      </c>
      <c r="CR291" s="3">
        <f t="shared" si="197"/>
        <v>0</v>
      </c>
      <c r="CS291" s="31"/>
      <c r="CT291" s="3" cm="1">
        <f t="array" ref="CT291">SUMPRODUCT(--(MOD(CH291:CL291,2)=1))</f>
        <v>0</v>
      </c>
      <c r="CU291" s="3">
        <f t="shared" si="198"/>
        <v>5</v>
      </c>
      <c r="CV291" s="30"/>
      <c r="CW291" s="3" cm="1">
        <f t="array" ref="CW291">SUMPRODUCT(--(MOD(CH291:CL291,10)&gt;=1), --(MOD(CH291:CL291,10)&lt;=5))</f>
        <v>0</v>
      </c>
      <c r="CX291" s="3">
        <f t="shared" si="199"/>
        <v>5</v>
      </c>
      <c r="CY291" s="30"/>
      <c r="CZ291" s="3" cm="1">
        <f t="array" ref="CZ291">IFERROR(COUNT(_xlfn._xlws.FILTER(CH291:CL291, ISNUMBER(MATCH(CH291:CL291, {2,3,5,7,11,13,17,19,23,29,31,37,41,43}, 0)))), 0)</f>
        <v>0</v>
      </c>
      <c r="DA291" s="3" cm="1">
        <f t="array" ref="DA291">IFERROR(COUNT(_xlfn._xlws.FILTER(CH291:CL291, ISNUMBER(MATCH(CH291:CL291, {1,4,8,10,14,16,20,22,25,26,28,32,34,35,38,40,44}, 0)))), 0)</f>
        <v>0</v>
      </c>
      <c r="DB291" s="3" cm="1">
        <f t="array" ref="DB291">IFERROR(COUNT(_xlfn._xlws.FILTER(CH291:CL291, ISNUMBER(MATCH(CH291:CL291, {6,9,12,15,18,21,24,27,30,33,36,39,42,45}, 0)))), 0)</f>
        <v>0</v>
      </c>
      <c r="DC291" s="29"/>
      <c r="DD291" s="28" t="e">
        <f>#REF!</f>
        <v>#REF!</v>
      </c>
      <c r="DE291" s="28" t="e">
        <f>#REF!*2</f>
        <v>#REF!</v>
      </c>
      <c r="DF291" s="28" t="e">
        <f>#REF!</f>
        <v>#REF!</v>
      </c>
      <c r="DG291" s="28" t="e">
        <f>#REF!*2</f>
        <v>#REF!</v>
      </c>
      <c r="DH291" s="28" t="e">
        <f>#REF!</f>
        <v>#REF!</v>
      </c>
      <c r="DI291" s="28" t="e">
        <f>#REF!*2</f>
        <v>#REF!</v>
      </c>
      <c r="DJ291" s="28" t="e">
        <f>#REF!</f>
        <v>#REF!</v>
      </c>
      <c r="DK291" s="28" t="e">
        <f>#REF!*2</f>
        <v>#REF!</v>
      </c>
      <c r="DL291" s="28" t="e">
        <f>#REF!</f>
        <v>#REF!</v>
      </c>
      <c r="DM291" s="28" t="e">
        <f>#REF!*2</f>
        <v>#REF!</v>
      </c>
      <c r="DN291" s="27"/>
      <c r="DO291" s="26"/>
      <c r="DP291" s="26"/>
      <c r="DQ291" s="26"/>
      <c r="DR291" s="26"/>
      <c r="DS291" s="26"/>
      <c r="DT291" s="25"/>
    </row>
    <row r="292" spans="2:124" x14ac:dyDescent="0.3"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2"/>
      <c r="I292" s="3">
        <f t="shared" si="160"/>
        <v>0</v>
      </c>
      <c r="J292" s="3">
        <f t="shared" si="161"/>
        <v>0</v>
      </c>
      <c r="K292" s="3">
        <f t="shared" si="162"/>
        <v>0</v>
      </c>
      <c r="L292" s="3">
        <f t="shared" si="163"/>
        <v>0</v>
      </c>
      <c r="M292" s="3">
        <f t="shared" si="164"/>
        <v>0</v>
      </c>
      <c r="N292" s="3">
        <f t="shared" si="165"/>
        <v>0</v>
      </c>
      <c r="O292" s="32"/>
      <c r="P292" s="3" cm="1">
        <f t="array" ref="P292">SUMPRODUCT(--(MOD(B292:G292,2)=1))</f>
        <v>0</v>
      </c>
      <c r="Q292" s="3">
        <f t="shared" si="166"/>
        <v>6</v>
      </c>
      <c r="R292" s="34"/>
      <c r="S292" s="3">
        <f t="shared" si="167"/>
        <v>0</v>
      </c>
      <c r="T292" s="3">
        <f t="shared" si="168"/>
        <v>6</v>
      </c>
      <c r="U292" s="34"/>
      <c r="V292" s="3" cm="1">
        <f t="array" ref="V292">SUMPRODUCT(--(MOD(B292:G292,10)&gt;=1), --(MOD(B292:G292,10)&lt;=5))</f>
        <v>0</v>
      </c>
      <c r="W292" s="3">
        <f t="shared" si="169"/>
        <v>6</v>
      </c>
      <c r="X292" s="34"/>
      <c r="Y292" s="3" cm="1">
        <f t="array" ref="Y292">IFERROR(COUNT(_xlfn._xlws.FILTER(B292:G292, ISNUMBER(MATCH(B292:G292, {2,3,5,7,11,13,17,19,23,29,31,37,41,43}, 0)))), 0)</f>
        <v>0</v>
      </c>
      <c r="Z292" s="3" cm="1">
        <f t="array" ref="Z292">IFERROR(COUNT(_xlfn._xlws.FILTER(B292:G292, ISNUMBER(MATCH(B292:G292, {1,4,8,10,14,16,20,22,25,26,28,32,34,35,38,40,44}, 0)))), 0)</f>
        <v>0</v>
      </c>
      <c r="AA292" s="3" cm="1">
        <f t="array" ref="AA292">IFERROR(COUNT(_xlfn._xlws.FILTER(B292:G292, ISNUMBER(MATCH(B292:G292, {6,9,12,15,18,21,24,27,30,33,36,39,42,45}, 0)))), 0)</f>
        <v>0</v>
      </c>
      <c r="AB292" s="30"/>
      <c r="AC292" s="26" cm="1">
        <f t="array" ref="AC292">_xlfn.IFS(
   OR(B292="",ISBLANK(B292),B292=0),0,
   ISNUMBER(MATCH(B292,{2,3,5,7,11,13,17,19,23,29,31,37,41,43},0)),"소",
   AND(ISNUMBER(B292),MOD(B292,3)=0),"배",
   AND(ISNUMBER(B292),B292&gt;0),"자"
)</f>
        <v>0</v>
      </c>
      <c r="AD292" s="26" cm="1">
        <f t="array" ref="AD292">_xlfn.IFS(
   OR(C292="",ISBLANK(C292),C292=0),0,
   ISNUMBER(MATCH(C292,{2,3,5,7,11,13,17,19,23,29,31,37,41,43},0)),"소",
   AND(ISNUMBER(C292),MOD(C292,3)=0),"배",
   AND(ISNUMBER(C292),C292&gt;0),"자"
)</f>
        <v>0</v>
      </c>
      <c r="AE292" s="26" cm="1">
        <f t="array" ref="AE292">_xlfn.IFS(
   OR(D292="",ISBLANK(D292),D292=0),0,
   ISNUMBER(MATCH(D292,{2,3,5,7,11,13,17,19,23,29,31,37,41,43},0)),"소",
   AND(ISNUMBER(D292),MOD(D292,3)=0),"배",
   AND(ISNUMBER(D292),D292&gt;0),"자"
)</f>
        <v>0</v>
      </c>
      <c r="AF292" s="26" cm="1">
        <f t="array" ref="AF292">_xlfn.IFS(
   OR(E292="",ISBLANK(E292),E292=0),0,
   ISNUMBER(MATCH(E292,{2,3,5,7,11,13,17,19,23,29,31,37,41,43},0)),"소",
   AND(ISNUMBER(E292),MOD(E292,3)=0),"배",
   AND(ISNUMBER(E292),E292&gt;0),"자"
)</f>
        <v>0</v>
      </c>
      <c r="AG292" s="26" cm="1">
        <f t="array" ref="AG292">_xlfn.IFS(
   OR(F292="",ISBLANK(F292),F292=0),0,
   ISNUMBER(MATCH(F292,{2,3,5,7,11,13,17,19,23,29,31,37,41,43},0)),"소",
   AND(ISNUMBER(F292),MOD(F292,3)=0),"배",
   AND(ISNUMBER(F292),F292&gt;0),"자"
)</f>
        <v>0</v>
      </c>
      <c r="AH292" s="26" cm="1">
        <f t="array" ref="AH292">_xlfn.IFS(
   OR(G292="",ISBLANK(G292),G292=0),0,
   ISNUMBER(MATCH(G292,{2,3,5,7,11,13,17,19,23,29,31,37,41,43},0)),"소",
   AND(ISNUMBER(G292),MOD(G292,3)=0),"배",
   AND(ISNUMBER(G292),G292&gt;0),"자"
)</f>
        <v>0</v>
      </c>
      <c r="AI292" s="30"/>
      <c r="AJ292" s="3">
        <f t="shared" si="170"/>
        <v>0</v>
      </c>
      <c r="AK292" s="3">
        <f t="shared" si="171"/>
        <v>0</v>
      </c>
      <c r="AL292" s="3">
        <f t="shared" si="172"/>
        <v>6</v>
      </c>
      <c r="AM292" s="33"/>
      <c r="AN292" s="3">
        <f t="shared" si="173"/>
        <v>0</v>
      </c>
      <c r="AO292" s="3">
        <f t="shared" si="174"/>
        <v>0</v>
      </c>
      <c r="AP292" s="3">
        <f t="shared" si="175"/>
        <v>0</v>
      </c>
      <c r="AQ292" s="3">
        <f t="shared" si="176"/>
        <v>0</v>
      </c>
      <c r="AR292" s="3">
        <f t="shared" si="177"/>
        <v>0</v>
      </c>
      <c r="AS292" s="28" t="e">
        <f>#REF!</f>
        <v>#REF!</v>
      </c>
      <c r="AT292" s="28" t="e">
        <f>#REF!*2</f>
        <v>#REF!</v>
      </c>
      <c r="AU292" s="28" t="e">
        <f>#REF!</f>
        <v>#REF!</v>
      </c>
      <c r="AV292" s="28" t="e">
        <f>#REF!*2</f>
        <v>#REF!</v>
      </c>
      <c r="AW292" s="28" t="e">
        <f>#REF!</f>
        <v>#REF!</v>
      </c>
      <c r="AX292" s="28" t="e">
        <f>#REF!*2</f>
        <v>#REF!</v>
      </c>
      <c r="AY292" s="28" t="e">
        <f>#REF!</f>
        <v>#REF!</v>
      </c>
      <c r="AZ292" s="28" t="e">
        <f>#REF!*2</f>
        <v>#REF!</v>
      </c>
      <c r="BA292" s="28" t="e">
        <f>#REF!</f>
        <v>#REF!</v>
      </c>
      <c r="BB292" s="28" t="e">
        <f>#REF!*2</f>
        <v>#REF!</v>
      </c>
      <c r="BC292" s="28" t="e">
        <f>#REF!</f>
        <v>#REF!</v>
      </c>
      <c r="BD292" s="28" t="e">
        <f>#REF!*2</f>
        <v>#REF!</v>
      </c>
      <c r="BE292" s="9" t="e">
        <f>#REF!-#REF!</f>
        <v>#REF!</v>
      </c>
      <c r="BF292" s="9" t="e">
        <f>#REF!-#REF!</f>
        <v>#REF!</v>
      </c>
      <c r="BG292" s="9" t="e">
        <f>#REF!-#REF!</f>
        <v>#REF!</v>
      </c>
      <c r="BH292" s="9" t="e">
        <f>#REF!-#REF!</f>
        <v>#REF!</v>
      </c>
      <c r="BI292" s="9" t="e">
        <f>#REF!-#REF!</f>
        <v>#REF!</v>
      </c>
      <c r="BJ292" s="33"/>
      <c r="BK292" s="3">
        <f t="shared" si="178"/>
        <v>0</v>
      </c>
      <c r="BL292" s="3">
        <f t="shared" si="179"/>
        <v>0</v>
      </c>
      <c r="BM292" s="3">
        <f t="shared" si="180"/>
        <v>0</v>
      </c>
      <c r="BN292" s="3">
        <f t="shared" si="181"/>
        <v>0</v>
      </c>
      <c r="BO292" s="3">
        <f t="shared" si="182"/>
        <v>0</v>
      </c>
      <c r="BP292" s="28" t="e">
        <f>#REF!</f>
        <v>#REF!</v>
      </c>
      <c r="BQ292" s="28" t="e">
        <f>#REF!*2</f>
        <v>#REF!</v>
      </c>
      <c r="BR292" s="28" t="e">
        <f>#REF!</f>
        <v>#REF!</v>
      </c>
      <c r="BS292" s="28" t="e">
        <f>#REF!*2</f>
        <v>#REF!</v>
      </c>
      <c r="BT292" s="28" t="e">
        <f>#REF!</f>
        <v>#REF!</v>
      </c>
      <c r="BU292" s="28" t="e">
        <f>#REF!*2</f>
        <v>#REF!</v>
      </c>
      <c r="BV292" s="28" t="e">
        <f>#REF!</f>
        <v>#REF!</v>
      </c>
      <c r="BW292" s="28" t="e">
        <f>#REF!*2</f>
        <v>#REF!</v>
      </c>
      <c r="BX292" s="28" t="e">
        <f>#REF!</f>
        <v>#REF!</v>
      </c>
      <c r="BY292" s="28" t="e">
        <f>#REF!*2</f>
        <v>#REF!</v>
      </c>
      <c r="BZ292" s="28" t="e">
        <f>#REF!</f>
        <v>#REF!</v>
      </c>
      <c r="CA292" s="28" t="e">
        <f>#REF!*2</f>
        <v>#REF!</v>
      </c>
      <c r="CB292" s="9">
        <f t="shared" si="183"/>
        <v>0</v>
      </c>
      <c r="CC292" s="9">
        <f t="shared" si="184"/>
        <v>0</v>
      </c>
      <c r="CD292" s="9">
        <f t="shared" si="185"/>
        <v>0</v>
      </c>
      <c r="CE292" s="9">
        <f t="shared" si="186"/>
        <v>0</v>
      </c>
      <c r="CF292" s="9">
        <f t="shared" si="187"/>
        <v>0</v>
      </c>
      <c r="CG292" s="33"/>
      <c r="CH292" s="3">
        <f t="shared" si="188"/>
        <v>0</v>
      </c>
      <c r="CI292" s="3">
        <f t="shared" si="189"/>
        <v>0</v>
      </c>
      <c r="CJ292" s="3">
        <f t="shared" si="190"/>
        <v>0</v>
      </c>
      <c r="CK292" s="3">
        <f t="shared" si="191"/>
        <v>0</v>
      </c>
      <c r="CL292" s="3">
        <f t="shared" si="192"/>
        <v>0</v>
      </c>
      <c r="CM292" s="32"/>
      <c r="CN292" s="3">
        <f t="shared" si="193"/>
        <v>0</v>
      </c>
      <c r="CO292" s="3">
        <f t="shared" si="194"/>
        <v>0</v>
      </c>
      <c r="CP292" s="3">
        <f t="shared" si="195"/>
        <v>0</v>
      </c>
      <c r="CQ292" s="3">
        <f t="shared" si="196"/>
        <v>0</v>
      </c>
      <c r="CR292" s="3">
        <f t="shared" si="197"/>
        <v>0</v>
      </c>
      <c r="CS292" s="31"/>
      <c r="CT292" s="3" cm="1">
        <f t="array" ref="CT292">SUMPRODUCT(--(MOD(CH292:CL292,2)=1))</f>
        <v>0</v>
      </c>
      <c r="CU292" s="3">
        <f t="shared" si="198"/>
        <v>5</v>
      </c>
      <c r="CV292" s="30"/>
      <c r="CW292" s="3" cm="1">
        <f t="array" ref="CW292">SUMPRODUCT(--(MOD(CH292:CL292,10)&gt;=1), --(MOD(CH292:CL292,10)&lt;=5))</f>
        <v>0</v>
      </c>
      <c r="CX292" s="3">
        <f t="shared" si="199"/>
        <v>5</v>
      </c>
      <c r="CY292" s="30"/>
      <c r="CZ292" s="3" cm="1">
        <f t="array" ref="CZ292">IFERROR(COUNT(_xlfn._xlws.FILTER(CH292:CL292, ISNUMBER(MATCH(CH292:CL292, {2,3,5,7,11,13,17,19,23,29,31,37,41,43}, 0)))), 0)</f>
        <v>0</v>
      </c>
      <c r="DA292" s="3" cm="1">
        <f t="array" ref="DA292">IFERROR(COUNT(_xlfn._xlws.FILTER(CH292:CL292, ISNUMBER(MATCH(CH292:CL292, {1,4,8,10,14,16,20,22,25,26,28,32,34,35,38,40,44}, 0)))), 0)</f>
        <v>0</v>
      </c>
      <c r="DB292" s="3" cm="1">
        <f t="array" ref="DB292">IFERROR(COUNT(_xlfn._xlws.FILTER(CH292:CL292, ISNUMBER(MATCH(CH292:CL292, {6,9,12,15,18,21,24,27,30,33,36,39,42,45}, 0)))), 0)</f>
        <v>0</v>
      </c>
      <c r="DC292" s="29"/>
      <c r="DD292" s="28" t="e">
        <f>#REF!</f>
        <v>#REF!</v>
      </c>
      <c r="DE292" s="28" t="e">
        <f>#REF!*2</f>
        <v>#REF!</v>
      </c>
      <c r="DF292" s="28" t="e">
        <f>#REF!</f>
        <v>#REF!</v>
      </c>
      <c r="DG292" s="28" t="e">
        <f>#REF!*2</f>
        <v>#REF!</v>
      </c>
      <c r="DH292" s="28" t="e">
        <f>#REF!</f>
        <v>#REF!</v>
      </c>
      <c r="DI292" s="28" t="e">
        <f>#REF!*2</f>
        <v>#REF!</v>
      </c>
      <c r="DJ292" s="28" t="e">
        <f>#REF!</f>
        <v>#REF!</v>
      </c>
      <c r="DK292" s="28" t="e">
        <f>#REF!*2</f>
        <v>#REF!</v>
      </c>
      <c r="DL292" s="28" t="e">
        <f>#REF!</f>
        <v>#REF!</v>
      </c>
      <c r="DM292" s="28" t="e">
        <f>#REF!*2</f>
        <v>#REF!</v>
      </c>
      <c r="DN292" s="27"/>
      <c r="DO292" s="26"/>
      <c r="DP292" s="26"/>
      <c r="DQ292" s="26"/>
      <c r="DR292" s="26"/>
      <c r="DS292" s="26"/>
      <c r="DT292" s="25"/>
    </row>
    <row r="293" spans="2:124" x14ac:dyDescent="0.3"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2"/>
      <c r="I293" s="3">
        <f t="shared" si="160"/>
        <v>0</v>
      </c>
      <c r="J293" s="3">
        <f t="shared" si="161"/>
        <v>0</v>
      </c>
      <c r="K293" s="3">
        <f t="shared" si="162"/>
        <v>0</v>
      </c>
      <c r="L293" s="3">
        <f t="shared" si="163"/>
        <v>0</v>
      </c>
      <c r="M293" s="3">
        <f t="shared" si="164"/>
        <v>0</v>
      </c>
      <c r="N293" s="3">
        <f t="shared" si="165"/>
        <v>0</v>
      </c>
      <c r="O293" s="32"/>
      <c r="P293" s="3" cm="1">
        <f t="array" ref="P293">SUMPRODUCT(--(MOD(B293:G293,2)=1))</f>
        <v>0</v>
      </c>
      <c r="Q293" s="3">
        <f t="shared" si="166"/>
        <v>6</v>
      </c>
      <c r="R293" s="34"/>
      <c r="S293" s="3">
        <f t="shared" si="167"/>
        <v>0</v>
      </c>
      <c r="T293" s="3">
        <f t="shared" si="168"/>
        <v>6</v>
      </c>
      <c r="U293" s="34"/>
      <c r="V293" s="3" cm="1">
        <f t="array" ref="V293">SUMPRODUCT(--(MOD(B293:G293,10)&gt;=1), --(MOD(B293:G293,10)&lt;=5))</f>
        <v>0</v>
      </c>
      <c r="W293" s="3">
        <f t="shared" si="169"/>
        <v>6</v>
      </c>
      <c r="X293" s="34"/>
      <c r="Y293" s="3" cm="1">
        <f t="array" ref="Y293">IFERROR(COUNT(_xlfn._xlws.FILTER(B293:G293, ISNUMBER(MATCH(B293:G293, {2,3,5,7,11,13,17,19,23,29,31,37,41,43}, 0)))), 0)</f>
        <v>0</v>
      </c>
      <c r="Z293" s="3" cm="1">
        <f t="array" ref="Z293">IFERROR(COUNT(_xlfn._xlws.FILTER(B293:G293, ISNUMBER(MATCH(B293:G293, {1,4,8,10,14,16,20,22,25,26,28,32,34,35,38,40,44}, 0)))), 0)</f>
        <v>0</v>
      </c>
      <c r="AA293" s="3" cm="1">
        <f t="array" ref="AA293">IFERROR(COUNT(_xlfn._xlws.FILTER(B293:G293, ISNUMBER(MATCH(B293:G293, {6,9,12,15,18,21,24,27,30,33,36,39,42,45}, 0)))), 0)</f>
        <v>0</v>
      </c>
      <c r="AB293" s="30"/>
      <c r="AC293" s="26" cm="1">
        <f t="array" ref="AC293">_xlfn.IFS(
   OR(B293="",ISBLANK(B293),B293=0),0,
   ISNUMBER(MATCH(B293,{2,3,5,7,11,13,17,19,23,29,31,37,41,43},0)),"소",
   AND(ISNUMBER(B293),MOD(B293,3)=0),"배",
   AND(ISNUMBER(B293),B293&gt;0),"자"
)</f>
        <v>0</v>
      </c>
      <c r="AD293" s="26" cm="1">
        <f t="array" ref="AD293">_xlfn.IFS(
   OR(C293="",ISBLANK(C293),C293=0),0,
   ISNUMBER(MATCH(C293,{2,3,5,7,11,13,17,19,23,29,31,37,41,43},0)),"소",
   AND(ISNUMBER(C293),MOD(C293,3)=0),"배",
   AND(ISNUMBER(C293),C293&gt;0),"자"
)</f>
        <v>0</v>
      </c>
      <c r="AE293" s="26" cm="1">
        <f t="array" ref="AE293">_xlfn.IFS(
   OR(D293="",ISBLANK(D293),D293=0),0,
   ISNUMBER(MATCH(D293,{2,3,5,7,11,13,17,19,23,29,31,37,41,43},0)),"소",
   AND(ISNUMBER(D293),MOD(D293,3)=0),"배",
   AND(ISNUMBER(D293),D293&gt;0),"자"
)</f>
        <v>0</v>
      </c>
      <c r="AF293" s="26" cm="1">
        <f t="array" ref="AF293">_xlfn.IFS(
   OR(E293="",ISBLANK(E293),E293=0),0,
   ISNUMBER(MATCH(E293,{2,3,5,7,11,13,17,19,23,29,31,37,41,43},0)),"소",
   AND(ISNUMBER(E293),MOD(E293,3)=0),"배",
   AND(ISNUMBER(E293),E293&gt;0),"자"
)</f>
        <v>0</v>
      </c>
      <c r="AG293" s="26" cm="1">
        <f t="array" ref="AG293">_xlfn.IFS(
   OR(F293="",ISBLANK(F293),F293=0),0,
   ISNUMBER(MATCH(F293,{2,3,5,7,11,13,17,19,23,29,31,37,41,43},0)),"소",
   AND(ISNUMBER(F293),MOD(F293,3)=0),"배",
   AND(ISNUMBER(F293),F293&gt;0),"자"
)</f>
        <v>0</v>
      </c>
      <c r="AH293" s="26" cm="1">
        <f t="array" ref="AH293">_xlfn.IFS(
   OR(G293="",ISBLANK(G293),G293=0),0,
   ISNUMBER(MATCH(G293,{2,3,5,7,11,13,17,19,23,29,31,37,41,43},0)),"소",
   AND(ISNUMBER(G293),MOD(G293,3)=0),"배",
   AND(ISNUMBER(G293),G293&gt;0),"자"
)</f>
        <v>0</v>
      </c>
      <c r="AI293" s="30"/>
      <c r="AJ293" s="3">
        <f t="shared" si="170"/>
        <v>0</v>
      </c>
      <c r="AK293" s="3">
        <f t="shared" si="171"/>
        <v>0</v>
      </c>
      <c r="AL293" s="3">
        <f t="shared" si="172"/>
        <v>6</v>
      </c>
      <c r="AM293" s="33"/>
      <c r="AN293" s="3">
        <f t="shared" si="173"/>
        <v>0</v>
      </c>
      <c r="AO293" s="3">
        <f t="shared" si="174"/>
        <v>0</v>
      </c>
      <c r="AP293" s="3">
        <f t="shared" si="175"/>
        <v>0</v>
      </c>
      <c r="AQ293" s="3">
        <f t="shared" si="176"/>
        <v>0</v>
      </c>
      <c r="AR293" s="3">
        <f t="shared" si="177"/>
        <v>0</v>
      </c>
      <c r="AS293" s="28" t="e">
        <f>#REF!</f>
        <v>#REF!</v>
      </c>
      <c r="AT293" s="28" t="e">
        <f>#REF!*2</f>
        <v>#REF!</v>
      </c>
      <c r="AU293" s="28" t="e">
        <f>#REF!</f>
        <v>#REF!</v>
      </c>
      <c r="AV293" s="28" t="e">
        <f>#REF!*2</f>
        <v>#REF!</v>
      </c>
      <c r="AW293" s="28" t="e">
        <f>#REF!</f>
        <v>#REF!</v>
      </c>
      <c r="AX293" s="28" t="e">
        <f>#REF!*2</f>
        <v>#REF!</v>
      </c>
      <c r="AY293" s="28" t="e">
        <f>#REF!</f>
        <v>#REF!</v>
      </c>
      <c r="AZ293" s="28" t="e">
        <f>#REF!*2</f>
        <v>#REF!</v>
      </c>
      <c r="BA293" s="28" t="e">
        <f>#REF!</f>
        <v>#REF!</v>
      </c>
      <c r="BB293" s="28" t="e">
        <f>#REF!*2</f>
        <v>#REF!</v>
      </c>
      <c r="BC293" s="28" t="e">
        <f>#REF!</f>
        <v>#REF!</v>
      </c>
      <c r="BD293" s="28" t="e">
        <f>#REF!*2</f>
        <v>#REF!</v>
      </c>
      <c r="BE293" s="9" t="e">
        <f>#REF!-#REF!</f>
        <v>#REF!</v>
      </c>
      <c r="BF293" s="9" t="e">
        <f>#REF!-#REF!</f>
        <v>#REF!</v>
      </c>
      <c r="BG293" s="9" t="e">
        <f>#REF!-#REF!</f>
        <v>#REF!</v>
      </c>
      <c r="BH293" s="9" t="e">
        <f>#REF!-#REF!</f>
        <v>#REF!</v>
      </c>
      <c r="BI293" s="9" t="e">
        <f>#REF!-#REF!</f>
        <v>#REF!</v>
      </c>
      <c r="BJ293" s="33"/>
      <c r="BK293" s="3">
        <f t="shared" si="178"/>
        <v>0</v>
      </c>
      <c r="BL293" s="3">
        <f t="shared" si="179"/>
        <v>0</v>
      </c>
      <c r="BM293" s="3">
        <f t="shared" si="180"/>
        <v>0</v>
      </c>
      <c r="BN293" s="3">
        <f t="shared" si="181"/>
        <v>0</v>
      </c>
      <c r="BO293" s="3">
        <f t="shared" si="182"/>
        <v>0</v>
      </c>
      <c r="BP293" s="28" t="e">
        <f>#REF!</f>
        <v>#REF!</v>
      </c>
      <c r="BQ293" s="28" t="e">
        <f>#REF!*2</f>
        <v>#REF!</v>
      </c>
      <c r="BR293" s="28" t="e">
        <f>#REF!</f>
        <v>#REF!</v>
      </c>
      <c r="BS293" s="28" t="e">
        <f>#REF!*2</f>
        <v>#REF!</v>
      </c>
      <c r="BT293" s="28" t="e">
        <f>#REF!</f>
        <v>#REF!</v>
      </c>
      <c r="BU293" s="28" t="e">
        <f>#REF!*2</f>
        <v>#REF!</v>
      </c>
      <c r="BV293" s="28" t="e">
        <f>#REF!</f>
        <v>#REF!</v>
      </c>
      <c r="BW293" s="28" t="e">
        <f>#REF!*2</f>
        <v>#REF!</v>
      </c>
      <c r="BX293" s="28" t="e">
        <f>#REF!</f>
        <v>#REF!</v>
      </c>
      <c r="BY293" s="28" t="e">
        <f>#REF!*2</f>
        <v>#REF!</v>
      </c>
      <c r="BZ293" s="28" t="e">
        <f>#REF!</f>
        <v>#REF!</v>
      </c>
      <c r="CA293" s="28" t="e">
        <f>#REF!*2</f>
        <v>#REF!</v>
      </c>
      <c r="CB293" s="9">
        <f t="shared" si="183"/>
        <v>0</v>
      </c>
      <c r="CC293" s="9">
        <f t="shared" si="184"/>
        <v>0</v>
      </c>
      <c r="CD293" s="9">
        <f t="shared" si="185"/>
        <v>0</v>
      </c>
      <c r="CE293" s="9">
        <f t="shared" si="186"/>
        <v>0</v>
      </c>
      <c r="CF293" s="9">
        <f t="shared" si="187"/>
        <v>0</v>
      </c>
      <c r="CG293" s="33"/>
      <c r="CH293" s="3">
        <f t="shared" si="188"/>
        <v>0</v>
      </c>
      <c r="CI293" s="3">
        <f t="shared" si="189"/>
        <v>0</v>
      </c>
      <c r="CJ293" s="3">
        <f t="shared" si="190"/>
        <v>0</v>
      </c>
      <c r="CK293" s="3">
        <f t="shared" si="191"/>
        <v>0</v>
      </c>
      <c r="CL293" s="3">
        <f t="shared" si="192"/>
        <v>0</v>
      </c>
      <c r="CM293" s="32"/>
      <c r="CN293" s="3">
        <f t="shared" si="193"/>
        <v>0</v>
      </c>
      <c r="CO293" s="3">
        <f t="shared" si="194"/>
        <v>0</v>
      </c>
      <c r="CP293" s="3">
        <f t="shared" si="195"/>
        <v>0</v>
      </c>
      <c r="CQ293" s="3">
        <f t="shared" si="196"/>
        <v>0</v>
      </c>
      <c r="CR293" s="3">
        <f t="shared" si="197"/>
        <v>0</v>
      </c>
      <c r="CS293" s="31"/>
      <c r="CT293" s="3" cm="1">
        <f t="array" ref="CT293">SUMPRODUCT(--(MOD(CH293:CL293,2)=1))</f>
        <v>0</v>
      </c>
      <c r="CU293" s="3">
        <f t="shared" si="198"/>
        <v>5</v>
      </c>
      <c r="CV293" s="30"/>
      <c r="CW293" s="3" cm="1">
        <f t="array" ref="CW293">SUMPRODUCT(--(MOD(CH293:CL293,10)&gt;=1), --(MOD(CH293:CL293,10)&lt;=5))</f>
        <v>0</v>
      </c>
      <c r="CX293" s="3">
        <f t="shared" si="199"/>
        <v>5</v>
      </c>
      <c r="CY293" s="30"/>
      <c r="CZ293" s="3" cm="1">
        <f t="array" ref="CZ293">IFERROR(COUNT(_xlfn._xlws.FILTER(CH293:CL293, ISNUMBER(MATCH(CH293:CL293, {2,3,5,7,11,13,17,19,23,29,31,37,41,43}, 0)))), 0)</f>
        <v>0</v>
      </c>
      <c r="DA293" s="3" cm="1">
        <f t="array" ref="DA293">IFERROR(COUNT(_xlfn._xlws.FILTER(CH293:CL293, ISNUMBER(MATCH(CH293:CL293, {1,4,8,10,14,16,20,22,25,26,28,32,34,35,38,40,44}, 0)))), 0)</f>
        <v>0</v>
      </c>
      <c r="DB293" s="3" cm="1">
        <f t="array" ref="DB293">IFERROR(COUNT(_xlfn._xlws.FILTER(CH293:CL293, ISNUMBER(MATCH(CH293:CL293, {6,9,12,15,18,21,24,27,30,33,36,39,42,45}, 0)))), 0)</f>
        <v>0</v>
      </c>
      <c r="DC293" s="29"/>
      <c r="DD293" s="28" t="e">
        <f>#REF!</f>
        <v>#REF!</v>
      </c>
      <c r="DE293" s="28" t="e">
        <f>#REF!*2</f>
        <v>#REF!</v>
      </c>
      <c r="DF293" s="28" t="e">
        <f>#REF!</f>
        <v>#REF!</v>
      </c>
      <c r="DG293" s="28" t="e">
        <f>#REF!*2</f>
        <v>#REF!</v>
      </c>
      <c r="DH293" s="28" t="e">
        <f>#REF!</f>
        <v>#REF!</v>
      </c>
      <c r="DI293" s="28" t="e">
        <f>#REF!*2</f>
        <v>#REF!</v>
      </c>
      <c r="DJ293" s="28" t="e">
        <f>#REF!</f>
        <v>#REF!</v>
      </c>
      <c r="DK293" s="28" t="e">
        <f>#REF!*2</f>
        <v>#REF!</v>
      </c>
      <c r="DL293" s="28" t="e">
        <f>#REF!</f>
        <v>#REF!</v>
      </c>
      <c r="DM293" s="28" t="e">
        <f>#REF!*2</f>
        <v>#REF!</v>
      </c>
      <c r="DN293" s="27"/>
      <c r="DO293" s="26"/>
      <c r="DP293" s="26"/>
      <c r="DQ293" s="26"/>
      <c r="DR293" s="26"/>
      <c r="DS293" s="26"/>
      <c r="DT293" s="25"/>
    </row>
    <row r="294" spans="2:124" x14ac:dyDescent="0.3"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2"/>
      <c r="I294" s="3">
        <f t="shared" si="160"/>
        <v>0</v>
      </c>
      <c r="J294" s="3">
        <f t="shared" si="161"/>
        <v>0</v>
      </c>
      <c r="K294" s="3">
        <f t="shared" si="162"/>
        <v>0</v>
      </c>
      <c r="L294" s="3">
        <f t="shared" si="163"/>
        <v>0</v>
      </c>
      <c r="M294" s="3">
        <f t="shared" si="164"/>
        <v>0</v>
      </c>
      <c r="N294" s="3">
        <f t="shared" si="165"/>
        <v>0</v>
      </c>
      <c r="O294" s="32"/>
      <c r="P294" s="3" cm="1">
        <f t="array" ref="P294">SUMPRODUCT(--(MOD(B294:G294,2)=1))</f>
        <v>0</v>
      </c>
      <c r="Q294" s="3">
        <f t="shared" si="166"/>
        <v>6</v>
      </c>
      <c r="R294" s="34"/>
      <c r="S294" s="3">
        <f t="shared" si="167"/>
        <v>0</v>
      </c>
      <c r="T294" s="3">
        <f t="shared" si="168"/>
        <v>6</v>
      </c>
      <c r="U294" s="34"/>
      <c r="V294" s="3" cm="1">
        <f t="array" ref="V294">SUMPRODUCT(--(MOD(B294:G294,10)&gt;=1), --(MOD(B294:G294,10)&lt;=5))</f>
        <v>0</v>
      </c>
      <c r="W294" s="3">
        <f t="shared" si="169"/>
        <v>6</v>
      </c>
      <c r="X294" s="34"/>
      <c r="Y294" s="3" cm="1">
        <f t="array" ref="Y294">IFERROR(COUNT(_xlfn._xlws.FILTER(B294:G294, ISNUMBER(MATCH(B294:G294, {2,3,5,7,11,13,17,19,23,29,31,37,41,43}, 0)))), 0)</f>
        <v>0</v>
      </c>
      <c r="Z294" s="3" cm="1">
        <f t="array" ref="Z294">IFERROR(COUNT(_xlfn._xlws.FILTER(B294:G294, ISNUMBER(MATCH(B294:G294, {1,4,8,10,14,16,20,22,25,26,28,32,34,35,38,40,44}, 0)))), 0)</f>
        <v>0</v>
      </c>
      <c r="AA294" s="3" cm="1">
        <f t="array" ref="AA294">IFERROR(COUNT(_xlfn._xlws.FILTER(B294:G294, ISNUMBER(MATCH(B294:G294, {6,9,12,15,18,21,24,27,30,33,36,39,42,45}, 0)))), 0)</f>
        <v>0</v>
      </c>
      <c r="AB294" s="30"/>
      <c r="AC294" s="26" cm="1">
        <f t="array" ref="AC294">_xlfn.IFS(
   OR(B294="",ISBLANK(B294),B294=0),0,
   ISNUMBER(MATCH(B294,{2,3,5,7,11,13,17,19,23,29,31,37,41,43},0)),"소",
   AND(ISNUMBER(B294),MOD(B294,3)=0),"배",
   AND(ISNUMBER(B294),B294&gt;0),"자"
)</f>
        <v>0</v>
      </c>
      <c r="AD294" s="26" cm="1">
        <f t="array" ref="AD294">_xlfn.IFS(
   OR(C294="",ISBLANK(C294),C294=0),0,
   ISNUMBER(MATCH(C294,{2,3,5,7,11,13,17,19,23,29,31,37,41,43},0)),"소",
   AND(ISNUMBER(C294),MOD(C294,3)=0),"배",
   AND(ISNUMBER(C294),C294&gt;0),"자"
)</f>
        <v>0</v>
      </c>
      <c r="AE294" s="26" cm="1">
        <f t="array" ref="AE294">_xlfn.IFS(
   OR(D294="",ISBLANK(D294),D294=0),0,
   ISNUMBER(MATCH(D294,{2,3,5,7,11,13,17,19,23,29,31,37,41,43},0)),"소",
   AND(ISNUMBER(D294),MOD(D294,3)=0),"배",
   AND(ISNUMBER(D294),D294&gt;0),"자"
)</f>
        <v>0</v>
      </c>
      <c r="AF294" s="26" cm="1">
        <f t="array" ref="AF294">_xlfn.IFS(
   OR(E294="",ISBLANK(E294),E294=0),0,
   ISNUMBER(MATCH(E294,{2,3,5,7,11,13,17,19,23,29,31,37,41,43},0)),"소",
   AND(ISNUMBER(E294),MOD(E294,3)=0),"배",
   AND(ISNUMBER(E294),E294&gt;0),"자"
)</f>
        <v>0</v>
      </c>
      <c r="AG294" s="26" cm="1">
        <f t="array" ref="AG294">_xlfn.IFS(
   OR(F294="",ISBLANK(F294),F294=0),0,
   ISNUMBER(MATCH(F294,{2,3,5,7,11,13,17,19,23,29,31,37,41,43},0)),"소",
   AND(ISNUMBER(F294),MOD(F294,3)=0),"배",
   AND(ISNUMBER(F294),F294&gt;0),"자"
)</f>
        <v>0</v>
      </c>
      <c r="AH294" s="26" cm="1">
        <f t="array" ref="AH294">_xlfn.IFS(
   OR(G294="",ISBLANK(G294),G294=0),0,
   ISNUMBER(MATCH(G294,{2,3,5,7,11,13,17,19,23,29,31,37,41,43},0)),"소",
   AND(ISNUMBER(G294),MOD(G294,3)=0),"배",
   AND(ISNUMBER(G294),G294&gt;0),"자"
)</f>
        <v>0</v>
      </c>
      <c r="AI294" s="30"/>
      <c r="AJ294" s="3">
        <f t="shared" si="170"/>
        <v>0</v>
      </c>
      <c r="AK294" s="3">
        <f t="shared" si="171"/>
        <v>0</v>
      </c>
      <c r="AL294" s="3">
        <f t="shared" si="172"/>
        <v>6</v>
      </c>
      <c r="AM294" s="33"/>
      <c r="AN294" s="3">
        <f t="shared" si="173"/>
        <v>0</v>
      </c>
      <c r="AO294" s="3">
        <f t="shared" si="174"/>
        <v>0</v>
      </c>
      <c r="AP294" s="3">
        <f t="shared" si="175"/>
        <v>0</v>
      </c>
      <c r="AQ294" s="3">
        <f t="shared" si="176"/>
        <v>0</v>
      </c>
      <c r="AR294" s="3">
        <f t="shared" si="177"/>
        <v>0</v>
      </c>
      <c r="AS294" s="28" t="e">
        <f>#REF!</f>
        <v>#REF!</v>
      </c>
      <c r="AT294" s="28" t="e">
        <f>#REF!*2</f>
        <v>#REF!</v>
      </c>
      <c r="AU294" s="28" t="e">
        <f>#REF!</f>
        <v>#REF!</v>
      </c>
      <c r="AV294" s="28" t="e">
        <f>#REF!*2</f>
        <v>#REF!</v>
      </c>
      <c r="AW294" s="28" t="e">
        <f>#REF!</f>
        <v>#REF!</v>
      </c>
      <c r="AX294" s="28" t="e">
        <f>#REF!*2</f>
        <v>#REF!</v>
      </c>
      <c r="AY294" s="28" t="e">
        <f>#REF!</f>
        <v>#REF!</v>
      </c>
      <c r="AZ294" s="28" t="e">
        <f>#REF!*2</f>
        <v>#REF!</v>
      </c>
      <c r="BA294" s="28" t="e">
        <f>#REF!</f>
        <v>#REF!</v>
      </c>
      <c r="BB294" s="28" t="e">
        <f>#REF!*2</f>
        <v>#REF!</v>
      </c>
      <c r="BC294" s="28" t="e">
        <f>#REF!</f>
        <v>#REF!</v>
      </c>
      <c r="BD294" s="28" t="e">
        <f>#REF!*2</f>
        <v>#REF!</v>
      </c>
      <c r="BE294" s="9" t="e">
        <f>#REF!-#REF!</f>
        <v>#REF!</v>
      </c>
      <c r="BF294" s="9" t="e">
        <f>#REF!-#REF!</f>
        <v>#REF!</v>
      </c>
      <c r="BG294" s="9" t="e">
        <f>#REF!-#REF!</f>
        <v>#REF!</v>
      </c>
      <c r="BH294" s="9" t="e">
        <f>#REF!-#REF!</f>
        <v>#REF!</v>
      </c>
      <c r="BI294" s="9" t="e">
        <f>#REF!-#REF!</f>
        <v>#REF!</v>
      </c>
      <c r="BJ294" s="33"/>
      <c r="BK294" s="3">
        <f t="shared" si="178"/>
        <v>0</v>
      </c>
      <c r="BL294" s="3">
        <f t="shared" si="179"/>
        <v>0</v>
      </c>
      <c r="BM294" s="3">
        <f t="shared" si="180"/>
        <v>0</v>
      </c>
      <c r="BN294" s="3">
        <f t="shared" si="181"/>
        <v>0</v>
      </c>
      <c r="BO294" s="3">
        <f t="shared" si="182"/>
        <v>0</v>
      </c>
      <c r="BP294" s="28" t="e">
        <f>#REF!</f>
        <v>#REF!</v>
      </c>
      <c r="BQ294" s="28" t="e">
        <f>#REF!*2</f>
        <v>#REF!</v>
      </c>
      <c r="BR294" s="28" t="e">
        <f>#REF!</f>
        <v>#REF!</v>
      </c>
      <c r="BS294" s="28" t="e">
        <f>#REF!*2</f>
        <v>#REF!</v>
      </c>
      <c r="BT294" s="28" t="e">
        <f>#REF!</f>
        <v>#REF!</v>
      </c>
      <c r="BU294" s="28" t="e">
        <f>#REF!*2</f>
        <v>#REF!</v>
      </c>
      <c r="BV294" s="28" t="e">
        <f>#REF!</f>
        <v>#REF!</v>
      </c>
      <c r="BW294" s="28" t="e">
        <f>#REF!*2</f>
        <v>#REF!</v>
      </c>
      <c r="BX294" s="28" t="e">
        <f>#REF!</f>
        <v>#REF!</v>
      </c>
      <c r="BY294" s="28" t="e">
        <f>#REF!*2</f>
        <v>#REF!</v>
      </c>
      <c r="BZ294" s="28" t="e">
        <f>#REF!</f>
        <v>#REF!</v>
      </c>
      <c r="CA294" s="28" t="e">
        <f>#REF!*2</f>
        <v>#REF!</v>
      </c>
      <c r="CB294" s="9">
        <f t="shared" si="183"/>
        <v>0</v>
      </c>
      <c r="CC294" s="9">
        <f t="shared" si="184"/>
        <v>0</v>
      </c>
      <c r="CD294" s="9">
        <f t="shared" si="185"/>
        <v>0</v>
      </c>
      <c r="CE294" s="9">
        <f t="shared" si="186"/>
        <v>0</v>
      </c>
      <c r="CF294" s="9">
        <f t="shared" si="187"/>
        <v>0</v>
      </c>
      <c r="CG294" s="33"/>
      <c r="CH294" s="3">
        <f t="shared" si="188"/>
        <v>0</v>
      </c>
      <c r="CI294" s="3">
        <f t="shared" si="189"/>
        <v>0</v>
      </c>
      <c r="CJ294" s="3">
        <f t="shared" si="190"/>
        <v>0</v>
      </c>
      <c r="CK294" s="3">
        <f t="shared" si="191"/>
        <v>0</v>
      </c>
      <c r="CL294" s="3">
        <f t="shared" si="192"/>
        <v>0</v>
      </c>
      <c r="CM294" s="32"/>
      <c r="CN294" s="3">
        <f t="shared" si="193"/>
        <v>0</v>
      </c>
      <c r="CO294" s="3">
        <f t="shared" si="194"/>
        <v>0</v>
      </c>
      <c r="CP294" s="3">
        <f t="shared" si="195"/>
        <v>0</v>
      </c>
      <c r="CQ294" s="3">
        <f t="shared" si="196"/>
        <v>0</v>
      </c>
      <c r="CR294" s="3">
        <f t="shared" si="197"/>
        <v>0</v>
      </c>
      <c r="CS294" s="31"/>
      <c r="CT294" s="3" cm="1">
        <f t="array" ref="CT294">SUMPRODUCT(--(MOD(CH294:CL294,2)=1))</f>
        <v>0</v>
      </c>
      <c r="CU294" s="3">
        <f t="shared" si="198"/>
        <v>5</v>
      </c>
      <c r="CV294" s="30"/>
      <c r="CW294" s="3" cm="1">
        <f t="array" ref="CW294">SUMPRODUCT(--(MOD(CH294:CL294,10)&gt;=1), --(MOD(CH294:CL294,10)&lt;=5))</f>
        <v>0</v>
      </c>
      <c r="CX294" s="3">
        <f t="shared" si="199"/>
        <v>5</v>
      </c>
      <c r="CY294" s="30"/>
      <c r="CZ294" s="3" cm="1">
        <f t="array" ref="CZ294">IFERROR(COUNT(_xlfn._xlws.FILTER(CH294:CL294, ISNUMBER(MATCH(CH294:CL294, {2,3,5,7,11,13,17,19,23,29,31,37,41,43}, 0)))), 0)</f>
        <v>0</v>
      </c>
      <c r="DA294" s="3" cm="1">
        <f t="array" ref="DA294">IFERROR(COUNT(_xlfn._xlws.FILTER(CH294:CL294, ISNUMBER(MATCH(CH294:CL294, {1,4,8,10,14,16,20,22,25,26,28,32,34,35,38,40,44}, 0)))), 0)</f>
        <v>0</v>
      </c>
      <c r="DB294" s="3" cm="1">
        <f t="array" ref="DB294">IFERROR(COUNT(_xlfn._xlws.FILTER(CH294:CL294, ISNUMBER(MATCH(CH294:CL294, {6,9,12,15,18,21,24,27,30,33,36,39,42,45}, 0)))), 0)</f>
        <v>0</v>
      </c>
      <c r="DC294" s="29"/>
      <c r="DD294" s="28" t="e">
        <f>#REF!</f>
        <v>#REF!</v>
      </c>
      <c r="DE294" s="28" t="e">
        <f>#REF!*2</f>
        <v>#REF!</v>
      </c>
      <c r="DF294" s="28" t="e">
        <f>#REF!</f>
        <v>#REF!</v>
      </c>
      <c r="DG294" s="28" t="e">
        <f>#REF!*2</f>
        <v>#REF!</v>
      </c>
      <c r="DH294" s="28" t="e">
        <f>#REF!</f>
        <v>#REF!</v>
      </c>
      <c r="DI294" s="28" t="e">
        <f>#REF!*2</f>
        <v>#REF!</v>
      </c>
      <c r="DJ294" s="28" t="e">
        <f>#REF!</f>
        <v>#REF!</v>
      </c>
      <c r="DK294" s="28" t="e">
        <f>#REF!*2</f>
        <v>#REF!</v>
      </c>
      <c r="DL294" s="28" t="e">
        <f>#REF!</f>
        <v>#REF!</v>
      </c>
      <c r="DM294" s="28" t="e">
        <f>#REF!*2</f>
        <v>#REF!</v>
      </c>
      <c r="DN294" s="27"/>
      <c r="DO294" s="26"/>
      <c r="DP294" s="26"/>
      <c r="DQ294" s="26"/>
      <c r="DR294" s="26"/>
      <c r="DS294" s="26"/>
      <c r="DT294" s="25"/>
    </row>
    <row r="295" spans="2:124" x14ac:dyDescent="0.3"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2"/>
      <c r="I295" s="3">
        <f t="shared" si="160"/>
        <v>0</v>
      </c>
      <c r="J295" s="3">
        <f t="shared" si="161"/>
        <v>0</v>
      </c>
      <c r="K295" s="3">
        <f t="shared" si="162"/>
        <v>0</v>
      </c>
      <c r="L295" s="3">
        <f t="shared" si="163"/>
        <v>0</v>
      </c>
      <c r="M295" s="3">
        <f t="shared" si="164"/>
        <v>0</v>
      </c>
      <c r="N295" s="3">
        <f t="shared" si="165"/>
        <v>0</v>
      </c>
      <c r="O295" s="32"/>
      <c r="P295" s="3" cm="1">
        <f t="array" ref="P295">SUMPRODUCT(--(MOD(B295:G295,2)=1))</f>
        <v>0</v>
      </c>
      <c r="Q295" s="3">
        <f t="shared" si="166"/>
        <v>6</v>
      </c>
      <c r="R295" s="34"/>
      <c r="S295" s="3">
        <f t="shared" si="167"/>
        <v>0</v>
      </c>
      <c r="T295" s="3">
        <f t="shared" si="168"/>
        <v>6</v>
      </c>
      <c r="U295" s="34"/>
      <c r="V295" s="3" cm="1">
        <f t="array" ref="V295">SUMPRODUCT(--(MOD(B295:G295,10)&gt;=1), --(MOD(B295:G295,10)&lt;=5))</f>
        <v>0</v>
      </c>
      <c r="W295" s="3">
        <f t="shared" si="169"/>
        <v>6</v>
      </c>
      <c r="X295" s="34"/>
      <c r="Y295" s="3" cm="1">
        <f t="array" ref="Y295">IFERROR(COUNT(_xlfn._xlws.FILTER(B295:G295, ISNUMBER(MATCH(B295:G295, {2,3,5,7,11,13,17,19,23,29,31,37,41,43}, 0)))), 0)</f>
        <v>0</v>
      </c>
      <c r="Z295" s="3" cm="1">
        <f t="array" ref="Z295">IFERROR(COUNT(_xlfn._xlws.FILTER(B295:G295, ISNUMBER(MATCH(B295:G295, {1,4,8,10,14,16,20,22,25,26,28,32,34,35,38,40,44}, 0)))), 0)</f>
        <v>0</v>
      </c>
      <c r="AA295" s="3" cm="1">
        <f t="array" ref="AA295">IFERROR(COUNT(_xlfn._xlws.FILTER(B295:G295, ISNUMBER(MATCH(B295:G295, {6,9,12,15,18,21,24,27,30,33,36,39,42,45}, 0)))), 0)</f>
        <v>0</v>
      </c>
      <c r="AB295" s="30"/>
      <c r="AC295" s="26" cm="1">
        <f t="array" ref="AC295">_xlfn.IFS(
   OR(B295="",ISBLANK(B295),B295=0),0,
   ISNUMBER(MATCH(B295,{2,3,5,7,11,13,17,19,23,29,31,37,41,43},0)),"소",
   AND(ISNUMBER(B295),MOD(B295,3)=0),"배",
   AND(ISNUMBER(B295),B295&gt;0),"자"
)</f>
        <v>0</v>
      </c>
      <c r="AD295" s="26" cm="1">
        <f t="array" ref="AD295">_xlfn.IFS(
   OR(C295="",ISBLANK(C295),C295=0),0,
   ISNUMBER(MATCH(C295,{2,3,5,7,11,13,17,19,23,29,31,37,41,43},0)),"소",
   AND(ISNUMBER(C295),MOD(C295,3)=0),"배",
   AND(ISNUMBER(C295),C295&gt;0),"자"
)</f>
        <v>0</v>
      </c>
      <c r="AE295" s="26" cm="1">
        <f t="array" ref="AE295">_xlfn.IFS(
   OR(D295="",ISBLANK(D295),D295=0),0,
   ISNUMBER(MATCH(D295,{2,3,5,7,11,13,17,19,23,29,31,37,41,43},0)),"소",
   AND(ISNUMBER(D295),MOD(D295,3)=0),"배",
   AND(ISNUMBER(D295),D295&gt;0),"자"
)</f>
        <v>0</v>
      </c>
      <c r="AF295" s="26" cm="1">
        <f t="array" ref="AF295">_xlfn.IFS(
   OR(E295="",ISBLANK(E295),E295=0),0,
   ISNUMBER(MATCH(E295,{2,3,5,7,11,13,17,19,23,29,31,37,41,43},0)),"소",
   AND(ISNUMBER(E295),MOD(E295,3)=0),"배",
   AND(ISNUMBER(E295),E295&gt;0),"자"
)</f>
        <v>0</v>
      </c>
      <c r="AG295" s="26" cm="1">
        <f t="array" ref="AG295">_xlfn.IFS(
   OR(F295="",ISBLANK(F295),F295=0),0,
   ISNUMBER(MATCH(F295,{2,3,5,7,11,13,17,19,23,29,31,37,41,43},0)),"소",
   AND(ISNUMBER(F295),MOD(F295,3)=0),"배",
   AND(ISNUMBER(F295),F295&gt;0),"자"
)</f>
        <v>0</v>
      </c>
      <c r="AH295" s="26" cm="1">
        <f t="array" ref="AH295">_xlfn.IFS(
   OR(G295="",ISBLANK(G295),G295=0),0,
   ISNUMBER(MATCH(G295,{2,3,5,7,11,13,17,19,23,29,31,37,41,43},0)),"소",
   AND(ISNUMBER(G295),MOD(G295,3)=0),"배",
   AND(ISNUMBER(G295),G295&gt;0),"자"
)</f>
        <v>0</v>
      </c>
      <c r="AI295" s="30"/>
      <c r="AJ295" s="3">
        <f t="shared" si="170"/>
        <v>0</v>
      </c>
      <c r="AK295" s="3">
        <f t="shared" si="171"/>
        <v>0</v>
      </c>
      <c r="AL295" s="3">
        <f t="shared" si="172"/>
        <v>6</v>
      </c>
      <c r="AM295" s="33"/>
      <c r="AN295" s="3">
        <f t="shared" si="173"/>
        <v>0</v>
      </c>
      <c r="AO295" s="3">
        <f t="shared" si="174"/>
        <v>0</v>
      </c>
      <c r="AP295" s="3">
        <f t="shared" si="175"/>
        <v>0</v>
      </c>
      <c r="AQ295" s="3">
        <f t="shared" si="176"/>
        <v>0</v>
      </c>
      <c r="AR295" s="3">
        <f t="shared" si="177"/>
        <v>0</v>
      </c>
      <c r="AS295" s="28" t="e">
        <f>#REF!</f>
        <v>#REF!</v>
      </c>
      <c r="AT295" s="28" t="e">
        <f>#REF!*2</f>
        <v>#REF!</v>
      </c>
      <c r="AU295" s="28" t="e">
        <f>#REF!</f>
        <v>#REF!</v>
      </c>
      <c r="AV295" s="28" t="e">
        <f>#REF!*2</f>
        <v>#REF!</v>
      </c>
      <c r="AW295" s="28" t="e">
        <f>#REF!</f>
        <v>#REF!</v>
      </c>
      <c r="AX295" s="28" t="e">
        <f>#REF!*2</f>
        <v>#REF!</v>
      </c>
      <c r="AY295" s="28" t="e">
        <f>#REF!</f>
        <v>#REF!</v>
      </c>
      <c r="AZ295" s="28" t="e">
        <f>#REF!*2</f>
        <v>#REF!</v>
      </c>
      <c r="BA295" s="28" t="e">
        <f>#REF!</f>
        <v>#REF!</v>
      </c>
      <c r="BB295" s="28" t="e">
        <f>#REF!*2</f>
        <v>#REF!</v>
      </c>
      <c r="BC295" s="28" t="e">
        <f>#REF!</f>
        <v>#REF!</v>
      </c>
      <c r="BD295" s="28" t="e">
        <f>#REF!*2</f>
        <v>#REF!</v>
      </c>
      <c r="BE295" s="9" t="e">
        <f>#REF!-#REF!</f>
        <v>#REF!</v>
      </c>
      <c r="BF295" s="9" t="e">
        <f>#REF!-#REF!</f>
        <v>#REF!</v>
      </c>
      <c r="BG295" s="9" t="e">
        <f>#REF!-#REF!</f>
        <v>#REF!</v>
      </c>
      <c r="BH295" s="9" t="e">
        <f>#REF!-#REF!</f>
        <v>#REF!</v>
      </c>
      <c r="BI295" s="9" t="e">
        <f>#REF!-#REF!</f>
        <v>#REF!</v>
      </c>
      <c r="BJ295" s="33"/>
      <c r="BK295" s="3">
        <f t="shared" si="178"/>
        <v>0</v>
      </c>
      <c r="BL295" s="3">
        <f t="shared" si="179"/>
        <v>0</v>
      </c>
      <c r="BM295" s="3">
        <f t="shared" si="180"/>
        <v>0</v>
      </c>
      <c r="BN295" s="3">
        <f t="shared" si="181"/>
        <v>0</v>
      </c>
      <c r="BO295" s="3">
        <f t="shared" si="182"/>
        <v>0</v>
      </c>
      <c r="BP295" s="28" t="e">
        <f>#REF!</f>
        <v>#REF!</v>
      </c>
      <c r="BQ295" s="28" t="e">
        <f>#REF!*2</f>
        <v>#REF!</v>
      </c>
      <c r="BR295" s="28" t="e">
        <f>#REF!</f>
        <v>#REF!</v>
      </c>
      <c r="BS295" s="28" t="e">
        <f>#REF!*2</f>
        <v>#REF!</v>
      </c>
      <c r="BT295" s="28" t="e">
        <f>#REF!</f>
        <v>#REF!</v>
      </c>
      <c r="BU295" s="28" t="e">
        <f>#REF!*2</f>
        <v>#REF!</v>
      </c>
      <c r="BV295" s="28" t="e">
        <f>#REF!</f>
        <v>#REF!</v>
      </c>
      <c r="BW295" s="28" t="e">
        <f>#REF!*2</f>
        <v>#REF!</v>
      </c>
      <c r="BX295" s="28" t="e">
        <f>#REF!</f>
        <v>#REF!</v>
      </c>
      <c r="BY295" s="28" t="e">
        <f>#REF!*2</f>
        <v>#REF!</v>
      </c>
      <c r="BZ295" s="28" t="e">
        <f>#REF!</f>
        <v>#REF!</v>
      </c>
      <c r="CA295" s="28" t="e">
        <f>#REF!*2</f>
        <v>#REF!</v>
      </c>
      <c r="CB295" s="9">
        <f t="shared" si="183"/>
        <v>0</v>
      </c>
      <c r="CC295" s="9">
        <f t="shared" si="184"/>
        <v>0</v>
      </c>
      <c r="CD295" s="9">
        <f t="shared" si="185"/>
        <v>0</v>
      </c>
      <c r="CE295" s="9">
        <f t="shared" si="186"/>
        <v>0</v>
      </c>
      <c r="CF295" s="9">
        <f t="shared" si="187"/>
        <v>0</v>
      </c>
      <c r="CG295" s="33"/>
      <c r="CH295" s="3">
        <f t="shared" si="188"/>
        <v>0</v>
      </c>
      <c r="CI295" s="3">
        <f t="shared" si="189"/>
        <v>0</v>
      </c>
      <c r="CJ295" s="3">
        <f t="shared" si="190"/>
        <v>0</v>
      </c>
      <c r="CK295" s="3">
        <f t="shared" si="191"/>
        <v>0</v>
      </c>
      <c r="CL295" s="3">
        <f t="shared" si="192"/>
        <v>0</v>
      </c>
      <c r="CM295" s="32"/>
      <c r="CN295" s="3">
        <f t="shared" si="193"/>
        <v>0</v>
      </c>
      <c r="CO295" s="3">
        <f t="shared" si="194"/>
        <v>0</v>
      </c>
      <c r="CP295" s="3">
        <f t="shared" si="195"/>
        <v>0</v>
      </c>
      <c r="CQ295" s="3">
        <f t="shared" si="196"/>
        <v>0</v>
      </c>
      <c r="CR295" s="3">
        <f t="shared" si="197"/>
        <v>0</v>
      </c>
      <c r="CS295" s="31"/>
      <c r="CT295" s="3" cm="1">
        <f t="array" ref="CT295">SUMPRODUCT(--(MOD(CH295:CL295,2)=1))</f>
        <v>0</v>
      </c>
      <c r="CU295" s="3">
        <f t="shared" si="198"/>
        <v>5</v>
      </c>
      <c r="CV295" s="30"/>
      <c r="CW295" s="3" cm="1">
        <f t="array" ref="CW295">SUMPRODUCT(--(MOD(CH295:CL295,10)&gt;=1), --(MOD(CH295:CL295,10)&lt;=5))</f>
        <v>0</v>
      </c>
      <c r="CX295" s="3">
        <f t="shared" si="199"/>
        <v>5</v>
      </c>
      <c r="CY295" s="30"/>
      <c r="CZ295" s="3" cm="1">
        <f t="array" ref="CZ295">IFERROR(COUNT(_xlfn._xlws.FILTER(CH295:CL295, ISNUMBER(MATCH(CH295:CL295, {2,3,5,7,11,13,17,19,23,29,31,37,41,43}, 0)))), 0)</f>
        <v>0</v>
      </c>
      <c r="DA295" s="3" cm="1">
        <f t="array" ref="DA295">IFERROR(COUNT(_xlfn._xlws.FILTER(CH295:CL295, ISNUMBER(MATCH(CH295:CL295, {1,4,8,10,14,16,20,22,25,26,28,32,34,35,38,40,44}, 0)))), 0)</f>
        <v>0</v>
      </c>
      <c r="DB295" s="3" cm="1">
        <f t="array" ref="DB295">IFERROR(COUNT(_xlfn._xlws.FILTER(CH295:CL295, ISNUMBER(MATCH(CH295:CL295, {6,9,12,15,18,21,24,27,30,33,36,39,42,45}, 0)))), 0)</f>
        <v>0</v>
      </c>
      <c r="DC295" s="29"/>
      <c r="DD295" s="28" t="e">
        <f>#REF!</f>
        <v>#REF!</v>
      </c>
      <c r="DE295" s="28" t="e">
        <f>#REF!*2</f>
        <v>#REF!</v>
      </c>
      <c r="DF295" s="28" t="e">
        <f>#REF!</f>
        <v>#REF!</v>
      </c>
      <c r="DG295" s="28" t="e">
        <f>#REF!*2</f>
        <v>#REF!</v>
      </c>
      <c r="DH295" s="28" t="e">
        <f>#REF!</f>
        <v>#REF!</v>
      </c>
      <c r="DI295" s="28" t="e">
        <f>#REF!*2</f>
        <v>#REF!</v>
      </c>
      <c r="DJ295" s="28" t="e">
        <f>#REF!</f>
        <v>#REF!</v>
      </c>
      <c r="DK295" s="28" t="e">
        <f>#REF!*2</f>
        <v>#REF!</v>
      </c>
      <c r="DL295" s="28" t="e">
        <f>#REF!</f>
        <v>#REF!</v>
      </c>
      <c r="DM295" s="28" t="e">
        <f>#REF!*2</f>
        <v>#REF!</v>
      </c>
      <c r="DN295" s="27"/>
      <c r="DO295" s="26"/>
      <c r="DP295" s="26"/>
      <c r="DQ295" s="26"/>
      <c r="DR295" s="26"/>
      <c r="DS295" s="26"/>
      <c r="DT295" s="25"/>
    </row>
    <row r="296" spans="2:124" x14ac:dyDescent="0.3"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2"/>
      <c r="I296" s="3">
        <f t="shared" si="160"/>
        <v>0</v>
      </c>
      <c r="J296" s="3">
        <f t="shared" si="161"/>
        <v>0</v>
      </c>
      <c r="K296" s="3">
        <f t="shared" si="162"/>
        <v>0</v>
      </c>
      <c r="L296" s="3">
        <f t="shared" si="163"/>
        <v>0</v>
      </c>
      <c r="M296" s="3">
        <f t="shared" si="164"/>
        <v>0</v>
      </c>
      <c r="N296" s="3">
        <f t="shared" si="165"/>
        <v>0</v>
      </c>
      <c r="O296" s="32"/>
      <c r="P296" s="3" cm="1">
        <f t="array" ref="P296">SUMPRODUCT(--(MOD(B296:G296,2)=1))</f>
        <v>0</v>
      </c>
      <c r="Q296" s="3">
        <f t="shared" si="166"/>
        <v>6</v>
      </c>
      <c r="R296" s="34"/>
      <c r="S296" s="3">
        <f t="shared" si="167"/>
        <v>0</v>
      </c>
      <c r="T296" s="3">
        <f t="shared" si="168"/>
        <v>6</v>
      </c>
      <c r="U296" s="34"/>
      <c r="V296" s="3" cm="1">
        <f t="array" ref="V296">SUMPRODUCT(--(MOD(B296:G296,10)&gt;=1), --(MOD(B296:G296,10)&lt;=5))</f>
        <v>0</v>
      </c>
      <c r="W296" s="3">
        <f t="shared" si="169"/>
        <v>6</v>
      </c>
      <c r="X296" s="34"/>
      <c r="Y296" s="3" cm="1">
        <f t="array" ref="Y296">IFERROR(COUNT(_xlfn._xlws.FILTER(B296:G296, ISNUMBER(MATCH(B296:G296, {2,3,5,7,11,13,17,19,23,29,31,37,41,43}, 0)))), 0)</f>
        <v>0</v>
      </c>
      <c r="Z296" s="3" cm="1">
        <f t="array" ref="Z296">IFERROR(COUNT(_xlfn._xlws.FILTER(B296:G296, ISNUMBER(MATCH(B296:G296, {1,4,8,10,14,16,20,22,25,26,28,32,34,35,38,40,44}, 0)))), 0)</f>
        <v>0</v>
      </c>
      <c r="AA296" s="3" cm="1">
        <f t="array" ref="AA296">IFERROR(COUNT(_xlfn._xlws.FILTER(B296:G296, ISNUMBER(MATCH(B296:G296, {6,9,12,15,18,21,24,27,30,33,36,39,42,45}, 0)))), 0)</f>
        <v>0</v>
      </c>
      <c r="AB296" s="30"/>
      <c r="AC296" s="26" cm="1">
        <f t="array" ref="AC296">_xlfn.IFS(
   OR(B296="",ISBLANK(B296),B296=0),0,
   ISNUMBER(MATCH(B296,{2,3,5,7,11,13,17,19,23,29,31,37,41,43},0)),"소",
   AND(ISNUMBER(B296),MOD(B296,3)=0),"배",
   AND(ISNUMBER(B296),B296&gt;0),"자"
)</f>
        <v>0</v>
      </c>
      <c r="AD296" s="26" cm="1">
        <f t="array" ref="AD296">_xlfn.IFS(
   OR(C296="",ISBLANK(C296),C296=0),0,
   ISNUMBER(MATCH(C296,{2,3,5,7,11,13,17,19,23,29,31,37,41,43},0)),"소",
   AND(ISNUMBER(C296),MOD(C296,3)=0),"배",
   AND(ISNUMBER(C296),C296&gt;0),"자"
)</f>
        <v>0</v>
      </c>
      <c r="AE296" s="26" cm="1">
        <f t="array" ref="AE296">_xlfn.IFS(
   OR(D296="",ISBLANK(D296),D296=0),0,
   ISNUMBER(MATCH(D296,{2,3,5,7,11,13,17,19,23,29,31,37,41,43},0)),"소",
   AND(ISNUMBER(D296),MOD(D296,3)=0),"배",
   AND(ISNUMBER(D296),D296&gt;0),"자"
)</f>
        <v>0</v>
      </c>
      <c r="AF296" s="26" cm="1">
        <f t="array" ref="AF296">_xlfn.IFS(
   OR(E296="",ISBLANK(E296),E296=0),0,
   ISNUMBER(MATCH(E296,{2,3,5,7,11,13,17,19,23,29,31,37,41,43},0)),"소",
   AND(ISNUMBER(E296),MOD(E296,3)=0),"배",
   AND(ISNUMBER(E296),E296&gt;0),"자"
)</f>
        <v>0</v>
      </c>
      <c r="AG296" s="26" cm="1">
        <f t="array" ref="AG296">_xlfn.IFS(
   OR(F296="",ISBLANK(F296),F296=0),0,
   ISNUMBER(MATCH(F296,{2,3,5,7,11,13,17,19,23,29,31,37,41,43},0)),"소",
   AND(ISNUMBER(F296),MOD(F296,3)=0),"배",
   AND(ISNUMBER(F296),F296&gt;0),"자"
)</f>
        <v>0</v>
      </c>
      <c r="AH296" s="26" cm="1">
        <f t="array" ref="AH296">_xlfn.IFS(
   OR(G296="",ISBLANK(G296),G296=0),0,
   ISNUMBER(MATCH(G296,{2,3,5,7,11,13,17,19,23,29,31,37,41,43},0)),"소",
   AND(ISNUMBER(G296),MOD(G296,3)=0),"배",
   AND(ISNUMBER(G296),G296&gt;0),"자"
)</f>
        <v>0</v>
      </c>
      <c r="AI296" s="30"/>
      <c r="AJ296" s="3">
        <f t="shared" si="170"/>
        <v>0</v>
      </c>
      <c r="AK296" s="3">
        <f t="shared" si="171"/>
        <v>0</v>
      </c>
      <c r="AL296" s="3">
        <f t="shared" si="172"/>
        <v>6</v>
      </c>
      <c r="AM296" s="33"/>
      <c r="AN296" s="3">
        <f t="shared" si="173"/>
        <v>0</v>
      </c>
      <c r="AO296" s="3">
        <f t="shared" si="174"/>
        <v>0</v>
      </c>
      <c r="AP296" s="3">
        <f t="shared" si="175"/>
        <v>0</v>
      </c>
      <c r="AQ296" s="3">
        <f t="shared" si="176"/>
        <v>0</v>
      </c>
      <c r="AR296" s="3">
        <f t="shared" si="177"/>
        <v>0</v>
      </c>
      <c r="AS296" s="28" t="e">
        <f>#REF!</f>
        <v>#REF!</v>
      </c>
      <c r="AT296" s="28" t="e">
        <f>#REF!*2</f>
        <v>#REF!</v>
      </c>
      <c r="AU296" s="28" t="e">
        <f>#REF!</f>
        <v>#REF!</v>
      </c>
      <c r="AV296" s="28" t="e">
        <f>#REF!*2</f>
        <v>#REF!</v>
      </c>
      <c r="AW296" s="28" t="e">
        <f>#REF!</f>
        <v>#REF!</v>
      </c>
      <c r="AX296" s="28" t="e">
        <f>#REF!*2</f>
        <v>#REF!</v>
      </c>
      <c r="AY296" s="28" t="e">
        <f>#REF!</f>
        <v>#REF!</v>
      </c>
      <c r="AZ296" s="28" t="e">
        <f>#REF!*2</f>
        <v>#REF!</v>
      </c>
      <c r="BA296" s="28" t="e">
        <f>#REF!</f>
        <v>#REF!</v>
      </c>
      <c r="BB296" s="28" t="e">
        <f>#REF!*2</f>
        <v>#REF!</v>
      </c>
      <c r="BC296" s="28" t="e">
        <f>#REF!</f>
        <v>#REF!</v>
      </c>
      <c r="BD296" s="28" t="e">
        <f>#REF!*2</f>
        <v>#REF!</v>
      </c>
      <c r="BE296" s="9" t="e">
        <f>#REF!-#REF!</f>
        <v>#REF!</v>
      </c>
      <c r="BF296" s="9" t="e">
        <f>#REF!-#REF!</f>
        <v>#REF!</v>
      </c>
      <c r="BG296" s="9" t="e">
        <f>#REF!-#REF!</f>
        <v>#REF!</v>
      </c>
      <c r="BH296" s="9" t="e">
        <f>#REF!-#REF!</f>
        <v>#REF!</v>
      </c>
      <c r="BI296" s="9" t="e">
        <f>#REF!-#REF!</f>
        <v>#REF!</v>
      </c>
      <c r="BJ296" s="33"/>
      <c r="BK296" s="3">
        <f t="shared" si="178"/>
        <v>0</v>
      </c>
      <c r="BL296" s="3">
        <f t="shared" si="179"/>
        <v>0</v>
      </c>
      <c r="BM296" s="3">
        <f t="shared" si="180"/>
        <v>0</v>
      </c>
      <c r="BN296" s="3">
        <f t="shared" si="181"/>
        <v>0</v>
      </c>
      <c r="BO296" s="3">
        <f t="shared" si="182"/>
        <v>0</v>
      </c>
      <c r="BP296" s="28" t="e">
        <f>#REF!</f>
        <v>#REF!</v>
      </c>
      <c r="BQ296" s="28" t="e">
        <f>#REF!*2</f>
        <v>#REF!</v>
      </c>
      <c r="BR296" s="28" t="e">
        <f>#REF!</f>
        <v>#REF!</v>
      </c>
      <c r="BS296" s="28" t="e">
        <f>#REF!*2</f>
        <v>#REF!</v>
      </c>
      <c r="BT296" s="28" t="e">
        <f>#REF!</f>
        <v>#REF!</v>
      </c>
      <c r="BU296" s="28" t="e">
        <f>#REF!*2</f>
        <v>#REF!</v>
      </c>
      <c r="BV296" s="28" t="e">
        <f>#REF!</f>
        <v>#REF!</v>
      </c>
      <c r="BW296" s="28" t="e">
        <f>#REF!*2</f>
        <v>#REF!</v>
      </c>
      <c r="BX296" s="28" t="e">
        <f>#REF!</f>
        <v>#REF!</v>
      </c>
      <c r="BY296" s="28" t="e">
        <f>#REF!*2</f>
        <v>#REF!</v>
      </c>
      <c r="BZ296" s="28" t="e">
        <f>#REF!</f>
        <v>#REF!</v>
      </c>
      <c r="CA296" s="28" t="e">
        <f>#REF!*2</f>
        <v>#REF!</v>
      </c>
      <c r="CB296" s="9">
        <f t="shared" si="183"/>
        <v>0</v>
      </c>
      <c r="CC296" s="9">
        <f t="shared" si="184"/>
        <v>0</v>
      </c>
      <c r="CD296" s="9">
        <f t="shared" si="185"/>
        <v>0</v>
      </c>
      <c r="CE296" s="9">
        <f t="shared" si="186"/>
        <v>0</v>
      </c>
      <c r="CF296" s="9">
        <f t="shared" si="187"/>
        <v>0</v>
      </c>
      <c r="CG296" s="33"/>
      <c r="CH296" s="3">
        <f t="shared" si="188"/>
        <v>0</v>
      </c>
      <c r="CI296" s="3">
        <f t="shared" si="189"/>
        <v>0</v>
      </c>
      <c r="CJ296" s="3">
        <f t="shared" si="190"/>
        <v>0</v>
      </c>
      <c r="CK296" s="3">
        <f t="shared" si="191"/>
        <v>0</v>
      </c>
      <c r="CL296" s="3">
        <f t="shared" si="192"/>
        <v>0</v>
      </c>
      <c r="CM296" s="32"/>
      <c r="CN296" s="3">
        <f t="shared" si="193"/>
        <v>0</v>
      </c>
      <c r="CO296" s="3">
        <f t="shared" si="194"/>
        <v>0</v>
      </c>
      <c r="CP296" s="3">
        <f t="shared" si="195"/>
        <v>0</v>
      </c>
      <c r="CQ296" s="3">
        <f t="shared" si="196"/>
        <v>0</v>
      </c>
      <c r="CR296" s="3">
        <f t="shared" si="197"/>
        <v>0</v>
      </c>
      <c r="CS296" s="31"/>
      <c r="CT296" s="3" cm="1">
        <f t="array" ref="CT296">SUMPRODUCT(--(MOD(CH296:CL296,2)=1))</f>
        <v>0</v>
      </c>
      <c r="CU296" s="3">
        <f t="shared" si="198"/>
        <v>5</v>
      </c>
      <c r="CV296" s="30"/>
      <c r="CW296" s="3" cm="1">
        <f t="array" ref="CW296">SUMPRODUCT(--(MOD(CH296:CL296,10)&gt;=1), --(MOD(CH296:CL296,10)&lt;=5))</f>
        <v>0</v>
      </c>
      <c r="CX296" s="3">
        <f t="shared" si="199"/>
        <v>5</v>
      </c>
      <c r="CY296" s="30"/>
      <c r="CZ296" s="3" cm="1">
        <f t="array" ref="CZ296">IFERROR(COUNT(_xlfn._xlws.FILTER(CH296:CL296, ISNUMBER(MATCH(CH296:CL296, {2,3,5,7,11,13,17,19,23,29,31,37,41,43}, 0)))), 0)</f>
        <v>0</v>
      </c>
      <c r="DA296" s="3" cm="1">
        <f t="array" ref="DA296">IFERROR(COUNT(_xlfn._xlws.FILTER(CH296:CL296, ISNUMBER(MATCH(CH296:CL296, {1,4,8,10,14,16,20,22,25,26,28,32,34,35,38,40,44}, 0)))), 0)</f>
        <v>0</v>
      </c>
      <c r="DB296" s="3" cm="1">
        <f t="array" ref="DB296">IFERROR(COUNT(_xlfn._xlws.FILTER(CH296:CL296, ISNUMBER(MATCH(CH296:CL296, {6,9,12,15,18,21,24,27,30,33,36,39,42,45}, 0)))), 0)</f>
        <v>0</v>
      </c>
      <c r="DC296" s="29"/>
      <c r="DD296" s="28" t="e">
        <f>#REF!</f>
        <v>#REF!</v>
      </c>
      <c r="DE296" s="28" t="e">
        <f>#REF!*2</f>
        <v>#REF!</v>
      </c>
      <c r="DF296" s="28" t="e">
        <f>#REF!</f>
        <v>#REF!</v>
      </c>
      <c r="DG296" s="28" t="e">
        <f>#REF!*2</f>
        <v>#REF!</v>
      </c>
      <c r="DH296" s="28" t="e">
        <f>#REF!</f>
        <v>#REF!</v>
      </c>
      <c r="DI296" s="28" t="e">
        <f>#REF!*2</f>
        <v>#REF!</v>
      </c>
      <c r="DJ296" s="28" t="e">
        <f>#REF!</f>
        <v>#REF!</v>
      </c>
      <c r="DK296" s="28" t="e">
        <f>#REF!*2</f>
        <v>#REF!</v>
      </c>
      <c r="DL296" s="28" t="e">
        <f>#REF!</f>
        <v>#REF!</v>
      </c>
      <c r="DM296" s="28" t="e">
        <f>#REF!*2</f>
        <v>#REF!</v>
      </c>
      <c r="DN296" s="27"/>
      <c r="DO296" s="26"/>
      <c r="DP296" s="26"/>
      <c r="DQ296" s="26"/>
      <c r="DR296" s="26"/>
      <c r="DS296" s="26"/>
      <c r="DT296" s="25"/>
    </row>
    <row r="297" spans="2:124" x14ac:dyDescent="0.3"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2"/>
      <c r="I297" s="3">
        <f t="shared" si="160"/>
        <v>0</v>
      </c>
      <c r="J297" s="3">
        <f t="shared" si="161"/>
        <v>0</v>
      </c>
      <c r="K297" s="3">
        <f t="shared" si="162"/>
        <v>0</v>
      </c>
      <c r="L297" s="3">
        <f t="shared" si="163"/>
        <v>0</v>
      </c>
      <c r="M297" s="3">
        <f t="shared" si="164"/>
        <v>0</v>
      </c>
      <c r="N297" s="3">
        <f t="shared" si="165"/>
        <v>0</v>
      </c>
      <c r="O297" s="32"/>
      <c r="P297" s="3" cm="1">
        <f t="array" ref="P297">SUMPRODUCT(--(MOD(B297:G297,2)=1))</f>
        <v>0</v>
      </c>
      <c r="Q297" s="3">
        <f t="shared" si="166"/>
        <v>6</v>
      </c>
      <c r="R297" s="34"/>
      <c r="S297" s="3">
        <f t="shared" si="167"/>
        <v>0</v>
      </c>
      <c r="T297" s="3">
        <f t="shared" si="168"/>
        <v>6</v>
      </c>
      <c r="U297" s="34"/>
      <c r="V297" s="3" cm="1">
        <f t="array" ref="V297">SUMPRODUCT(--(MOD(B297:G297,10)&gt;=1), --(MOD(B297:G297,10)&lt;=5))</f>
        <v>0</v>
      </c>
      <c r="W297" s="3">
        <f t="shared" si="169"/>
        <v>6</v>
      </c>
      <c r="X297" s="34"/>
      <c r="Y297" s="3" cm="1">
        <f t="array" ref="Y297">IFERROR(COUNT(_xlfn._xlws.FILTER(B297:G297, ISNUMBER(MATCH(B297:G297, {2,3,5,7,11,13,17,19,23,29,31,37,41,43}, 0)))), 0)</f>
        <v>0</v>
      </c>
      <c r="Z297" s="3" cm="1">
        <f t="array" ref="Z297">IFERROR(COUNT(_xlfn._xlws.FILTER(B297:G297, ISNUMBER(MATCH(B297:G297, {1,4,8,10,14,16,20,22,25,26,28,32,34,35,38,40,44}, 0)))), 0)</f>
        <v>0</v>
      </c>
      <c r="AA297" s="3" cm="1">
        <f t="array" ref="AA297">IFERROR(COUNT(_xlfn._xlws.FILTER(B297:G297, ISNUMBER(MATCH(B297:G297, {6,9,12,15,18,21,24,27,30,33,36,39,42,45}, 0)))), 0)</f>
        <v>0</v>
      </c>
      <c r="AB297" s="30"/>
      <c r="AC297" s="26" cm="1">
        <f t="array" ref="AC297">_xlfn.IFS(
   OR(B297="",ISBLANK(B297),B297=0),0,
   ISNUMBER(MATCH(B297,{2,3,5,7,11,13,17,19,23,29,31,37,41,43},0)),"소",
   AND(ISNUMBER(B297),MOD(B297,3)=0),"배",
   AND(ISNUMBER(B297),B297&gt;0),"자"
)</f>
        <v>0</v>
      </c>
      <c r="AD297" s="26" cm="1">
        <f t="array" ref="AD297">_xlfn.IFS(
   OR(C297="",ISBLANK(C297),C297=0),0,
   ISNUMBER(MATCH(C297,{2,3,5,7,11,13,17,19,23,29,31,37,41,43},0)),"소",
   AND(ISNUMBER(C297),MOD(C297,3)=0),"배",
   AND(ISNUMBER(C297),C297&gt;0),"자"
)</f>
        <v>0</v>
      </c>
      <c r="AE297" s="26" cm="1">
        <f t="array" ref="AE297">_xlfn.IFS(
   OR(D297="",ISBLANK(D297),D297=0),0,
   ISNUMBER(MATCH(D297,{2,3,5,7,11,13,17,19,23,29,31,37,41,43},0)),"소",
   AND(ISNUMBER(D297),MOD(D297,3)=0),"배",
   AND(ISNUMBER(D297),D297&gt;0),"자"
)</f>
        <v>0</v>
      </c>
      <c r="AF297" s="26" cm="1">
        <f t="array" ref="AF297">_xlfn.IFS(
   OR(E297="",ISBLANK(E297),E297=0),0,
   ISNUMBER(MATCH(E297,{2,3,5,7,11,13,17,19,23,29,31,37,41,43},0)),"소",
   AND(ISNUMBER(E297),MOD(E297,3)=0),"배",
   AND(ISNUMBER(E297),E297&gt;0),"자"
)</f>
        <v>0</v>
      </c>
      <c r="AG297" s="26" cm="1">
        <f t="array" ref="AG297">_xlfn.IFS(
   OR(F297="",ISBLANK(F297),F297=0),0,
   ISNUMBER(MATCH(F297,{2,3,5,7,11,13,17,19,23,29,31,37,41,43},0)),"소",
   AND(ISNUMBER(F297),MOD(F297,3)=0),"배",
   AND(ISNUMBER(F297),F297&gt;0),"자"
)</f>
        <v>0</v>
      </c>
      <c r="AH297" s="26" cm="1">
        <f t="array" ref="AH297">_xlfn.IFS(
   OR(G297="",ISBLANK(G297),G297=0),0,
   ISNUMBER(MATCH(G297,{2,3,5,7,11,13,17,19,23,29,31,37,41,43},0)),"소",
   AND(ISNUMBER(G297),MOD(G297,3)=0),"배",
   AND(ISNUMBER(G297),G297&gt;0),"자"
)</f>
        <v>0</v>
      </c>
      <c r="AI297" s="30"/>
      <c r="AJ297" s="3">
        <f t="shared" si="170"/>
        <v>0</v>
      </c>
      <c r="AK297" s="3">
        <f t="shared" si="171"/>
        <v>0</v>
      </c>
      <c r="AL297" s="3">
        <f t="shared" si="172"/>
        <v>6</v>
      </c>
      <c r="AM297" s="33"/>
      <c r="AN297" s="3">
        <f t="shared" si="173"/>
        <v>0</v>
      </c>
      <c r="AO297" s="3">
        <f t="shared" si="174"/>
        <v>0</v>
      </c>
      <c r="AP297" s="3">
        <f t="shared" si="175"/>
        <v>0</v>
      </c>
      <c r="AQ297" s="3">
        <f t="shared" si="176"/>
        <v>0</v>
      </c>
      <c r="AR297" s="3">
        <f t="shared" si="177"/>
        <v>0</v>
      </c>
      <c r="AS297" s="28" t="e">
        <f>#REF!</f>
        <v>#REF!</v>
      </c>
      <c r="AT297" s="28" t="e">
        <f>#REF!*2</f>
        <v>#REF!</v>
      </c>
      <c r="AU297" s="28" t="e">
        <f>#REF!</f>
        <v>#REF!</v>
      </c>
      <c r="AV297" s="28" t="e">
        <f>#REF!*2</f>
        <v>#REF!</v>
      </c>
      <c r="AW297" s="28" t="e">
        <f>#REF!</f>
        <v>#REF!</v>
      </c>
      <c r="AX297" s="28" t="e">
        <f>#REF!*2</f>
        <v>#REF!</v>
      </c>
      <c r="AY297" s="28" t="e">
        <f>#REF!</f>
        <v>#REF!</v>
      </c>
      <c r="AZ297" s="28" t="e">
        <f>#REF!*2</f>
        <v>#REF!</v>
      </c>
      <c r="BA297" s="28" t="e">
        <f>#REF!</f>
        <v>#REF!</v>
      </c>
      <c r="BB297" s="28" t="e">
        <f>#REF!*2</f>
        <v>#REF!</v>
      </c>
      <c r="BC297" s="28" t="e">
        <f>#REF!</f>
        <v>#REF!</v>
      </c>
      <c r="BD297" s="28" t="e">
        <f>#REF!*2</f>
        <v>#REF!</v>
      </c>
      <c r="BE297" s="9" t="e">
        <f>#REF!-#REF!</f>
        <v>#REF!</v>
      </c>
      <c r="BF297" s="9" t="e">
        <f>#REF!-#REF!</f>
        <v>#REF!</v>
      </c>
      <c r="BG297" s="9" t="e">
        <f>#REF!-#REF!</f>
        <v>#REF!</v>
      </c>
      <c r="BH297" s="9" t="e">
        <f>#REF!-#REF!</f>
        <v>#REF!</v>
      </c>
      <c r="BI297" s="9" t="e">
        <f>#REF!-#REF!</f>
        <v>#REF!</v>
      </c>
      <c r="BJ297" s="33"/>
      <c r="BK297" s="3">
        <f t="shared" si="178"/>
        <v>0</v>
      </c>
      <c r="BL297" s="3">
        <f t="shared" si="179"/>
        <v>0</v>
      </c>
      <c r="BM297" s="3">
        <f t="shared" si="180"/>
        <v>0</v>
      </c>
      <c r="BN297" s="3">
        <f t="shared" si="181"/>
        <v>0</v>
      </c>
      <c r="BO297" s="3">
        <f t="shared" si="182"/>
        <v>0</v>
      </c>
      <c r="BP297" s="28" t="e">
        <f>#REF!</f>
        <v>#REF!</v>
      </c>
      <c r="BQ297" s="28" t="e">
        <f>#REF!*2</f>
        <v>#REF!</v>
      </c>
      <c r="BR297" s="28" t="e">
        <f>#REF!</f>
        <v>#REF!</v>
      </c>
      <c r="BS297" s="28" t="e">
        <f>#REF!*2</f>
        <v>#REF!</v>
      </c>
      <c r="BT297" s="28" t="e">
        <f>#REF!</f>
        <v>#REF!</v>
      </c>
      <c r="BU297" s="28" t="e">
        <f>#REF!*2</f>
        <v>#REF!</v>
      </c>
      <c r="BV297" s="28" t="e">
        <f>#REF!</f>
        <v>#REF!</v>
      </c>
      <c r="BW297" s="28" t="e">
        <f>#REF!*2</f>
        <v>#REF!</v>
      </c>
      <c r="BX297" s="28" t="e">
        <f>#REF!</f>
        <v>#REF!</v>
      </c>
      <c r="BY297" s="28" t="e">
        <f>#REF!*2</f>
        <v>#REF!</v>
      </c>
      <c r="BZ297" s="28" t="e">
        <f>#REF!</f>
        <v>#REF!</v>
      </c>
      <c r="CA297" s="28" t="e">
        <f>#REF!*2</f>
        <v>#REF!</v>
      </c>
      <c r="CB297" s="9">
        <f t="shared" si="183"/>
        <v>0</v>
      </c>
      <c r="CC297" s="9">
        <f t="shared" si="184"/>
        <v>0</v>
      </c>
      <c r="CD297" s="9">
        <f t="shared" si="185"/>
        <v>0</v>
      </c>
      <c r="CE297" s="9">
        <f t="shared" si="186"/>
        <v>0</v>
      </c>
      <c r="CF297" s="9">
        <f t="shared" si="187"/>
        <v>0</v>
      </c>
      <c r="CG297" s="33"/>
      <c r="CH297" s="3">
        <f t="shared" si="188"/>
        <v>0</v>
      </c>
      <c r="CI297" s="3">
        <f t="shared" si="189"/>
        <v>0</v>
      </c>
      <c r="CJ297" s="3">
        <f t="shared" si="190"/>
        <v>0</v>
      </c>
      <c r="CK297" s="3">
        <f t="shared" si="191"/>
        <v>0</v>
      </c>
      <c r="CL297" s="3">
        <f t="shared" si="192"/>
        <v>0</v>
      </c>
      <c r="CM297" s="32"/>
      <c r="CN297" s="3">
        <f t="shared" si="193"/>
        <v>0</v>
      </c>
      <c r="CO297" s="3">
        <f t="shared" si="194"/>
        <v>0</v>
      </c>
      <c r="CP297" s="3">
        <f t="shared" si="195"/>
        <v>0</v>
      </c>
      <c r="CQ297" s="3">
        <f t="shared" si="196"/>
        <v>0</v>
      </c>
      <c r="CR297" s="3">
        <f t="shared" si="197"/>
        <v>0</v>
      </c>
      <c r="CS297" s="31"/>
      <c r="CT297" s="3" cm="1">
        <f t="array" ref="CT297">SUMPRODUCT(--(MOD(CH297:CL297,2)=1))</f>
        <v>0</v>
      </c>
      <c r="CU297" s="3">
        <f t="shared" si="198"/>
        <v>5</v>
      </c>
      <c r="CV297" s="30"/>
      <c r="CW297" s="3" cm="1">
        <f t="array" ref="CW297">SUMPRODUCT(--(MOD(CH297:CL297,10)&gt;=1), --(MOD(CH297:CL297,10)&lt;=5))</f>
        <v>0</v>
      </c>
      <c r="CX297" s="3">
        <f t="shared" si="199"/>
        <v>5</v>
      </c>
      <c r="CY297" s="30"/>
      <c r="CZ297" s="3" cm="1">
        <f t="array" ref="CZ297">IFERROR(COUNT(_xlfn._xlws.FILTER(CH297:CL297, ISNUMBER(MATCH(CH297:CL297, {2,3,5,7,11,13,17,19,23,29,31,37,41,43}, 0)))), 0)</f>
        <v>0</v>
      </c>
      <c r="DA297" s="3" cm="1">
        <f t="array" ref="DA297">IFERROR(COUNT(_xlfn._xlws.FILTER(CH297:CL297, ISNUMBER(MATCH(CH297:CL297, {1,4,8,10,14,16,20,22,25,26,28,32,34,35,38,40,44}, 0)))), 0)</f>
        <v>0</v>
      </c>
      <c r="DB297" s="3" cm="1">
        <f t="array" ref="DB297">IFERROR(COUNT(_xlfn._xlws.FILTER(CH297:CL297, ISNUMBER(MATCH(CH297:CL297, {6,9,12,15,18,21,24,27,30,33,36,39,42,45}, 0)))), 0)</f>
        <v>0</v>
      </c>
      <c r="DC297" s="29"/>
      <c r="DD297" s="28" t="e">
        <f>#REF!</f>
        <v>#REF!</v>
      </c>
      <c r="DE297" s="28" t="e">
        <f>#REF!*2</f>
        <v>#REF!</v>
      </c>
      <c r="DF297" s="28" t="e">
        <f>#REF!</f>
        <v>#REF!</v>
      </c>
      <c r="DG297" s="28" t="e">
        <f>#REF!*2</f>
        <v>#REF!</v>
      </c>
      <c r="DH297" s="28" t="e">
        <f>#REF!</f>
        <v>#REF!</v>
      </c>
      <c r="DI297" s="28" t="e">
        <f>#REF!*2</f>
        <v>#REF!</v>
      </c>
      <c r="DJ297" s="28" t="e">
        <f>#REF!</f>
        <v>#REF!</v>
      </c>
      <c r="DK297" s="28" t="e">
        <f>#REF!*2</f>
        <v>#REF!</v>
      </c>
      <c r="DL297" s="28" t="e">
        <f>#REF!</f>
        <v>#REF!</v>
      </c>
      <c r="DM297" s="28" t="e">
        <f>#REF!*2</f>
        <v>#REF!</v>
      </c>
      <c r="DN297" s="27"/>
      <c r="DO297" s="26"/>
      <c r="DP297" s="26"/>
      <c r="DQ297" s="26"/>
      <c r="DR297" s="26"/>
      <c r="DS297" s="26"/>
      <c r="DT297" s="25"/>
    </row>
    <row r="298" spans="2:124" x14ac:dyDescent="0.3"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2"/>
      <c r="I298" s="3">
        <f t="shared" si="160"/>
        <v>0</v>
      </c>
      <c r="J298" s="3">
        <f t="shared" si="161"/>
        <v>0</v>
      </c>
      <c r="K298" s="3">
        <f t="shared" si="162"/>
        <v>0</v>
      </c>
      <c r="L298" s="3">
        <f t="shared" si="163"/>
        <v>0</v>
      </c>
      <c r="M298" s="3">
        <f t="shared" si="164"/>
        <v>0</v>
      </c>
      <c r="N298" s="3">
        <f t="shared" si="165"/>
        <v>0</v>
      </c>
      <c r="O298" s="32"/>
      <c r="P298" s="3" cm="1">
        <f t="array" ref="P298">SUMPRODUCT(--(MOD(B298:G298,2)=1))</f>
        <v>0</v>
      </c>
      <c r="Q298" s="3">
        <f t="shared" si="166"/>
        <v>6</v>
      </c>
      <c r="R298" s="34"/>
      <c r="S298" s="3">
        <f t="shared" si="167"/>
        <v>0</v>
      </c>
      <c r="T298" s="3">
        <f t="shared" si="168"/>
        <v>6</v>
      </c>
      <c r="U298" s="34"/>
      <c r="V298" s="3" cm="1">
        <f t="array" ref="V298">SUMPRODUCT(--(MOD(B298:G298,10)&gt;=1), --(MOD(B298:G298,10)&lt;=5))</f>
        <v>0</v>
      </c>
      <c r="W298" s="3">
        <f t="shared" si="169"/>
        <v>6</v>
      </c>
      <c r="X298" s="34"/>
      <c r="Y298" s="3" cm="1">
        <f t="array" ref="Y298">IFERROR(COUNT(_xlfn._xlws.FILTER(B298:G298, ISNUMBER(MATCH(B298:G298, {2,3,5,7,11,13,17,19,23,29,31,37,41,43}, 0)))), 0)</f>
        <v>0</v>
      </c>
      <c r="Z298" s="3" cm="1">
        <f t="array" ref="Z298">IFERROR(COUNT(_xlfn._xlws.FILTER(B298:G298, ISNUMBER(MATCH(B298:G298, {1,4,8,10,14,16,20,22,25,26,28,32,34,35,38,40,44}, 0)))), 0)</f>
        <v>0</v>
      </c>
      <c r="AA298" s="3" cm="1">
        <f t="array" ref="AA298">IFERROR(COUNT(_xlfn._xlws.FILTER(B298:G298, ISNUMBER(MATCH(B298:G298, {6,9,12,15,18,21,24,27,30,33,36,39,42,45}, 0)))), 0)</f>
        <v>0</v>
      </c>
      <c r="AB298" s="30"/>
      <c r="AC298" s="26" cm="1">
        <f t="array" ref="AC298">_xlfn.IFS(
   OR(B298="",ISBLANK(B298),B298=0),0,
   ISNUMBER(MATCH(B298,{2,3,5,7,11,13,17,19,23,29,31,37,41,43},0)),"소",
   AND(ISNUMBER(B298),MOD(B298,3)=0),"배",
   AND(ISNUMBER(B298),B298&gt;0),"자"
)</f>
        <v>0</v>
      </c>
      <c r="AD298" s="26" cm="1">
        <f t="array" ref="AD298">_xlfn.IFS(
   OR(C298="",ISBLANK(C298),C298=0),0,
   ISNUMBER(MATCH(C298,{2,3,5,7,11,13,17,19,23,29,31,37,41,43},0)),"소",
   AND(ISNUMBER(C298),MOD(C298,3)=0),"배",
   AND(ISNUMBER(C298),C298&gt;0),"자"
)</f>
        <v>0</v>
      </c>
      <c r="AE298" s="26" cm="1">
        <f t="array" ref="AE298">_xlfn.IFS(
   OR(D298="",ISBLANK(D298),D298=0),0,
   ISNUMBER(MATCH(D298,{2,3,5,7,11,13,17,19,23,29,31,37,41,43},0)),"소",
   AND(ISNUMBER(D298),MOD(D298,3)=0),"배",
   AND(ISNUMBER(D298),D298&gt;0),"자"
)</f>
        <v>0</v>
      </c>
      <c r="AF298" s="26" cm="1">
        <f t="array" ref="AF298">_xlfn.IFS(
   OR(E298="",ISBLANK(E298),E298=0),0,
   ISNUMBER(MATCH(E298,{2,3,5,7,11,13,17,19,23,29,31,37,41,43},0)),"소",
   AND(ISNUMBER(E298),MOD(E298,3)=0),"배",
   AND(ISNUMBER(E298),E298&gt;0),"자"
)</f>
        <v>0</v>
      </c>
      <c r="AG298" s="26" cm="1">
        <f t="array" ref="AG298">_xlfn.IFS(
   OR(F298="",ISBLANK(F298),F298=0),0,
   ISNUMBER(MATCH(F298,{2,3,5,7,11,13,17,19,23,29,31,37,41,43},0)),"소",
   AND(ISNUMBER(F298),MOD(F298,3)=0),"배",
   AND(ISNUMBER(F298),F298&gt;0),"자"
)</f>
        <v>0</v>
      </c>
      <c r="AH298" s="26" cm="1">
        <f t="array" ref="AH298">_xlfn.IFS(
   OR(G298="",ISBLANK(G298),G298=0),0,
   ISNUMBER(MATCH(G298,{2,3,5,7,11,13,17,19,23,29,31,37,41,43},0)),"소",
   AND(ISNUMBER(G298),MOD(G298,3)=0),"배",
   AND(ISNUMBER(G298),G298&gt;0),"자"
)</f>
        <v>0</v>
      </c>
      <c r="AI298" s="30"/>
      <c r="AJ298" s="3">
        <f t="shared" si="170"/>
        <v>0</v>
      </c>
      <c r="AK298" s="3">
        <f t="shared" si="171"/>
        <v>0</v>
      </c>
      <c r="AL298" s="3">
        <f t="shared" si="172"/>
        <v>6</v>
      </c>
      <c r="AM298" s="33"/>
      <c r="AN298" s="3">
        <f t="shared" si="173"/>
        <v>0</v>
      </c>
      <c r="AO298" s="3">
        <f t="shared" si="174"/>
        <v>0</v>
      </c>
      <c r="AP298" s="3">
        <f t="shared" si="175"/>
        <v>0</v>
      </c>
      <c r="AQ298" s="3">
        <f t="shared" si="176"/>
        <v>0</v>
      </c>
      <c r="AR298" s="3">
        <f t="shared" si="177"/>
        <v>0</v>
      </c>
      <c r="AS298" s="28" t="e">
        <f>#REF!</f>
        <v>#REF!</v>
      </c>
      <c r="AT298" s="28" t="e">
        <f>#REF!*2</f>
        <v>#REF!</v>
      </c>
      <c r="AU298" s="28" t="e">
        <f>#REF!</f>
        <v>#REF!</v>
      </c>
      <c r="AV298" s="28" t="e">
        <f>#REF!*2</f>
        <v>#REF!</v>
      </c>
      <c r="AW298" s="28" t="e">
        <f>#REF!</f>
        <v>#REF!</v>
      </c>
      <c r="AX298" s="28" t="e">
        <f>#REF!*2</f>
        <v>#REF!</v>
      </c>
      <c r="AY298" s="28" t="e">
        <f>#REF!</f>
        <v>#REF!</v>
      </c>
      <c r="AZ298" s="28" t="e">
        <f>#REF!*2</f>
        <v>#REF!</v>
      </c>
      <c r="BA298" s="28" t="e">
        <f>#REF!</f>
        <v>#REF!</v>
      </c>
      <c r="BB298" s="28" t="e">
        <f>#REF!*2</f>
        <v>#REF!</v>
      </c>
      <c r="BC298" s="28" t="e">
        <f>#REF!</f>
        <v>#REF!</v>
      </c>
      <c r="BD298" s="28" t="e">
        <f>#REF!*2</f>
        <v>#REF!</v>
      </c>
      <c r="BE298" s="9" t="e">
        <f>#REF!-#REF!</f>
        <v>#REF!</v>
      </c>
      <c r="BF298" s="9" t="e">
        <f>#REF!-#REF!</f>
        <v>#REF!</v>
      </c>
      <c r="BG298" s="9" t="e">
        <f>#REF!-#REF!</f>
        <v>#REF!</v>
      </c>
      <c r="BH298" s="9" t="e">
        <f>#REF!-#REF!</f>
        <v>#REF!</v>
      </c>
      <c r="BI298" s="9" t="e">
        <f>#REF!-#REF!</f>
        <v>#REF!</v>
      </c>
      <c r="BJ298" s="33"/>
      <c r="BK298" s="3">
        <f t="shared" si="178"/>
        <v>0</v>
      </c>
      <c r="BL298" s="3">
        <f t="shared" si="179"/>
        <v>0</v>
      </c>
      <c r="BM298" s="3">
        <f t="shared" si="180"/>
        <v>0</v>
      </c>
      <c r="BN298" s="3">
        <f t="shared" si="181"/>
        <v>0</v>
      </c>
      <c r="BO298" s="3">
        <f t="shared" si="182"/>
        <v>0</v>
      </c>
      <c r="BP298" s="28" t="e">
        <f>#REF!</f>
        <v>#REF!</v>
      </c>
      <c r="BQ298" s="28" t="e">
        <f>#REF!*2</f>
        <v>#REF!</v>
      </c>
      <c r="BR298" s="28" t="e">
        <f>#REF!</f>
        <v>#REF!</v>
      </c>
      <c r="BS298" s="28" t="e">
        <f>#REF!*2</f>
        <v>#REF!</v>
      </c>
      <c r="BT298" s="28" t="e">
        <f>#REF!</f>
        <v>#REF!</v>
      </c>
      <c r="BU298" s="28" t="e">
        <f>#REF!*2</f>
        <v>#REF!</v>
      </c>
      <c r="BV298" s="28" t="e">
        <f>#REF!</f>
        <v>#REF!</v>
      </c>
      <c r="BW298" s="28" t="e">
        <f>#REF!*2</f>
        <v>#REF!</v>
      </c>
      <c r="BX298" s="28" t="e">
        <f>#REF!</f>
        <v>#REF!</v>
      </c>
      <c r="BY298" s="28" t="e">
        <f>#REF!*2</f>
        <v>#REF!</v>
      </c>
      <c r="BZ298" s="28" t="e">
        <f>#REF!</f>
        <v>#REF!</v>
      </c>
      <c r="CA298" s="28" t="e">
        <f>#REF!*2</f>
        <v>#REF!</v>
      </c>
      <c r="CB298" s="9">
        <f t="shared" si="183"/>
        <v>0</v>
      </c>
      <c r="CC298" s="9">
        <f t="shared" si="184"/>
        <v>0</v>
      </c>
      <c r="CD298" s="9">
        <f t="shared" si="185"/>
        <v>0</v>
      </c>
      <c r="CE298" s="9">
        <f t="shared" si="186"/>
        <v>0</v>
      </c>
      <c r="CF298" s="9">
        <f t="shared" si="187"/>
        <v>0</v>
      </c>
      <c r="CG298" s="33"/>
      <c r="CH298" s="3">
        <f t="shared" si="188"/>
        <v>0</v>
      </c>
      <c r="CI298" s="3">
        <f t="shared" si="189"/>
        <v>0</v>
      </c>
      <c r="CJ298" s="3">
        <f t="shared" si="190"/>
        <v>0</v>
      </c>
      <c r="CK298" s="3">
        <f t="shared" si="191"/>
        <v>0</v>
      </c>
      <c r="CL298" s="3">
        <f t="shared" si="192"/>
        <v>0</v>
      </c>
      <c r="CM298" s="32"/>
      <c r="CN298" s="3">
        <f t="shared" si="193"/>
        <v>0</v>
      </c>
      <c r="CO298" s="3">
        <f t="shared" si="194"/>
        <v>0</v>
      </c>
      <c r="CP298" s="3">
        <f t="shared" si="195"/>
        <v>0</v>
      </c>
      <c r="CQ298" s="3">
        <f t="shared" si="196"/>
        <v>0</v>
      </c>
      <c r="CR298" s="3">
        <f t="shared" si="197"/>
        <v>0</v>
      </c>
      <c r="CS298" s="31"/>
      <c r="CT298" s="3" cm="1">
        <f t="array" ref="CT298">SUMPRODUCT(--(MOD(CH298:CL298,2)=1))</f>
        <v>0</v>
      </c>
      <c r="CU298" s="3">
        <f t="shared" si="198"/>
        <v>5</v>
      </c>
      <c r="CV298" s="30"/>
      <c r="CW298" s="3" cm="1">
        <f t="array" ref="CW298">SUMPRODUCT(--(MOD(CH298:CL298,10)&gt;=1), --(MOD(CH298:CL298,10)&lt;=5))</f>
        <v>0</v>
      </c>
      <c r="CX298" s="3">
        <f t="shared" si="199"/>
        <v>5</v>
      </c>
      <c r="CY298" s="30"/>
      <c r="CZ298" s="3" cm="1">
        <f t="array" ref="CZ298">IFERROR(COUNT(_xlfn._xlws.FILTER(CH298:CL298, ISNUMBER(MATCH(CH298:CL298, {2,3,5,7,11,13,17,19,23,29,31,37,41,43}, 0)))), 0)</f>
        <v>0</v>
      </c>
      <c r="DA298" s="3" cm="1">
        <f t="array" ref="DA298">IFERROR(COUNT(_xlfn._xlws.FILTER(CH298:CL298, ISNUMBER(MATCH(CH298:CL298, {1,4,8,10,14,16,20,22,25,26,28,32,34,35,38,40,44}, 0)))), 0)</f>
        <v>0</v>
      </c>
      <c r="DB298" s="3" cm="1">
        <f t="array" ref="DB298">IFERROR(COUNT(_xlfn._xlws.FILTER(CH298:CL298, ISNUMBER(MATCH(CH298:CL298, {6,9,12,15,18,21,24,27,30,33,36,39,42,45}, 0)))), 0)</f>
        <v>0</v>
      </c>
      <c r="DC298" s="29"/>
      <c r="DD298" s="28" t="e">
        <f>#REF!</f>
        <v>#REF!</v>
      </c>
      <c r="DE298" s="28" t="e">
        <f>#REF!*2</f>
        <v>#REF!</v>
      </c>
      <c r="DF298" s="28" t="e">
        <f>#REF!</f>
        <v>#REF!</v>
      </c>
      <c r="DG298" s="28" t="e">
        <f>#REF!*2</f>
        <v>#REF!</v>
      </c>
      <c r="DH298" s="28" t="e">
        <f>#REF!</f>
        <v>#REF!</v>
      </c>
      <c r="DI298" s="28" t="e">
        <f>#REF!*2</f>
        <v>#REF!</v>
      </c>
      <c r="DJ298" s="28" t="e">
        <f>#REF!</f>
        <v>#REF!</v>
      </c>
      <c r="DK298" s="28" t="e">
        <f>#REF!*2</f>
        <v>#REF!</v>
      </c>
      <c r="DL298" s="28" t="e">
        <f>#REF!</f>
        <v>#REF!</v>
      </c>
      <c r="DM298" s="28" t="e">
        <f>#REF!*2</f>
        <v>#REF!</v>
      </c>
      <c r="DN298" s="27"/>
      <c r="DO298" s="26"/>
      <c r="DP298" s="26"/>
      <c r="DQ298" s="26"/>
      <c r="DR298" s="26"/>
      <c r="DS298" s="26"/>
      <c r="DT298" s="25"/>
    </row>
    <row r="299" spans="2:124" x14ac:dyDescent="0.3"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2"/>
      <c r="I299" s="3">
        <f t="shared" si="160"/>
        <v>0</v>
      </c>
      <c r="J299" s="3">
        <f t="shared" si="161"/>
        <v>0</v>
      </c>
      <c r="K299" s="3">
        <f t="shared" si="162"/>
        <v>0</v>
      </c>
      <c r="L299" s="3">
        <f t="shared" si="163"/>
        <v>0</v>
      </c>
      <c r="M299" s="3">
        <f t="shared" si="164"/>
        <v>0</v>
      </c>
      <c r="N299" s="3">
        <f t="shared" si="165"/>
        <v>0</v>
      </c>
      <c r="O299" s="32"/>
      <c r="P299" s="3" cm="1">
        <f t="array" ref="P299">SUMPRODUCT(--(MOD(B299:G299,2)=1))</f>
        <v>0</v>
      </c>
      <c r="Q299" s="3">
        <f t="shared" si="166"/>
        <v>6</v>
      </c>
      <c r="R299" s="34"/>
      <c r="S299" s="3">
        <f t="shared" si="167"/>
        <v>0</v>
      </c>
      <c r="T299" s="3">
        <f t="shared" si="168"/>
        <v>6</v>
      </c>
      <c r="U299" s="34"/>
      <c r="V299" s="3" cm="1">
        <f t="array" ref="V299">SUMPRODUCT(--(MOD(B299:G299,10)&gt;=1), --(MOD(B299:G299,10)&lt;=5))</f>
        <v>0</v>
      </c>
      <c r="W299" s="3">
        <f t="shared" si="169"/>
        <v>6</v>
      </c>
      <c r="X299" s="34"/>
      <c r="Y299" s="3" cm="1">
        <f t="array" ref="Y299">IFERROR(COUNT(_xlfn._xlws.FILTER(B299:G299, ISNUMBER(MATCH(B299:G299, {2,3,5,7,11,13,17,19,23,29,31,37,41,43}, 0)))), 0)</f>
        <v>0</v>
      </c>
      <c r="Z299" s="3" cm="1">
        <f t="array" ref="Z299">IFERROR(COUNT(_xlfn._xlws.FILTER(B299:G299, ISNUMBER(MATCH(B299:G299, {1,4,8,10,14,16,20,22,25,26,28,32,34,35,38,40,44}, 0)))), 0)</f>
        <v>0</v>
      </c>
      <c r="AA299" s="3" cm="1">
        <f t="array" ref="AA299">IFERROR(COUNT(_xlfn._xlws.FILTER(B299:G299, ISNUMBER(MATCH(B299:G299, {6,9,12,15,18,21,24,27,30,33,36,39,42,45}, 0)))), 0)</f>
        <v>0</v>
      </c>
      <c r="AB299" s="30"/>
      <c r="AC299" s="26" cm="1">
        <f t="array" ref="AC299">_xlfn.IFS(
   OR(B299="",ISBLANK(B299),B299=0),0,
   ISNUMBER(MATCH(B299,{2,3,5,7,11,13,17,19,23,29,31,37,41,43},0)),"소",
   AND(ISNUMBER(B299),MOD(B299,3)=0),"배",
   AND(ISNUMBER(B299),B299&gt;0),"자"
)</f>
        <v>0</v>
      </c>
      <c r="AD299" s="26" cm="1">
        <f t="array" ref="AD299">_xlfn.IFS(
   OR(C299="",ISBLANK(C299),C299=0),0,
   ISNUMBER(MATCH(C299,{2,3,5,7,11,13,17,19,23,29,31,37,41,43},0)),"소",
   AND(ISNUMBER(C299),MOD(C299,3)=0),"배",
   AND(ISNUMBER(C299),C299&gt;0),"자"
)</f>
        <v>0</v>
      </c>
      <c r="AE299" s="26" cm="1">
        <f t="array" ref="AE299">_xlfn.IFS(
   OR(D299="",ISBLANK(D299),D299=0),0,
   ISNUMBER(MATCH(D299,{2,3,5,7,11,13,17,19,23,29,31,37,41,43},0)),"소",
   AND(ISNUMBER(D299),MOD(D299,3)=0),"배",
   AND(ISNUMBER(D299),D299&gt;0),"자"
)</f>
        <v>0</v>
      </c>
      <c r="AF299" s="26" cm="1">
        <f t="array" ref="AF299">_xlfn.IFS(
   OR(E299="",ISBLANK(E299),E299=0),0,
   ISNUMBER(MATCH(E299,{2,3,5,7,11,13,17,19,23,29,31,37,41,43},0)),"소",
   AND(ISNUMBER(E299),MOD(E299,3)=0),"배",
   AND(ISNUMBER(E299),E299&gt;0),"자"
)</f>
        <v>0</v>
      </c>
      <c r="AG299" s="26" cm="1">
        <f t="array" ref="AG299">_xlfn.IFS(
   OR(F299="",ISBLANK(F299),F299=0),0,
   ISNUMBER(MATCH(F299,{2,3,5,7,11,13,17,19,23,29,31,37,41,43},0)),"소",
   AND(ISNUMBER(F299),MOD(F299,3)=0),"배",
   AND(ISNUMBER(F299),F299&gt;0),"자"
)</f>
        <v>0</v>
      </c>
      <c r="AH299" s="26" cm="1">
        <f t="array" ref="AH299">_xlfn.IFS(
   OR(G299="",ISBLANK(G299),G299=0),0,
   ISNUMBER(MATCH(G299,{2,3,5,7,11,13,17,19,23,29,31,37,41,43},0)),"소",
   AND(ISNUMBER(G299),MOD(G299,3)=0),"배",
   AND(ISNUMBER(G299),G299&gt;0),"자"
)</f>
        <v>0</v>
      </c>
      <c r="AI299" s="30"/>
      <c r="AJ299" s="3">
        <f t="shared" si="170"/>
        <v>0</v>
      </c>
      <c r="AK299" s="3">
        <f t="shared" si="171"/>
        <v>0</v>
      </c>
      <c r="AL299" s="3">
        <f t="shared" si="172"/>
        <v>6</v>
      </c>
      <c r="AM299" s="33"/>
      <c r="AN299" s="3">
        <f t="shared" si="173"/>
        <v>0</v>
      </c>
      <c r="AO299" s="3">
        <f t="shared" si="174"/>
        <v>0</v>
      </c>
      <c r="AP299" s="3">
        <f t="shared" si="175"/>
        <v>0</v>
      </c>
      <c r="AQ299" s="3">
        <f t="shared" si="176"/>
        <v>0</v>
      </c>
      <c r="AR299" s="3">
        <f t="shared" si="177"/>
        <v>0</v>
      </c>
      <c r="AS299" s="28" t="e">
        <f>#REF!</f>
        <v>#REF!</v>
      </c>
      <c r="AT299" s="28" t="e">
        <f>#REF!*2</f>
        <v>#REF!</v>
      </c>
      <c r="AU299" s="28" t="e">
        <f>#REF!</f>
        <v>#REF!</v>
      </c>
      <c r="AV299" s="28" t="e">
        <f>#REF!*2</f>
        <v>#REF!</v>
      </c>
      <c r="AW299" s="28" t="e">
        <f>#REF!</f>
        <v>#REF!</v>
      </c>
      <c r="AX299" s="28" t="e">
        <f>#REF!*2</f>
        <v>#REF!</v>
      </c>
      <c r="AY299" s="28" t="e">
        <f>#REF!</f>
        <v>#REF!</v>
      </c>
      <c r="AZ299" s="28" t="e">
        <f>#REF!*2</f>
        <v>#REF!</v>
      </c>
      <c r="BA299" s="28" t="e">
        <f>#REF!</f>
        <v>#REF!</v>
      </c>
      <c r="BB299" s="28" t="e">
        <f>#REF!*2</f>
        <v>#REF!</v>
      </c>
      <c r="BC299" s="28" t="e">
        <f>#REF!</f>
        <v>#REF!</v>
      </c>
      <c r="BD299" s="28" t="e">
        <f>#REF!*2</f>
        <v>#REF!</v>
      </c>
      <c r="BE299" s="9" t="e">
        <f>#REF!-#REF!</f>
        <v>#REF!</v>
      </c>
      <c r="BF299" s="9" t="e">
        <f>#REF!-#REF!</f>
        <v>#REF!</v>
      </c>
      <c r="BG299" s="9" t="e">
        <f>#REF!-#REF!</f>
        <v>#REF!</v>
      </c>
      <c r="BH299" s="9" t="e">
        <f>#REF!-#REF!</f>
        <v>#REF!</v>
      </c>
      <c r="BI299" s="9" t="e">
        <f>#REF!-#REF!</f>
        <v>#REF!</v>
      </c>
      <c r="BJ299" s="33"/>
      <c r="BK299" s="3">
        <f t="shared" si="178"/>
        <v>0</v>
      </c>
      <c r="BL299" s="3">
        <f t="shared" si="179"/>
        <v>0</v>
      </c>
      <c r="BM299" s="3">
        <f t="shared" si="180"/>
        <v>0</v>
      </c>
      <c r="BN299" s="3">
        <f t="shared" si="181"/>
        <v>0</v>
      </c>
      <c r="BO299" s="3">
        <f t="shared" si="182"/>
        <v>0</v>
      </c>
      <c r="BP299" s="28" t="e">
        <f>#REF!</f>
        <v>#REF!</v>
      </c>
      <c r="BQ299" s="28" t="e">
        <f>#REF!*2</f>
        <v>#REF!</v>
      </c>
      <c r="BR299" s="28" t="e">
        <f>#REF!</f>
        <v>#REF!</v>
      </c>
      <c r="BS299" s="28" t="e">
        <f>#REF!*2</f>
        <v>#REF!</v>
      </c>
      <c r="BT299" s="28" t="e">
        <f>#REF!</f>
        <v>#REF!</v>
      </c>
      <c r="BU299" s="28" t="e">
        <f>#REF!*2</f>
        <v>#REF!</v>
      </c>
      <c r="BV299" s="28" t="e">
        <f>#REF!</f>
        <v>#REF!</v>
      </c>
      <c r="BW299" s="28" t="e">
        <f>#REF!*2</f>
        <v>#REF!</v>
      </c>
      <c r="BX299" s="28" t="e">
        <f>#REF!</f>
        <v>#REF!</v>
      </c>
      <c r="BY299" s="28" t="e">
        <f>#REF!*2</f>
        <v>#REF!</v>
      </c>
      <c r="BZ299" s="28" t="e">
        <f>#REF!</f>
        <v>#REF!</v>
      </c>
      <c r="CA299" s="28" t="e">
        <f>#REF!*2</f>
        <v>#REF!</v>
      </c>
      <c r="CB299" s="9">
        <f t="shared" si="183"/>
        <v>0</v>
      </c>
      <c r="CC299" s="9">
        <f t="shared" si="184"/>
        <v>0</v>
      </c>
      <c r="CD299" s="9">
        <f t="shared" si="185"/>
        <v>0</v>
      </c>
      <c r="CE299" s="9">
        <f t="shared" si="186"/>
        <v>0</v>
      </c>
      <c r="CF299" s="9">
        <f t="shared" si="187"/>
        <v>0</v>
      </c>
      <c r="CG299" s="33"/>
      <c r="CH299" s="3">
        <f t="shared" si="188"/>
        <v>0</v>
      </c>
      <c r="CI299" s="3">
        <f t="shared" si="189"/>
        <v>0</v>
      </c>
      <c r="CJ299" s="3">
        <f t="shared" si="190"/>
        <v>0</v>
      </c>
      <c r="CK299" s="3">
        <f t="shared" si="191"/>
        <v>0</v>
      </c>
      <c r="CL299" s="3">
        <f t="shared" si="192"/>
        <v>0</v>
      </c>
      <c r="CM299" s="32"/>
      <c r="CN299" s="3">
        <f t="shared" si="193"/>
        <v>0</v>
      </c>
      <c r="CO299" s="3">
        <f t="shared" si="194"/>
        <v>0</v>
      </c>
      <c r="CP299" s="3">
        <f t="shared" si="195"/>
        <v>0</v>
      </c>
      <c r="CQ299" s="3">
        <f t="shared" si="196"/>
        <v>0</v>
      </c>
      <c r="CR299" s="3">
        <f t="shared" si="197"/>
        <v>0</v>
      </c>
      <c r="CS299" s="31"/>
      <c r="CT299" s="3" cm="1">
        <f t="array" ref="CT299">SUMPRODUCT(--(MOD(CH299:CL299,2)=1))</f>
        <v>0</v>
      </c>
      <c r="CU299" s="3">
        <f t="shared" si="198"/>
        <v>5</v>
      </c>
      <c r="CV299" s="30"/>
      <c r="CW299" s="3" cm="1">
        <f t="array" ref="CW299">SUMPRODUCT(--(MOD(CH299:CL299,10)&gt;=1), --(MOD(CH299:CL299,10)&lt;=5))</f>
        <v>0</v>
      </c>
      <c r="CX299" s="3">
        <f t="shared" si="199"/>
        <v>5</v>
      </c>
      <c r="CY299" s="30"/>
      <c r="CZ299" s="3" cm="1">
        <f t="array" ref="CZ299">IFERROR(COUNT(_xlfn._xlws.FILTER(CH299:CL299, ISNUMBER(MATCH(CH299:CL299, {2,3,5,7,11,13,17,19,23,29,31,37,41,43}, 0)))), 0)</f>
        <v>0</v>
      </c>
      <c r="DA299" s="3" cm="1">
        <f t="array" ref="DA299">IFERROR(COUNT(_xlfn._xlws.FILTER(CH299:CL299, ISNUMBER(MATCH(CH299:CL299, {1,4,8,10,14,16,20,22,25,26,28,32,34,35,38,40,44}, 0)))), 0)</f>
        <v>0</v>
      </c>
      <c r="DB299" s="3" cm="1">
        <f t="array" ref="DB299">IFERROR(COUNT(_xlfn._xlws.FILTER(CH299:CL299, ISNUMBER(MATCH(CH299:CL299, {6,9,12,15,18,21,24,27,30,33,36,39,42,45}, 0)))), 0)</f>
        <v>0</v>
      </c>
      <c r="DC299" s="29"/>
      <c r="DD299" s="28" t="e">
        <f>#REF!</f>
        <v>#REF!</v>
      </c>
      <c r="DE299" s="28" t="e">
        <f>#REF!*2</f>
        <v>#REF!</v>
      </c>
      <c r="DF299" s="28" t="e">
        <f>#REF!</f>
        <v>#REF!</v>
      </c>
      <c r="DG299" s="28" t="e">
        <f>#REF!*2</f>
        <v>#REF!</v>
      </c>
      <c r="DH299" s="28" t="e">
        <f>#REF!</f>
        <v>#REF!</v>
      </c>
      <c r="DI299" s="28" t="e">
        <f>#REF!*2</f>
        <v>#REF!</v>
      </c>
      <c r="DJ299" s="28" t="e">
        <f>#REF!</f>
        <v>#REF!</v>
      </c>
      <c r="DK299" s="28" t="e">
        <f>#REF!*2</f>
        <v>#REF!</v>
      </c>
      <c r="DL299" s="28" t="e">
        <f>#REF!</f>
        <v>#REF!</v>
      </c>
      <c r="DM299" s="28" t="e">
        <f>#REF!*2</f>
        <v>#REF!</v>
      </c>
      <c r="DN299" s="27"/>
      <c r="DO299" s="26"/>
      <c r="DP299" s="26"/>
      <c r="DQ299" s="26"/>
      <c r="DR299" s="26"/>
      <c r="DS299" s="26"/>
      <c r="DT299" s="25"/>
    </row>
    <row r="300" spans="2:124" x14ac:dyDescent="0.3"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2"/>
      <c r="I300" s="3">
        <f t="shared" si="160"/>
        <v>0</v>
      </c>
      <c r="J300" s="3">
        <f t="shared" si="161"/>
        <v>0</v>
      </c>
      <c r="K300" s="3">
        <f t="shared" si="162"/>
        <v>0</v>
      </c>
      <c r="L300" s="3">
        <f t="shared" si="163"/>
        <v>0</v>
      </c>
      <c r="M300" s="3">
        <f t="shared" si="164"/>
        <v>0</v>
      </c>
      <c r="N300" s="3">
        <f t="shared" si="165"/>
        <v>0</v>
      </c>
      <c r="O300" s="32"/>
      <c r="P300" s="3" cm="1">
        <f t="array" ref="P300">SUMPRODUCT(--(MOD(B300:G300,2)=1))</f>
        <v>0</v>
      </c>
      <c r="Q300" s="3">
        <f t="shared" si="166"/>
        <v>6</v>
      </c>
      <c r="R300" s="34"/>
      <c r="S300" s="3">
        <f t="shared" si="167"/>
        <v>0</v>
      </c>
      <c r="T300" s="3">
        <f t="shared" si="168"/>
        <v>6</v>
      </c>
      <c r="U300" s="34"/>
      <c r="V300" s="3" cm="1">
        <f t="array" ref="V300">SUMPRODUCT(--(MOD(B300:G300,10)&gt;=1), --(MOD(B300:G300,10)&lt;=5))</f>
        <v>0</v>
      </c>
      <c r="W300" s="3">
        <f t="shared" si="169"/>
        <v>6</v>
      </c>
      <c r="X300" s="34"/>
      <c r="Y300" s="3" cm="1">
        <f t="array" ref="Y300">IFERROR(COUNT(_xlfn._xlws.FILTER(B300:G300, ISNUMBER(MATCH(B300:G300, {2,3,5,7,11,13,17,19,23,29,31,37,41,43}, 0)))), 0)</f>
        <v>0</v>
      </c>
      <c r="Z300" s="3" cm="1">
        <f t="array" ref="Z300">IFERROR(COUNT(_xlfn._xlws.FILTER(B300:G300, ISNUMBER(MATCH(B300:G300, {1,4,8,10,14,16,20,22,25,26,28,32,34,35,38,40,44}, 0)))), 0)</f>
        <v>0</v>
      </c>
      <c r="AA300" s="3" cm="1">
        <f t="array" ref="AA300">IFERROR(COUNT(_xlfn._xlws.FILTER(B300:G300, ISNUMBER(MATCH(B300:G300, {6,9,12,15,18,21,24,27,30,33,36,39,42,45}, 0)))), 0)</f>
        <v>0</v>
      </c>
      <c r="AB300" s="30"/>
      <c r="AC300" s="26" cm="1">
        <f t="array" ref="AC300">_xlfn.IFS(
   OR(B300="",ISBLANK(B300),B300=0),0,
   ISNUMBER(MATCH(B300,{2,3,5,7,11,13,17,19,23,29,31,37,41,43},0)),"소",
   AND(ISNUMBER(B300),MOD(B300,3)=0),"배",
   AND(ISNUMBER(B300),B300&gt;0),"자"
)</f>
        <v>0</v>
      </c>
      <c r="AD300" s="26" cm="1">
        <f t="array" ref="AD300">_xlfn.IFS(
   OR(C300="",ISBLANK(C300),C300=0),0,
   ISNUMBER(MATCH(C300,{2,3,5,7,11,13,17,19,23,29,31,37,41,43},0)),"소",
   AND(ISNUMBER(C300),MOD(C300,3)=0),"배",
   AND(ISNUMBER(C300),C300&gt;0),"자"
)</f>
        <v>0</v>
      </c>
      <c r="AE300" s="26" cm="1">
        <f t="array" ref="AE300">_xlfn.IFS(
   OR(D300="",ISBLANK(D300),D300=0),0,
   ISNUMBER(MATCH(D300,{2,3,5,7,11,13,17,19,23,29,31,37,41,43},0)),"소",
   AND(ISNUMBER(D300),MOD(D300,3)=0),"배",
   AND(ISNUMBER(D300),D300&gt;0),"자"
)</f>
        <v>0</v>
      </c>
      <c r="AF300" s="26" cm="1">
        <f t="array" ref="AF300">_xlfn.IFS(
   OR(E300="",ISBLANK(E300),E300=0),0,
   ISNUMBER(MATCH(E300,{2,3,5,7,11,13,17,19,23,29,31,37,41,43},0)),"소",
   AND(ISNUMBER(E300),MOD(E300,3)=0),"배",
   AND(ISNUMBER(E300),E300&gt;0),"자"
)</f>
        <v>0</v>
      </c>
      <c r="AG300" s="26" cm="1">
        <f t="array" ref="AG300">_xlfn.IFS(
   OR(F300="",ISBLANK(F300),F300=0),0,
   ISNUMBER(MATCH(F300,{2,3,5,7,11,13,17,19,23,29,31,37,41,43},0)),"소",
   AND(ISNUMBER(F300),MOD(F300,3)=0),"배",
   AND(ISNUMBER(F300),F300&gt;0),"자"
)</f>
        <v>0</v>
      </c>
      <c r="AH300" s="26" cm="1">
        <f t="array" ref="AH300">_xlfn.IFS(
   OR(G300="",ISBLANK(G300),G300=0),0,
   ISNUMBER(MATCH(G300,{2,3,5,7,11,13,17,19,23,29,31,37,41,43},0)),"소",
   AND(ISNUMBER(G300),MOD(G300,3)=0),"배",
   AND(ISNUMBER(G300),G300&gt;0),"자"
)</f>
        <v>0</v>
      </c>
      <c r="AI300" s="30"/>
      <c r="AJ300" s="3">
        <f t="shared" si="170"/>
        <v>0</v>
      </c>
      <c r="AK300" s="3">
        <f t="shared" si="171"/>
        <v>0</v>
      </c>
      <c r="AL300" s="3">
        <f t="shared" si="172"/>
        <v>6</v>
      </c>
      <c r="AM300" s="33"/>
      <c r="AN300" s="3">
        <f t="shared" si="173"/>
        <v>0</v>
      </c>
      <c r="AO300" s="3">
        <f t="shared" si="174"/>
        <v>0</v>
      </c>
      <c r="AP300" s="3">
        <f t="shared" si="175"/>
        <v>0</v>
      </c>
      <c r="AQ300" s="3">
        <f t="shared" si="176"/>
        <v>0</v>
      </c>
      <c r="AR300" s="3">
        <f t="shared" si="177"/>
        <v>0</v>
      </c>
      <c r="AS300" s="28" t="e">
        <f>#REF!</f>
        <v>#REF!</v>
      </c>
      <c r="AT300" s="28" t="e">
        <f>#REF!*2</f>
        <v>#REF!</v>
      </c>
      <c r="AU300" s="28" t="e">
        <f>#REF!</f>
        <v>#REF!</v>
      </c>
      <c r="AV300" s="28" t="e">
        <f>#REF!*2</f>
        <v>#REF!</v>
      </c>
      <c r="AW300" s="28" t="e">
        <f>#REF!</f>
        <v>#REF!</v>
      </c>
      <c r="AX300" s="28" t="e">
        <f>#REF!*2</f>
        <v>#REF!</v>
      </c>
      <c r="AY300" s="28" t="e">
        <f>#REF!</f>
        <v>#REF!</v>
      </c>
      <c r="AZ300" s="28" t="e">
        <f>#REF!*2</f>
        <v>#REF!</v>
      </c>
      <c r="BA300" s="28" t="e">
        <f>#REF!</f>
        <v>#REF!</v>
      </c>
      <c r="BB300" s="28" t="e">
        <f>#REF!*2</f>
        <v>#REF!</v>
      </c>
      <c r="BC300" s="28" t="e">
        <f>#REF!</f>
        <v>#REF!</v>
      </c>
      <c r="BD300" s="28" t="e">
        <f>#REF!*2</f>
        <v>#REF!</v>
      </c>
      <c r="BE300" s="9" t="e">
        <f>#REF!-#REF!</f>
        <v>#REF!</v>
      </c>
      <c r="BF300" s="9" t="e">
        <f>#REF!-#REF!</f>
        <v>#REF!</v>
      </c>
      <c r="BG300" s="9" t="e">
        <f>#REF!-#REF!</f>
        <v>#REF!</v>
      </c>
      <c r="BH300" s="9" t="e">
        <f>#REF!-#REF!</f>
        <v>#REF!</v>
      </c>
      <c r="BI300" s="9" t="e">
        <f>#REF!-#REF!</f>
        <v>#REF!</v>
      </c>
      <c r="BJ300" s="33"/>
      <c r="BK300" s="3">
        <f t="shared" si="178"/>
        <v>0</v>
      </c>
      <c r="BL300" s="3">
        <f t="shared" si="179"/>
        <v>0</v>
      </c>
      <c r="BM300" s="3">
        <f t="shared" si="180"/>
        <v>0</v>
      </c>
      <c r="BN300" s="3">
        <f t="shared" si="181"/>
        <v>0</v>
      </c>
      <c r="BO300" s="3">
        <f t="shared" si="182"/>
        <v>0</v>
      </c>
      <c r="BP300" s="28" t="e">
        <f>#REF!</f>
        <v>#REF!</v>
      </c>
      <c r="BQ300" s="28" t="e">
        <f>#REF!*2</f>
        <v>#REF!</v>
      </c>
      <c r="BR300" s="28" t="e">
        <f>#REF!</f>
        <v>#REF!</v>
      </c>
      <c r="BS300" s="28" t="e">
        <f>#REF!*2</f>
        <v>#REF!</v>
      </c>
      <c r="BT300" s="28" t="e">
        <f>#REF!</f>
        <v>#REF!</v>
      </c>
      <c r="BU300" s="28" t="e">
        <f>#REF!*2</f>
        <v>#REF!</v>
      </c>
      <c r="BV300" s="28" t="e">
        <f>#REF!</f>
        <v>#REF!</v>
      </c>
      <c r="BW300" s="28" t="e">
        <f>#REF!*2</f>
        <v>#REF!</v>
      </c>
      <c r="BX300" s="28" t="e">
        <f>#REF!</f>
        <v>#REF!</v>
      </c>
      <c r="BY300" s="28" t="e">
        <f>#REF!*2</f>
        <v>#REF!</v>
      </c>
      <c r="BZ300" s="28" t="e">
        <f>#REF!</f>
        <v>#REF!</v>
      </c>
      <c r="CA300" s="28" t="e">
        <f>#REF!*2</f>
        <v>#REF!</v>
      </c>
      <c r="CB300" s="9">
        <f t="shared" si="183"/>
        <v>0</v>
      </c>
      <c r="CC300" s="9">
        <f t="shared" si="184"/>
        <v>0</v>
      </c>
      <c r="CD300" s="9">
        <f t="shared" si="185"/>
        <v>0</v>
      </c>
      <c r="CE300" s="9">
        <f t="shared" si="186"/>
        <v>0</v>
      </c>
      <c r="CF300" s="9">
        <f t="shared" si="187"/>
        <v>0</v>
      </c>
      <c r="CG300" s="33"/>
      <c r="CH300" s="3">
        <f t="shared" si="188"/>
        <v>0</v>
      </c>
      <c r="CI300" s="3">
        <f t="shared" si="189"/>
        <v>0</v>
      </c>
      <c r="CJ300" s="3">
        <f t="shared" si="190"/>
        <v>0</v>
      </c>
      <c r="CK300" s="3">
        <f t="shared" si="191"/>
        <v>0</v>
      </c>
      <c r="CL300" s="3">
        <f t="shared" si="192"/>
        <v>0</v>
      </c>
      <c r="CM300" s="32"/>
      <c r="CN300" s="3">
        <f t="shared" si="193"/>
        <v>0</v>
      </c>
      <c r="CO300" s="3">
        <f t="shared" si="194"/>
        <v>0</v>
      </c>
      <c r="CP300" s="3">
        <f t="shared" si="195"/>
        <v>0</v>
      </c>
      <c r="CQ300" s="3">
        <f t="shared" si="196"/>
        <v>0</v>
      </c>
      <c r="CR300" s="3">
        <f t="shared" si="197"/>
        <v>0</v>
      </c>
      <c r="CS300" s="31"/>
      <c r="CT300" s="3" cm="1">
        <f t="array" ref="CT300">SUMPRODUCT(--(MOD(CH300:CL300,2)=1))</f>
        <v>0</v>
      </c>
      <c r="CU300" s="3">
        <f t="shared" si="198"/>
        <v>5</v>
      </c>
      <c r="CV300" s="30"/>
      <c r="CW300" s="3" cm="1">
        <f t="array" ref="CW300">SUMPRODUCT(--(MOD(CH300:CL300,10)&gt;=1), --(MOD(CH300:CL300,10)&lt;=5))</f>
        <v>0</v>
      </c>
      <c r="CX300" s="3">
        <f t="shared" si="199"/>
        <v>5</v>
      </c>
      <c r="CY300" s="30"/>
      <c r="CZ300" s="3" cm="1">
        <f t="array" ref="CZ300">IFERROR(COUNT(_xlfn._xlws.FILTER(CH300:CL300, ISNUMBER(MATCH(CH300:CL300, {2,3,5,7,11,13,17,19,23,29,31,37,41,43}, 0)))), 0)</f>
        <v>0</v>
      </c>
      <c r="DA300" s="3" cm="1">
        <f t="array" ref="DA300">IFERROR(COUNT(_xlfn._xlws.FILTER(CH300:CL300, ISNUMBER(MATCH(CH300:CL300, {1,4,8,10,14,16,20,22,25,26,28,32,34,35,38,40,44}, 0)))), 0)</f>
        <v>0</v>
      </c>
      <c r="DB300" s="3" cm="1">
        <f t="array" ref="DB300">IFERROR(COUNT(_xlfn._xlws.FILTER(CH300:CL300, ISNUMBER(MATCH(CH300:CL300, {6,9,12,15,18,21,24,27,30,33,36,39,42,45}, 0)))), 0)</f>
        <v>0</v>
      </c>
      <c r="DC300" s="29"/>
      <c r="DD300" s="28" t="e">
        <f>#REF!</f>
        <v>#REF!</v>
      </c>
      <c r="DE300" s="28" t="e">
        <f>#REF!*2</f>
        <v>#REF!</v>
      </c>
      <c r="DF300" s="28" t="e">
        <f>#REF!</f>
        <v>#REF!</v>
      </c>
      <c r="DG300" s="28" t="e">
        <f>#REF!*2</f>
        <v>#REF!</v>
      </c>
      <c r="DH300" s="28" t="e">
        <f>#REF!</f>
        <v>#REF!</v>
      </c>
      <c r="DI300" s="28" t="e">
        <f>#REF!*2</f>
        <v>#REF!</v>
      </c>
      <c r="DJ300" s="28" t="e">
        <f>#REF!</f>
        <v>#REF!</v>
      </c>
      <c r="DK300" s="28" t="e">
        <f>#REF!*2</f>
        <v>#REF!</v>
      </c>
      <c r="DL300" s="28" t="e">
        <f>#REF!</f>
        <v>#REF!</v>
      </c>
      <c r="DM300" s="28" t="e">
        <f>#REF!*2</f>
        <v>#REF!</v>
      </c>
      <c r="DN300" s="27"/>
      <c r="DO300" s="26"/>
      <c r="DP300" s="26"/>
      <c r="DQ300" s="26"/>
      <c r="DR300" s="26"/>
      <c r="DS300" s="26"/>
      <c r="DT300" s="25"/>
    </row>
    <row r="301" spans="2:124" x14ac:dyDescent="0.3"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2"/>
      <c r="I301" s="3">
        <f t="shared" si="160"/>
        <v>0</v>
      </c>
      <c r="J301" s="3">
        <f t="shared" si="161"/>
        <v>0</v>
      </c>
      <c r="K301" s="3">
        <f t="shared" si="162"/>
        <v>0</v>
      </c>
      <c r="L301" s="3">
        <f t="shared" si="163"/>
        <v>0</v>
      </c>
      <c r="M301" s="3">
        <f t="shared" si="164"/>
        <v>0</v>
      </c>
      <c r="N301" s="3">
        <f t="shared" si="165"/>
        <v>0</v>
      </c>
      <c r="O301" s="32"/>
      <c r="P301" s="3" cm="1">
        <f t="array" ref="P301">SUMPRODUCT(--(MOD(B301:G301,2)=1))</f>
        <v>0</v>
      </c>
      <c r="Q301" s="3">
        <f t="shared" si="166"/>
        <v>6</v>
      </c>
      <c r="R301" s="34"/>
      <c r="S301" s="3">
        <f t="shared" si="167"/>
        <v>0</v>
      </c>
      <c r="T301" s="3">
        <f t="shared" si="168"/>
        <v>6</v>
      </c>
      <c r="U301" s="34"/>
      <c r="V301" s="3" cm="1">
        <f t="array" ref="V301">SUMPRODUCT(--(MOD(B301:G301,10)&gt;=1), --(MOD(B301:G301,10)&lt;=5))</f>
        <v>0</v>
      </c>
      <c r="W301" s="3">
        <f t="shared" si="169"/>
        <v>6</v>
      </c>
      <c r="X301" s="34"/>
      <c r="Y301" s="3" cm="1">
        <f t="array" ref="Y301">IFERROR(COUNT(_xlfn._xlws.FILTER(B301:G301, ISNUMBER(MATCH(B301:G301, {2,3,5,7,11,13,17,19,23,29,31,37,41,43}, 0)))), 0)</f>
        <v>0</v>
      </c>
      <c r="Z301" s="3" cm="1">
        <f t="array" ref="Z301">IFERROR(COUNT(_xlfn._xlws.FILTER(B301:G301, ISNUMBER(MATCH(B301:G301, {1,4,8,10,14,16,20,22,25,26,28,32,34,35,38,40,44}, 0)))), 0)</f>
        <v>0</v>
      </c>
      <c r="AA301" s="3" cm="1">
        <f t="array" ref="AA301">IFERROR(COUNT(_xlfn._xlws.FILTER(B301:G301, ISNUMBER(MATCH(B301:G301, {6,9,12,15,18,21,24,27,30,33,36,39,42,45}, 0)))), 0)</f>
        <v>0</v>
      </c>
      <c r="AB301" s="30"/>
      <c r="AC301" s="26" cm="1">
        <f t="array" ref="AC301">_xlfn.IFS(
   OR(B301="",ISBLANK(B301),B301=0),0,
   ISNUMBER(MATCH(B301,{2,3,5,7,11,13,17,19,23,29,31,37,41,43},0)),"소",
   AND(ISNUMBER(B301),MOD(B301,3)=0),"배",
   AND(ISNUMBER(B301),B301&gt;0),"자"
)</f>
        <v>0</v>
      </c>
      <c r="AD301" s="26" cm="1">
        <f t="array" ref="AD301">_xlfn.IFS(
   OR(C301="",ISBLANK(C301),C301=0),0,
   ISNUMBER(MATCH(C301,{2,3,5,7,11,13,17,19,23,29,31,37,41,43},0)),"소",
   AND(ISNUMBER(C301),MOD(C301,3)=0),"배",
   AND(ISNUMBER(C301),C301&gt;0),"자"
)</f>
        <v>0</v>
      </c>
      <c r="AE301" s="26" cm="1">
        <f t="array" ref="AE301">_xlfn.IFS(
   OR(D301="",ISBLANK(D301),D301=0),0,
   ISNUMBER(MATCH(D301,{2,3,5,7,11,13,17,19,23,29,31,37,41,43},0)),"소",
   AND(ISNUMBER(D301),MOD(D301,3)=0),"배",
   AND(ISNUMBER(D301),D301&gt;0),"자"
)</f>
        <v>0</v>
      </c>
      <c r="AF301" s="26" cm="1">
        <f t="array" ref="AF301">_xlfn.IFS(
   OR(E301="",ISBLANK(E301),E301=0),0,
   ISNUMBER(MATCH(E301,{2,3,5,7,11,13,17,19,23,29,31,37,41,43},0)),"소",
   AND(ISNUMBER(E301),MOD(E301,3)=0),"배",
   AND(ISNUMBER(E301),E301&gt;0),"자"
)</f>
        <v>0</v>
      </c>
      <c r="AG301" s="26" cm="1">
        <f t="array" ref="AG301">_xlfn.IFS(
   OR(F301="",ISBLANK(F301),F301=0),0,
   ISNUMBER(MATCH(F301,{2,3,5,7,11,13,17,19,23,29,31,37,41,43},0)),"소",
   AND(ISNUMBER(F301),MOD(F301,3)=0),"배",
   AND(ISNUMBER(F301),F301&gt;0),"자"
)</f>
        <v>0</v>
      </c>
      <c r="AH301" s="26" cm="1">
        <f t="array" ref="AH301">_xlfn.IFS(
   OR(G301="",ISBLANK(G301),G301=0),0,
   ISNUMBER(MATCH(G301,{2,3,5,7,11,13,17,19,23,29,31,37,41,43},0)),"소",
   AND(ISNUMBER(G301),MOD(G301,3)=0),"배",
   AND(ISNUMBER(G301),G301&gt;0),"자"
)</f>
        <v>0</v>
      </c>
      <c r="AI301" s="30"/>
      <c r="AJ301" s="3">
        <f t="shared" si="170"/>
        <v>0</v>
      </c>
      <c r="AK301" s="3">
        <f t="shared" si="171"/>
        <v>0</v>
      </c>
      <c r="AL301" s="3">
        <f t="shared" si="172"/>
        <v>6</v>
      </c>
      <c r="AM301" s="33"/>
      <c r="AN301" s="3">
        <f t="shared" si="173"/>
        <v>0</v>
      </c>
      <c r="AO301" s="3">
        <f t="shared" si="174"/>
        <v>0</v>
      </c>
      <c r="AP301" s="3">
        <f t="shared" si="175"/>
        <v>0</v>
      </c>
      <c r="AQ301" s="3">
        <f t="shared" si="176"/>
        <v>0</v>
      </c>
      <c r="AR301" s="3">
        <f t="shared" si="177"/>
        <v>0</v>
      </c>
      <c r="AS301" s="28" t="e">
        <f>#REF!</f>
        <v>#REF!</v>
      </c>
      <c r="AT301" s="28" t="e">
        <f>#REF!*2</f>
        <v>#REF!</v>
      </c>
      <c r="AU301" s="28" t="e">
        <f>#REF!</f>
        <v>#REF!</v>
      </c>
      <c r="AV301" s="28" t="e">
        <f>#REF!*2</f>
        <v>#REF!</v>
      </c>
      <c r="AW301" s="28" t="e">
        <f>#REF!</f>
        <v>#REF!</v>
      </c>
      <c r="AX301" s="28" t="e">
        <f>#REF!*2</f>
        <v>#REF!</v>
      </c>
      <c r="AY301" s="28" t="e">
        <f>#REF!</f>
        <v>#REF!</v>
      </c>
      <c r="AZ301" s="28" t="e">
        <f>#REF!*2</f>
        <v>#REF!</v>
      </c>
      <c r="BA301" s="28" t="e">
        <f>#REF!</f>
        <v>#REF!</v>
      </c>
      <c r="BB301" s="28" t="e">
        <f>#REF!*2</f>
        <v>#REF!</v>
      </c>
      <c r="BC301" s="28" t="e">
        <f>#REF!</f>
        <v>#REF!</v>
      </c>
      <c r="BD301" s="28" t="e">
        <f>#REF!*2</f>
        <v>#REF!</v>
      </c>
      <c r="BE301" s="9" t="e">
        <f>#REF!-#REF!</f>
        <v>#REF!</v>
      </c>
      <c r="BF301" s="9" t="e">
        <f>#REF!-#REF!</f>
        <v>#REF!</v>
      </c>
      <c r="BG301" s="9" t="e">
        <f>#REF!-#REF!</f>
        <v>#REF!</v>
      </c>
      <c r="BH301" s="9" t="e">
        <f>#REF!-#REF!</f>
        <v>#REF!</v>
      </c>
      <c r="BI301" s="9" t="e">
        <f>#REF!-#REF!</f>
        <v>#REF!</v>
      </c>
      <c r="BJ301" s="33"/>
      <c r="BK301" s="3">
        <f t="shared" si="178"/>
        <v>0</v>
      </c>
      <c r="BL301" s="3">
        <f t="shared" si="179"/>
        <v>0</v>
      </c>
      <c r="BM301" s="3">
        <f t="shared" si="180"/>
        <v>0</v>
      </c>
      <c r="BN301" s="3">
        <f t="shared" si="181"/>
        <v>0</v>
      </c>
      <c r="BO301" s="3">
        <f t="shared" si="182"/>
        <v>0</v>
      </c>
      <c r="BP301" s="28" t="e">
        <f>#REF!</f>
        <v>#REF!</v>
      </c>
      <c r="BQ301" s="28" t="e">
        <f>#REF!*2</f>
        <v>#REF!</v>
      </c>
      <c r="BR301" s="28" t="e">
        <f>#REF!</f>
        <v>#REF!</v>
      </c>
      <c r="BS301" s="28" t="e">
        <f>#REF!*2</f>
        <v>#REF!</v>
      </c>
      <c r="BT301" s="28" t="e">
        <f>#REF!</f>
        <v>#REF!</v>
      </c>
      <c r="BU301" s="28" t="e">
        <f>#REF!*2</f>
        <v>#REF!</v>
      </c>
      <c r="BV301" s="28" t="e">
        <f>#REF!</f>
        <v>#REF!</v>
      </c>
      <c r="BW301" s="28" t="e">
        <f>#REF!*2</f>
        <v>#REF!</v>
      </c>
      <c r="BX301" s="28" t="e">
        <f>#REF!</f>
        <v>#REF!</v>
      </c>
      <c r="BY301" s="28" t="e">
        <f>#REF!*2</f>
        <v>#REF!</v>
      </c>
      <c r="BZ301" s="28" t="e">
        <f>#REF!</f>
        <v>#REF!</v>
      </c>
      <c r="CA301" s="28" t="e">
        <f>#REF!*2</f>
        <v>#REF!</v>
      </c>
      <c r="CB301" s="9">
        <f t="shared" si="183"/>
        <v>0</v>
      </c>
      <c r="CC301" s="9">
        <f t="shared" si="184"/>
        <v>0</v>
      </c>
      <c r="CD301" s="9">
        <f t="shared" si="185"/>
        <v>0</v>
      </c>
      <c r="CE301" s="9">
        <f t="shared" si="186"/>
        <v>0</v>
      </c>
      <c r="CF301" s="9">
        <f t="shared" si="187"/>
        <v>0</v>
      </c>
      <c r="CG301" s="33"/>
      <c r="CH301" s="3">
        <f t="shared" si="188"/>
        <v>0</v>
      </c>
      <c r="CI301" s="3">
        <f t="shared" si="189"/>
        <v>0</v>
      </c>
      <c r="CJ301" s="3">
        <f t="shared" si="190"/>
        <v>0</v>
      </c>
      <c r="CK301" s="3">
        <f t="shared" si="191"/>
        <v>0</v>
      </c>
      <c r="CL301" s="3">
        <f t="shared" si="192"/>
        <v>0</v>
      </c>
      <c r="CM301" s="32"/>
      <c r="CN301" s="3">
        <f t="shared" si="193"/>
        <v>0</v>
      </c>
      <c r="CO301" s="3">
        <f t="shared" si="194"/>
        <v>0</v>
      </c>
      <c r="CP301" s="3">
        <f t="shared" si="195"/>
        <v>0</v>
      </c>
      <c r="CQ301" s="3">
        <f t="shared" si="196"/>
        <v>0</v>
      </c>
      <c r="CR301" s="3">
        <f t="shared" si="197"/>
        <v>0</v>
      </c>
      <c r="CS301" s="31"/>
      <c r="CT301" s="3" cm="1">
        <f t="array" ref="CT301">SUMPRODUCT(--(MOD(CH301:CL301,2)=1))</f>
        <v>0</v>
      </c>
      <c r="CU301" s="3">
        <f t="shared" si="198"/>
        <v>5</v>
      </c>
      <c r="CV301" s="30"/>
      <c r="CW301" s="3" cm="1">
        <f t="array" ref="CW301">SUMPRODUCT(--(MOD(CH301:CL301,10)&gt;=1), --(MOD(CH301:CL301,10)&lt;=5))</f>
        <v>0</v>
      </c>
      <c r="CX301" s="3">
        <f t="shared" si="199"/>
        <v>5</v>
      </c>
      <c r="CY301" s="30"/>
      <c r="CZ301" s="3" cm="1">
        <f t="array" ref="CZ301">IFERROR(COUNT(_xlfn._xlws.FILTER(CH301:CL301, ISNUMBER(MATCH(CH301:CL301, {2,3,5,7,11,13,17,19,23,29,31,37,41,43}, 0)))), 0)</f>
        <v>0</v>
      </c>
      <c r="DA301" s="3" cm="1">
        <f t="array" ref="DA301">IFERROR(COUNT(_xlfn._xlws.FILTER(CH301:CL301, ISNUMBER(MATCH(CH301:CL301, {1,4,8,10,14,16,20,22,25,26,28,32,34,35,38,40,44}, 0)))), 0)</f>
        <v>0</v>
      </c>
      <c r="DB301" s="3" cm="1">
        <f t="array" ref="DB301">IFERROR(COUNT(_xlfn._xlws.FILTER(CH301:CL301, ISNUMBER(MATCH(CH301:CL301, {6,9,12,15,18,21,24,27,30,33,36,39,42,45}, 0)))), 0)</f>
        <v>0</v>
      </c>
      <c r="DC301" s="29"/>
      <c r="DD301" s="28" t="e">
        <f>#REF!</f>
        <v>#REF!</v>
      </c>
      <c r="DE301" s="28" t="e">
        <f>#REF!*2</f>
        <v>#REF!</v>
      </c>
      <c r="DF301" s="28" t="e">
        <f>#REF!</f>
        <v>#REF!</v>
      </c>
      <c r="DG301" s="28" t="e">
        <f>#REF!*2</f>
        <v>#REF!</v>
      </c>
      <c r="DH301" s="28" t="e">
        <f>#REF!</f>
        <v>#REF!</v>
      </c>
      <c r="DI301" s="28" t="e">
        <f>#REF!*2</f>
        <v>#REF!</v>
      </c>
      <c r="DJ301" s="28" t="e">
        <f>#REF!</f>
        <v>#REF!</v>
      </c>
      <c r="DK301" s="28" t="e">
        <f>#REF!*2</f>
        <v>#REF!</v>
      </c>
      <c r="DL301" s="28" t="e">
        <f>#REF!</f>
        <v>#REF!</v>
      </c>
      <c r="DM301" s="28" t="e">
        <f>#REF!*2</f>
        <v>#REF!</v>
      </c>
      <c r="DN301" s="27"/>
      <c r="DO301" s="26"/>
      <c r="DP301" s="26"/>
      <c r="DQ301" s="26"/>
      <c r="DR301" s="26"/>
      <c r="DS301" s="26"/>
      <c r="DT301" s="25"/>
    </row>
    <row r="302" spans="2:124" x14ac:dyDescent="0.3"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2"/>
      <c r="I302" s="3">
        <f t="shared" si="160"/>
        <v>0</v>
      </c>
      <c r="J302" s="3">
        <f t="shared" si="161"/>
        <v>0</v>
      </c>
      <c r="K302" s="3">
        <f t="shared" si="162"/>
        <v>0</v>
      </c>
      <c r="L302" s="3">
        <f t="shared" si="163"/>
        <v>0</v>
      </c>
      <c r="M302" s="3">
        <f t="shared" si="164"/>
        <v>0</v>
      </c>
      <c r="N302" s="3">
        <f t="shared" si="165"/>
        <v>0</v>
      </c>
      <c r="O302" s="32"/>
      <c r="P302" s="3" cm="1">
        <f t="array" ref="P302">SUMPRODUCT(--(MOD(B302:G302,2)=1))</f>
        <v>0</v>
      </c>
      <c r="Q302" s="3">
        <f t="shared" si="166"/>
        <v>6</v>
      </c>
      <c r="R302" s="34"/>
      <c r="S302" s="3">
        <f t="shared" si="167"/>
        <v>0</v>
      </c>
      <c r="T302" s="3">
        <f t="shared" si="168"/>
        <v>6</v>
      </c>
      <c r="U302" s="34"/>
      <c r="V302" s="3" cm="1">
        <f t="array" ref="V302">SUMPRODUCT(--(MOD(B302:G302,10)&gt;=1), --(MOD(B302:G302,10)&lt;=5))</f>
        <v>0</v>
      </c>
      <c r="W302" s="3">
        <f t="shared" si="169"/>
        <v>6</v>
      </c>
      <c r="X302" s="34"/>
      <c r="Y302" s="3" cm="1">
        <f t="array" ref="Y302">IFERROR(COUNT(_xlfn._xlws.FILTER(B302:G302, ISNUMBER(MATCH(B302:G302, {2,3,5,7,11,13,17,19,23,29,31,37,41,43}, 0)))), 0)</f>
        <v>0</v>
      </c>
      <c r="Z302" s="3" cm="1">
        <f t="array" ref="Z302">IFERROR(COUNT(_xlfn._xlws.FILTER(B302:G302, ISNUMBER(MATCH(B302:G302, {1,4,8,10,14,16,20,22,25,26,28,32,34,35,38,40,44}, 0)))), 0)</f>
        <v>0</v>
      </c>
      <c r="AA302" s="3" cm="1">
        <f t="array" ref="AA302">IFERROR(COUNT(_xlfn._xlws.FILTER(B302:G302, ISNUMBER(MATCH(B302:G302, {6,9,12,15,18,21,24,27,30,33,36,39,42,45}, 0)))), 0)</f>
        <v>0</v>
      </c>
      <c r="AB302" s="30"/>
      <c r="AC302" s="26" cm="1">
        <f t="array" ref="AC302">_xlfn.IFS(
   OR(B302="",ISBLANK(B302),B302=0),0,
   ISNUMBER(MATCH(B302,{2,3,5,7,11,13,17,19,23,29,31,37,41,43},0)),"소",
   AND(ISNUMBER(B302),MOD(B302,3)=0),"배",
   AND(ISNUMBER(B302),B302&gt;0),"자"
)</f>
        <v>0</v>
      </c>
      <c r="AD302" s="26" cm="1">
        <f t="array" ref="AD302">_xlfn.IFS(
   OR(C302="",ISBLANK(C302),C302=0),0,
   ISNUMBER(MATCH(C302,{2,3,5,7,11,13,17,19,23,29,31,37,41,43},0)),"소",
   AND(ISNUMBER(C302),MOD(C302,3)=0),"배",
   AND(ISNUMBER(C302),C302&gt;0),"자"
)</f>
        <v>0</v>
      </c>
      <c r="AE302" s="26" cm="1">
        <f t="array" ref="AE302">_xlfn.IFS(
   OR(D302="",ISBLANK(D302),D302=0),0,
   ISNUMBER(MATCH(D302,{2,3,5,7,11,13,17,19,23,29,31,37,41,43},0)),"소",
   AND(ISNUMBER(D302),MOD(D302,3)=0),"배",
   AND(ISNUMBER(D302),D302&gt;0),"자"
)</f>
        <v>0</v>
      </c>
      <c r="AF302" s="26" cm="1">
        <f t="array" ref="AF302">_xlfn.IFS(
   OR(E302="",ISBLANK(E302),E302=0),0,
   ISNUMBER(MATCH(E302,{2,3,5,7,11,13,17,19,23,29,31,37,41,43},0)),"소",
   AND(ISNUMBER(E302),MOD(E302,3)=0),"배",
   AND(ISNUMBER(E302),E302&gt;0),"자"
)</f>
        <v>0</v>
      </c>
      <c r="AG302" s="26" cm="1">
        <f t="array" ref="AG302">_xlfn.IFS(
   OR(F302="",ISBLANK(F302),F302=0),0,
   ISNUMBER(MATCH(F302,{2,3,5,7,11,13,17,19,23,29,31,37,41,43},0)),"소",
   AND(ISNUMBER(F302),MOD(F302,3)=0),"배",
   AND(ISNUMBER(F302),F302&gt;0),"자"
)</f>
        <v>0</v>
      </c>
      <c r="AH302" s="26" cm="1">
        <f t="array" ref="AH302">_xlfn.IFS(
   OR(G302="",ISBLANK(G302),G302=0),0,
   ISNUMBER(MATCH(G302,{2,3,5,7,11,13,17,19,23,29,31,37,41,43},0)),"소",
   AND(ISNUMBER(G302),MOD(G302,3)=0),"배",
   AND(ISNUMBER(G302),G302&gt;0),"자"
)</f>
        <v>0</v>
      </c>
      <c r="AI302" s="30"/>
      <c r="AJ302" s="3">
        <f t="shared" si="170"/>
        <v>0</v>
      </c>
      <c r="AK302" s="3">
        <f t="shared" si="171"/>
        <v>0</v>
      </c>
      <c r="AL302" s="3">
        <f t="shared" si="172"/>
        <v>6</v>
      </c>
      <c r="AM302" s="33"/>
      <c r="AN302" s="3">
        <f t="shared" si="173"/>
        <v>0</v>
      </c>
      <c r="AO302" s="3">
        <f t="shared" si="174"/>
        <v>0</v>
      </c>
      <c r="AP302" s="3">
        <f t="shared" si="175"/>
        <v>0</v>
      </c>
      <c r="AQ302" s="3">
        <f t="shared" si="176"/>
        <v>0</v>
      </c>
      <c r="AR302" s="3">
        <f t="shared" si="177"/>
        <v>0</v>
      </c>
      <c r="AS302" s="28" t="e">
        <f>#REF!</f>
        <v>#REF!</v>
      </c>
      <c r="AT302" s="28" t="e">
        <f>#REF!*2</f>
        <v>#REF!</v>
      </c>
      <c r="AU302" s="28" t="e">
        <f>#REF!</f>
        <v>#REF!</v>
      </c>
      <c r="AV302" s="28" t="e">
        <f>#REF!*2</f>
        <v>#REF!</v>
      </c>
      <c r="AW302" s="28" t="e">
        <f>#REF!</f>
        <v>#REF!</v>
      </c>
      <c r="AX302" s="28" t="e">
        <f>#REF!*2</f>
        <v>#REF!</v>
      </c>
      <c r="AY302" s="28" t="e">
        <f>#REF!</f>
        <v>#REF!</v>
      </c>
      <c r="AZ302" s="28" t="e">
        <f>#REF!*2</f>
        <v>#REF!</v>
      </c>
      <c r="BA302" s="28" t="e">
        <f>#REF!</f>
        <v>#REF!</v>
      </c>
      <c r="BB302" s="28" t="e">
        <f>#REF!*2</f>
        <v>#REF!</v>
      </c>
      <c r="BC302" s="28" t="e">
        <f>#REF!</f>
        <v>#REF!</v>
      </c>
      <c r="BD302" s="28" t="e">
        <f>#REF!*2</f>
        <v>#REF!</v>
      </c>
      <c r="BE302" s="9" t="e">
        <f>#REF!-#REF!</f>
        <v>#REF!</v>
      </c>
      <c r="BF302" s="9" t="e">
        <f>#REF!-#REF!</f>
        <v>#REF!</v>
      </c>
      <c r="BG302" s="9" t="e">
        <f>#REF!-#REF!</f>
        <v>#REF!</v>
      </c>
      <c r="BH302" s="9" t="e">
        <f>#REF!-#REF!</f>
        <v>#REF!</v>
      </c>
      <c r="BI302" s="9" t="e">
        <f>#REF!-#REF!</f>
        <v>#REF!</v>
      </c>
      <c r="BJ302" s="33"/>
      <c r="BK302" s="3">
        <f t="shared" si="178"/>
        <v>0</v>
      </c>
      <c r="BL302" s="3">
        <f t="shared" si="179"/>
        <v>0</v>
      </c>
      <c r="BM302" s="3">
        <f t="shared" si="180"/>
        <v>0</v>
      </c>
      <c r="BN302" s="3">
        <f t="shared" si="181"/>
        <v>0</v>
      </c>
      <c r="BO302" s="3">
        <f t="shared" si="182"/>
        <v>0</v>
      </c>
      <c r="BP302" s="28" t="e">
        <f>#REF!</f>
        <v>#REF!</v>
      </c>
      <c r="BQ302" s="28" t="e">
        <f>#REF!*2</f>
        <v>#REF!</v>
      </c>
      <c r="BR302" s="28" t="e">
        <f>#REF!</f>
        <v>#REF!</v>
      </c>
      <c r="BS302" s="28" t="e">
        <f>#REF!*2</f>
        <v>#REF!</v>
      </c>
      <c r="BT302" s="28" t="e">
        <f>#REF!</f>
        <v>#REF!</v>
      </c>
      <c r="BU302" s="28" t="e">
        <f>#REF!*2</f>
        <v>#REF!</v>
      </c>
      <c r="BV302" s="28" t="e">
        <f>#REF!</f>
        <v>#REF!</v>
      </c>
      <c r="BW302" s="28" t="e">
        <f>#REF!*2</f>
        <v>#REF!</v>
      </c>
      <c r="BX302" s="28" t="e">
        <f>#REF!</f>
        <v>#REF!</v>
      </c>
      <c r="BY302" s="28" t="e">
        <f>#REF!*2</f>
        <v>#REF!</v>
      </c>
      <c r="BZ302" s="28" t="e">
        <f>#REF!</f>
        <v>#REF!</v>
      </c>
      <c r="CA302" s="28" t="e">
        <f>#REF!*2</f>
        <v>#REF!</v>
      </c>
      <c r="CB302" s="9">
        <f t="shared" si="183"/>
        <v>0</v>
      </c>
      <c r="CC302" s="9">
        <f t="shared" si="184"/>
        <v>0</v>
      </c>
      <c r="CD302" s="9">
        <f t="shared" si="185"/>
        <v>0</v>
      </c>
      <c r="CE302" s="9">
        <f t="shared" si="186"/>
        <v>0</v>
      </c>
      <c r="CF302" s="9">
        <f t="shared" si="187"/>
        <v>0</v>
      </c>
      <c r="CG302" s="33"/>
      <c r="CH302" s="3">
        <f t="shared" si="188"/>
        <v>0</v>
      </c>
      <c r="CI302" s="3">
        <f t="shared" si="189"/>
        <v>0</v>
      </c>
      <c r="CJ302" s="3">
        <f t="shared" si="190"/>
        <v>0</v>
      </c>
      <c r="CK302" s="3">
        <f t="shared" si="191"/>
        <v>0</v>
      </c>
      <c r="CL302" s="3">
        <f t="shared" si="192"/>
        <v>0</v>
      </c>
      <c r="CM302" s="32"/>
      <c r="CN302" s="3">
        <f t="shared" si="193"/>
        <v>0</v>
      </c>
      <c r="CO302" s="3">
        <f t="shared" si="194"/>
        <v>0</v>
      </c>
      <c r="CP302" s="3">
        <f t="shared" si="195"/>
        <v>0</v>
      </c>
      <c r="CQ302" s="3">
        <f t="shared" si="196"/>
        <v>0</v>
      </c>
      <c r="CR302" s="3">
        <f t="shared" si="197"/>
        <v>0</v>
      </c>
      <c r="CS302" s="31"/>
      <c r="CT302" s="3" cm="1">
        <f t="array" ref="CT302">SUMPRODUCT(--(MOD(CH302:CL302,2)=1))</f>
        <v>0</v>
      </c>
      <c r="CU302" s="3">
        <f t="shared" si="198"/>
        <v>5</v>
      </c>
      <c r="CV302" s="30"/>
      <c r="CW302" s="3" cm="1">
        <f t="array" ref="CW302">SUMPRODUCT(--(MOD(CH302:CL302,10)&gt;=1), --(MOD(CH302:CL302,10)&lt;=5))</f>
        <v>0</v>
      </c>
      <c r="CX302" s="3">
        <f t="shared" si="199"/>
        <v>5</v>
      </c>
      <c r="CY302" s="30"/>
      <c r="CZ302" s="3" cm="1">
        <f t="array" ref="CZ302">IFERROR(COUNT(_xlfn._xlws.FILTER(CH302:CL302, ISNUMBER(MATCH(CH302:CL302, {2,3,5,7,11,13,17,19,23,29,31,37,41,43}, 0)))), 0)</f>
        <v>0</v>
      </c>
      <c r="DA302" s="3" cm="1">
        <f t="array" ref="DA302">IFERROR(COUNT(_xlfn._xlws.FILTER(CH302:CL302, ISNUMBER(MATCH(CH302:CL302, {1,4,8,10,14,16,20,22,25,26,28,32,34,35,38,40,44}, 0)))), 0)</f>
        <v>0</v>
      </c>
      <c r="DB302" s="3" cm="1">
        <f t="array" ref="DB302">IFERROR(COUNT(_xlfn._xlws.FILTER(CH302:CL302, ISNUMBER(MATCH(CH302:CL302, {6,9,12,15,18,21,24,27,30,33,36,39,42,45}, 0)))), 0)</f>
        <v>0</v>
      </c>
      <c r="DC302" s="29"/>
      <c r="DD302" s="28" t="e">
        <f>#REF!</f>
        <v>#REF!</v>
      </c>
      <c r="DE302" s="28" t="e">
        <f>#REF!*2</f>
        <v>#REF!</v>
      </c>
      <c r="DF302" s="28" t="e">
        <f>#REF!</f>
        <v>#REF!</v>
      </c>
      <c r="DG302" s="28" t="e">
        <f>#REF!*2</f>
        <v>#REF!</v>
      </c>
      <c r="DH302" s="28" t="e">
        <f>#REF!</f>
        <v>#REF!</v>
      </c>
      <c r="DI302" s="28" t="e">
        <f>#REF!*2</f>
        <v>#REF!</v>
      </c>
      <c r="DJ302" s="28" t="e">
        <f>#REF!</f>
        <v>#REF!</v>
      </c>
      <c r="DK302" s="28" t="e">
        <f>#REF!*2</f>
        <v>#REF!</v>
      </c>
      <c r="DL302" s="28" t="e">
        <f>#REF!</f>
        <v>#REF!</v>
      </c>
      <c r="DM302" s="28" t="e">
        <f>#REF!*2</f>
        <v>#REF!</v>
      </c>
      <c r="DN302" s="27"/>
      <c r="DO302" s="26"/>
      <c r="DP302" s="26"/>
      <c r="DQ302" s="26"/>
      <c r="DR302" s="26"/>
      <c r="DS302" s="26"/>
      <c r="DT302" s="25"/>
    </row>
    <row r="303" spans="2:124" x14ac:dyDescent="0.3"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2"/>
      <c r="I303" s="3">
        <f t="shared" si="160"/>
        <v>0</v>
      </c>
      <c r="J303" s="3">
        <f t="shared" si="161"/>
        <v>0</v>
      </c>
      <c r="K303" s="3">
        <f t="shared" si="162"/>
        <v>0</v>
      </c>
      <c r="L303" s="3">
        <f t="shared" si="163"/>
        <v>0</v>
      </c>
      <c r="M303" s="3">
        <f t="shared" si="164"/>
        <v>0</v>
      </c>
      <c r="N303" s="3">
        <f t="shared" si="165"/>
        <v>0</v>
      </c>
      <c r="O303" s="32"/>
      <c r="P303" s="3" cm="1">
        <f t="array" ref="P303">SUMPRODUCT(--(MOD(B303:G303,2)=1))</f>
        <v>0</v>
      </c>
      <c r="Q303" s="3">
        <f t="shared" si="166"/>
        <v>6</v>
      </c>
      <c r="R303" s="34"/>
      <c r="S303" s="3">
        <f t="shared" si="167"/>
        <v>0</v>
      </c>
      <c r="T303" s="3">
        <f t="shared" si="168"/>
        <v>6</v>
      </c>
      <c r="U303" s="34"/>
      <c r="V303" s="3" cm="1">
        <f t="array" ref="V303">SUMPRODUCT(--(MOD(B303:G303,10)&gt;=1), --(MOD(B303:G303,10)&lt;=5))</f>
        <v>0</v>
      </c>
      <c r="W303" s="3">
        <f t="shared" si="169"/>
        <v>6</v>
      </c>
      <c r="X303" s="34"/>
      <c r="Y303" s="3" cm="1">
        <f t="array" ref="Y303">IFERROR(COUNT(_xlfn._xlws.FILTER(B303:G303, ISNUMBER(MATCH(B303:G303, {2,3,5,7,11,13,17,19,23,29,31,37,41,43}, 0)))), 0)</f>
        <v>0</v>
      </c>
      <c r="Z303" s="3" cm="1">
        <f t="array" ref="Z303">IFERROR(COUNT(_xlfn._xlws.FILTER(B303:G303, ISNUMBER(MATCH(B303:G303, {1,4,8,10,14,16,20,22,25,26,28,32,34,35,38,40,44}, 0)))), 0)</f>
        <v>0</v>
      </c>
      <c r="AA303" s="3" cm="1">
        <f t="array" ref="AA303">IFERROR(COUNT(_xlfn._xlws.FILTER(B303:G303, ISNUMBER(MATCH(B303:G303, {6,9,12,15,18,21,24,27,30,33,36,39,42,45}, 0)))), 0)</f>
        <v>0</v>
      </c>
      <c r="AB303" s="30"/>
      <c r="AC303" s="26" cm="1">
        <f t="array" ref="AC303">_xlfn.IFS(
   OR(B303="",ISBLANK(B303),B303=0),0,
   ISNUMBER(MATCH(B303,{2,3,5,7,11,13,17,19,23,29,31,37,41,43},0)),"소",
   AND(ISNUMBER(B303),MOD(B303,3)=0),"배",
   AND(ISNUMBER(B303),B303&gt;0),"자"
)</f>
        <v>0</v>
      </c>
      <c r="AD303" s="26" cm="1">
        <f t="array" ref="AD303">_xlfn.IFS(
   OR(C303="",ISBLANK(C303),C303=0),0,
   ISNUMBER(MATCH(C303,{2,3,5,7,11,13,17,19,23,29,31,37,41,43},0)),"소",
   AND(ISNUMBER(C303),MOD(C303,3)=0),"배",
   AND(ISNUMBER(C303),C303&gt;0),"자"
)</f>
        <v>0</v>
      </c>
      <c r="AE303" s="26" cm="1">
        <f t="array" ref="AE303">_xlfn.IFS(
   OR(D303="",ISBLANK(D303),D303=0),0,
   ISNUMBER(MATCH(D303,{2,3,5,7,11,13,17,19,23,29,31,37,41,43},0)),"소",
   AND(ISNUMBER(D303),MOD(D303,3)=0),"배",
   AND(ISNUMBER(D303),D303&gt;0),"자"
)</f>
        <v>0</v>
      </c>
      <c r="AF303" s="26" cm="1">
        <f t="array" ref="AF303">_xlfn.IFS(
   OR(E303="",ISBLANK(E303),E303=0),0,
   ISNUMBER(MATCH(E303,{2,3,5,7,11,13,17,19,23,29,31,37,41,43},0)),"소",
   AND(ISNUMBER(E303),MOD(E303,3)=0),"배",
   AND(ISNUMBER(E303),E303&gt;0),"자"
)</f>
        <v>0</v>
      </c>
      <c r="AG303" s="26" cm="1">
        <f t="array" ref="AG303">_xlfn.IFS(
   OR(F303="",ISBLANK(F303),F303=0),0,
   ISNUMBER(MATCH(F303,{2,3,5,7,11,13,17,19,23,29,31,37,41,43},0)),"소",
   AND(ISNUMBER(F303),MOD(F303,3)=0),"배",
   AND(ISNUMBER(F303),F303&gt;0),"자"
)</f>
        <v>0</v>
      </c>
      <c r="AH303" s="26" cm="1">
        <f t="array" ref="AH303">_xlfn.IFS(
   OR(G303="",ISBLANK(G303),G303=0),0,
   ISNUMBER(MATCH(G303,{2,3,5,7,11,13,17,19,23,29,31,37,41,43},0)),"소",
   AND(ISNUMBER(G303),MOD(G303,3)=0),"배",
   AND(ISNUMBER(G303),G303&gt;0),"자"
)</f>
        <v>0</v>
      </c>
      <c r="AI303" s="30"/>
      <c r="AJ303" s="3">
        <f t="shared" si="170"/>
        <v>0</v>
      </c>
      <c r="AK303" s="3">
        <f t="shared" si="171"/>
        <v>0</v>
      </c>
      <c r="AL303" s="3">
        <f t="shared" si="172"/>
        <v>6</v>
      </c>
      <c r="AM303" s="33"/>
      <c r="AN303" s="3">
        <f t="shared" si="173"/>
        <v>0</v>
      </c>
      <c r="AO303" s="3">
        <f t="shared" si="174"/>
        <v>0</v>
      </c>
      <c r="AP303" s="3">
        <f t="shared" si="175"/>
        <v>0</v>
      </c>
      <c r="AQ303" s="3">
        <f t="shared" si="176"/>
        <v>0</v>
      </c>
      <c r="AR303" s="3">
        <f t="shared" si="177"/>
        <v>0</v>
      </c>
      <c r="AS303" s="28" t="e">
        <f>#REF!</f>
        <v>#REF!</v>
      </c>
      <c r="AT303" s="28" t="e">
        <f>#REF!*2</f>
        <v>#REF!</v>
      </c>
      <c r="AU303" s="28" t="e">
        <f>#REF!</f>
        <v>#REF!</v>
      </c>
      <c r="AV303" s="28" t="e">
        <f>#REF!*2</f>
        <v>#REF!</v>
      </c>
      <c r="AW303" s="28" t="e">
        <f>#REF!</f>
        <v>#REF!</v>
      </c>
      <c r="AX303" s="28" t="e">
        <f>#REF!*2</f>
        <v>#REF!</v>
      </c>
      <c r="AY303" s="28" t="e">
        <f>#REF!</f>
        <v>#REF!</v>
      </c>
      <c r="AZ303" s="28" t="e">
        <f>#REF!*2</f>
        <v>#REF!</v>
      </c>
      <c r="BA303" s="28" t="e">
        <f>#REF!</f>
        <v>#REF!</v>
      </c>
      <c r="BB303" s="28" t="e">
        <f>#REF!*2</f>
        <v>#REF!</v>
      </c>
      <c r="BC303" s="28" t="e">
        <f>#REF!</f>
        <v>#REF!</v>
      </c>
      <c r="BD303" s="28" t="e">
        <f>#REF!*2</f>
        <v>#REF!</v>
      </c>
      <c r="BE303" s="9" t="e">
        <f>#REF!-#REF!</f>
        <v>#REF!</v>
      </c>
      <c r="BF303" s="9" t="e">
        <f>#REF!-#REF!</f>
        <v>#REF!</v>
      </c>
      <c r="BG303" s="9" t="e">
        <f>#REF!-#REF!</f>
        <v>#REF!</v>
      </c>
      <c r="BH303" s="9" t="e">
        <f>#REF!-#REF!</f>
        <v>#REF!</v>
      </c>
      <c r="BI303" s="9" t="e">
        <f>#REF!-#REF!</f>
        <v>#REF!</v>
      </c>
      <c r="BJ303" s="33"/>
      <c r="BK303" s="3">
        <f t="shared" si="178"/>
        <v>0</v>
      </c>
      <c r="BL303" s="3">
        <f t="shared" si="179"/>
        <v>0</v>
      </c>
      <c r="BM303" s="3">
        <f t="shared" si="180"/>
        <v>0</v>
      </c>
      <c r="BN303" s="3">
        <f t="shared" si="181"/>
        <v>0</v>
      </c>
      <c r="BO303" s="3">
        <f t="shared" si="182"/>
        <v>0</v>
      </c>
      <c r="BP303" s="28" t="e">
        <f>#REF!</f>
        <v>#REF!</v>
      </c>
      <c r="BQ303" s="28" t="e">
        <f>#REF!*2</f>
        <v>#REF!</v>
      </c>
      <c r="BR303" s="28" t="e">
        <f>#REF!</f>
        <v>#REF!</v>
      </c>
      <c r="BS303" s="28" t="e">
        <f>#REF!*2</f>
        <v>#REF!</v>
      </c>
      <c r="BT303" s="28" t="e">
        <f>#REF!</f>
        <v>#REF!</v>
      </c>
      <c r="BU303" s="28" t="e">
        <f>#REF!*2</f>
        <v>#REF!</v>
      </c>
      <c r="BV303" s="28" t="e">
        <f>#REF!</f>
        <v>#REF!</v>
      </c>
      <c r="BW303" s="28" t="e">
        <f>#REF!*2</f>
        <v>#REF!</v>
      </c>
      <c r="BX303" s="28" t="e">
        <f>#REF!</f>
        <v>#REF!</v>
      </c>
      <c r="BY303" s="28" t="e">
        <f>#REF!*2</f>
        <v>#REF!</v>
      </c>
      <c r="BZ303" s="28" t="e">
        <f>#REF!</f>
        <v>#REF!</v>
      </c>
      <c r="CA303" s="28" t="e">
        <f>#REF!*2</f>
        <v>#REF!</v>
      </c>
      <c r="CB303" s="9">
        <f t="shared" si="183"/>
        <v>0</v>
      </c>
      <c r="CC303" s="9">
        <f t="shared" si="184"/>
        <v>0</v>
      </c>
      <c r="CD303" s="9">
        <f t="shared" si="185"/>
        <v>0</v>
      </c>
      <c r="CE303" s="9">
        <f t="shared" si="186"/>
        <v>0</v>
      </c>
      <c r="CF303" s="9">
        <f t="shared" si="187"/>
        <v>0</v>
      </c>
      <c r="CG303" s="33"/>
      <c r="CH303" s="3">
        <f t="shared" si="188"/>
        <v>0</v>
      </c>
      <c r="CI303" s="3">
        <f t="shared" si="189"/>
        <v>0</v>
      </c>
      <c r="CJ303" s="3">
        <f t="shared" si="190"/>
        <v>0</v>
      </c>
      <c r="CK303" s="3">
        <f t="shared" si="191"/>
        <v>0</v>
      </c>
      <c r="CL303" s="3">
        <f t="shared" si="192"/>
        <v>0</v>
      </c>
      <c r="CM303" s="32"/>
      <c r="CN303" s="3">
        <f t="shared" si="193"/>
        <v>0</v>
      </c>
      <c r="CO303" s="3">
        <f t="shared" si="194"/>
        <v>0</v>
      </c>
      <c r="CP303" s="3">
        <f t="shared" si="195"/>
        <v>0</v>
      </c>
      <c r="CQ303" s="3">
        <f t="shared" si="196"/>
        <v>0</v>
      </c>
      <c r="CR303" s="3">
        <f t="shared" si="197"/>
        <v>0</v>
      </c>
      <c r="CS303" s="31"/>
      <c r="CT303" s="3" cm="1">
        <f t="array" ref="CT303">SUMPRODUCT(--(MOD(CH303:CL303,2)=1))</f>
        <v>0</v>
      </c>
      <c r="CU303" s="3">
        <f t="shared" si="198"/>
        <v>5</v>
      </c>
      <c r="CV303" s="30"/>
      <c r="CW303" s="3" cm="1">
        <f t="array" ref="CW303">SUMPRODUCT(--(MOD(CH303:CL303,10)&gt;=1), --(MOD(CH303:CL303,10)&lt;=5))</f>
        <v>0</v>
      </c>
      <c r="CX303" s="3">
        <f t="shared" si="199"/>
        <v>5</v>
      </c>
      <c r="CY303" s="30"/>
      <c r="CZ303" s="3" cm="1">
        <f t="array" ref="CZ303">IFERROR(COUNT(_xlfn._xlws.FILTER(CH303:CL303, ISNUMBER(MATCH(CH303:CL303, {2,3,5,7,11,13,17,19,23,29,31,37,41,43}, 0)))), 0)</f>
        <v>0</v>
      </c>
      <c r="DA303" s="3" cm="1">
        <f t="array" ref="DA303">IFERROR(COUNT(_xlfn._xlws.FILTER(CH303:CL303, ISNUMBER(MATCH(CH303:CL303, {1,4,8,10,14,16,20,22,25,26,28,32,34,35,38,40,44}, 0)))), 0)</f>
        <v>0</v>
      </c>
      <c r="DB303" s="3" cm="1">
        <f t="array" ref="DB303">IFERROR(COUNT(_xlfn._xlws.FILTER(CH303:CL303, ISNUMBER(MATCH(CH303:CL303, {6,9,12,15,18,21,24,27,30,33,36,39,42,45}, 0)))), 0)</f>
        <v>0</v>
      </c>
      <c r="DC303" s="29"/>
      <c r="DD303" s="28" t="e">
        <f>#REF!</f>
        <v>#REF!</v>
      </c>
      <c r="DE303" s="28" t="e">
        <f>#REF!*2</f>
        <v>#REF!</v>
      </c>
      <c r="DF303" s="28" t="e">
        <f>#REF!</f>
        <v>#REF!</v>
      </c>
      <c r="DG303" s="28" t="e">
        <f>#REF!*2</f>
        <v>#REF!</v>
      </c>
      <c r="DH303" s="28" t="e">
        <f>#REF!</f>
        <v>#REF!</v>
      </c>
      <c r="DI303" s="28" t="e">
        <f>#REF!*2</f>
        <v>#REF!</v>
      </c>
      <c r="DJ303" s="28" t="e">
        <f>#REF!</f>
        <v>#REF!</v>
      </c>
      <c r="DK303" s="28" t="e">
        <f>#REF!*2</f>
        <v>#REF!</v>
      </c>
      <c r="DL303" s="28" t="e">
        <f>#REF!</f>
        <v>#REF!</v>
      </c>
      <c r="DM303" s="28" t="e">
        <f>#REF!*2</f>
        <v>#REF!</v>
      </c>
      <c r="DN303" s="27"/>
      <c r="DO303" s="26"/>
      <c r="DP303" s="26"/>
      <c r="DQ303" s="26"/>
      <c r="DR303" s="26"/>
      <c r="DS303" s="26"/>
      <c r="DT303" s="25"/>
    </row>
    <row r="304" spans="2:124" x14ac:dyDescent="0.3">
      <c r="CH304" s="3"/>
      <c r="CI304" s="3"/>
      <c r="CJ304" s="3"/>
      <c r="CK304" s="3"/>
      <c r="CL304" s="3"/>
    </row>
    <row r="305" spans="86:90" x14ac:dyDescent="0.3">
      <c r="CH305" s="3"/>
      <c r="CI305" s="3"/>
      <c r="CJ305" s="3"/>
      <c r="CK305" s="3"/>
      <c r="CL305" s="3"/>
    </row>
    <row r="306" spans="86:90" x14ac:dyDescent="0.3">
      <c r="CH306" s="3"/>
      <c r="CI306" s="3"/>
      <c r="CJ306" s="3"/>
      <c r="CK306" s="3"/>
      <c r="CL306" s="3"/>
    </row>
    <row r="307" spans="86:90" x14ac:dyDescent="0.3">
      <c r="CH307" s="3"/>
      <c r="CI307" s="3"/>
      <c r="CJ307" s="3"/>
      <c r="CK307" s="3"/>
      <c r="CL307" s="3"/>
    </row>
    <row r="308" spans="86:90" x14ac:dyDescent="0.3">
      <c r="CH308" s="3"/>
      <c r="CI308" s="3"/>
      <c r="CJ308" s="3"/>
      <c r="CK308" s="3"/>
      <c r="CL308" s="3"/>
    </row>
    <row r="309" spans="86:90" x14ac:dyDescent="0.3">
      <c r="CH309" s="3"/>
      <c r="CI309" s="3"/>
      <c r="CJ309" s="3"/>
      <c r="CK309" s="3"/>
      <c r="CL309" s="3"/>
    </row>
    <row r="310" spans="86:90" x14ac:dyDescent="0.3">
      <c r="CH310" s="3"/>
      <c r="CI310" s="3"/>
      <c r="CJ310" s="3"/>
      <c r="CK310" s="3"/>
      <c r="CL310" s="3"/>
    </row>
    <row r="311" spans="86:90" x14ac:dyDescent="0.3">
      <c r="CH311" s="3"/>
      <c r="CI311" s="3"/>
      <c r="CJ311" s="3"/>
      <c r="CK311" s="3"/>
      <c r="CL311" s="3"/>
    </row>
    <row r="312" spans="86:90" x14ac:dyDescent="0.3">
      <c r="CH312" s="3"/>
      <c r="CI312" s="3"/>
      <c r="CJ312" s="3"/>
      <c r="CK312" s="3"/>
      <c r="CL312" s="3"/>
    </row>
    <row r="313" spans="86:90" x14ac:dyDescent="0.3">
      <c r="CH313" s="3"/>
      <c r="CI313" s="3"/>
      <c r="CJ313" s="3"/>
      <c r="CK313" s="3"/>
      <c r="CL313" s="3"/>
    </row>
    <row r="314" spans="86:90" x14ac:dyDescent="0.3">
      <c r="CH314" s="3"/>
      <c r="CI314" s="3"/>
      <c r="CJ314" s="3"/>
      <c r="CK314" s="3"/>
      <c r="CL314" s="3"/>
    </row>
    <row r="315" spans="86:90" x14ac:dyDescent="0.3">
      <c r="CH315" s="3"/>
      <c r="CI315" s="3"/>
      <c r="CJ315" s="3"/>
      <c r="CK315" s="3"/>
      <c r="CL315" s="3"/>
    </row>
    <row r="316" spans="86:90" x14ac:dyDescent="0.3">
      <c r="CH316" s="3"/>
      <c r="CI316" s="3"/>
      <c r="CJ316" s="3"/>
      <c r="CK316" s="3"/>
      <c r="CL316" s="3"/>
    </row>
    <row r="317" spans="86:90" x14ac:dyDescent="0.3">
      <c r="CH317" s="3"/>
      <c r="CI317" s="3"/>
      <c r="CJ317" s="3"/>
      <c r="CK317" s="3"/>
      <c r="CL317" s="3"/>
    </row>
    <row r="318" spans="86:90" x14ac:dyDescent="0.3">
      <c r="CH318" s="3"/>
      <c r="CI318" s="3"/>
      <c r="CJ318" s="3"/>
      <c r="CK318" s="3"/>
      <c r="CL318" s="3"/>
    </row>
    <row r="319" spans="86:90" x14ac:dyDescent="0.3">
      <c r="CH319" s="3"/>
      <c r="CI319" s="3"/>
      <c r="CJ319" s="3"/>
      <c r="CK319" s="3"/>
      <c r="CL319" s="3"/>
    </row>
    <row r="320" spans="86:90" x14ac:dyDescent="0.3">
      <c r="CH320" s="3"/>
      <c r="CI320" s="3"/>
      <c r="CJ320" s="3"/>
      <c r="CK320" s="3"/>
      <c r="CL320" s="3"/>
    </row>
    <row r="321" spans="86:90" x14ac:dyDescent="0.3">
      <c r="CH321" s="3"/>
      <c r="CI321" s="3"/>
      <c r="CJ321" s="3"/>
      <c r="CK321" s="3"/>
      <c r="CL321" s="3"/>
    </row>
    <row r="322" spans="86:90" x14ac:dyDescent="0.3">
      <c r="CH322" s="3"/>
      <c r="CI322" s="3"/>
      <c r="CJ322" s="3"/>
      <c r="CK322" s="3"/>
      <c r="CL322" s="3"/>
    </row>
    <row r="323" spans="86:90" x14ac:dyDescent="0.3">
      <c r="CH323" s="3"/>
      <c r="CI323" s="3"/>
      <c r="CJ323" s="3"/>
      <c r="CK323" s="3"/>
      <c r="CL323" s="3"/>
    </row>
    <row r="324" spans="86:90" x14ac:dyDescent="0.3">
      <c r="CH324" s="3"/>
      <c r="CI324" s="3"/>
      <c r="CJ324" s="3"/>
      <c r="CK324" s="3"/>
      <c r="CL324" s="3"/>
    </row>
    <row r="325" spans="86:90" ht="14.25" thickBot="1" x14ac:dyDescent="0.35">
      <c r="CH325" s="3"/>
      <c r="CI325" s="3"/>
      <c r="CJ325" s="3"/>
      <c r="CK325" s="3"/>
      <c r="CL325" s="3"/>
    </row>
    <row r="326" spans="86:90" ht="14.25" thickBot="1" x14ac:dyDescent="0.35">
      <c r="CH326" s="17"/>
      <c r="CI326" s="15"/>
      <c r="CJ326" s="3"/>
      <c r="CK326" s="3"/>
      <c r="CL326" s="3"/>
    </row>
    <row r="327" spans="86:90" ht="14.25" thickBot="1" x14ac:dyDescent="0.35">
      <c r="CH327" s="3"/>
      <c r="CI327" s="3"/>
      <c r="CJ327" s="3"/>
      <c r="CK327" s="3"/>
      <c r="CL327" s="20"/>
    </row>
    <row r="328" spans="86:90" ht="14.25" thickBot="1" x14ac:dyDescent="0.35">
      <c r="CH328" s="3"/>
      <c r="CI328" s="14"/>
      <c r="CJ328" s="3"/>
      <c r="CK328" s="14"/>
      <c r="CL328" s="24"/>
    </row>
    <row r="329" spans="86:90" x14ac:dyDescent="0.3">
      <c r="CH329" s="3"/>
      <c r="CI329" s="3"/>
      <c r="CJ329" s="3"/>
      <c r="CK329" s="3"/>
      <c r="CL329" s="3"/>
    </row>
    <row r="330" spans="86:90" ht="14.25" thickBot="1" x14ac:dyDescent="0.35">
      <c r="CH330" s="3"/>
      <c r="CI330" s="3"/>
      <c r="CJ330" s="3"/>
      <c r="CK330" s="3"/>
      <c r="CL330" s="3"/>
    </row>
    <row r="331" spans="86:90" ht="14.25" thickBot="1" x14ac:dyDescent="0.35">
      <c r="CH331" s="3"/>
      <c r="CI331" s="3"/>
      <c r="CJ331" s="3"/>
      <c r="CK331" s="17"/>
      <c r="CL331" s="15"/>
    </row>
    <row r="332" spans="86:90" ht="14.25" thickBot="1" x14ac:dyDescent="0.35">
      <c r="CH332" s="20"/>
      <c r="CI332" s="14"/>
      <c r="CJ332" s="3"/>
      <c r="CK332" s="3"/>
      <c r="CL332" s="3"/>
    </row>
    <row r="333" spans="86:90" ht="14.25" thickBot="1" x14ac:dyDescent="0.35">
      <c r="CH333" s="21"/>
      <c r="CI333" s="3"/>
      <c r="CJ333" s="3"/>
      <c r="CK333" s="19"/>
      <c r="CL333" s="15"/>
    </row>
    <row r="334" spans="86:90" ht="14.25" thickBot="1" x14ac:dyDescent="0.35">
      <c r="CH334" s="3"/>
      <c r="CI334" s="17"/>
      <c r="CJ334" s="18"/>
      <c r="CK334" s="15"/>
      <c r="CL334" s="3"/>
    </row>
    <row r="335" spans="86:90" ht="14.25" thickBot="1" x14ac:dyDescent="0.35">
      <c r="CH335" s="3"/>
      <c r="CI335" s="3"/>
      <c r="CJ335" s="17"/>
      <c r="CK335" s="20"/>
      <c r="CL335" s="3"/>
    </row>
    <row r="336" spans="86:90" ht="14.25" thickBot="1" x14ac:dyDescent="0.35">
      <c r="CH336" s="3"/>
      <c r="CI336" s="20"/>
      <c r="CJ336" s="3"/>
      <c r="CK336" s="23"/>
      <c r="CL336" s="3"/>
    </row>
    <row r="337" spans="86:90" ht="14.25" thickBot="1" x14ac:dyDescent="0.35">
      <c r="CH337" s="3"/>
      <c r="CI337" s="21"/>
      <c r="CJ337" s="3"/>
      <c r="CK337" s="17"/>
      <c r="CL337" s="15"/>
    </row>
    <row r="338" spans="86:90" x14ac:dyDescent="0.3">
      <c r="CH338" s="3"/>
      <c r="CI338" s="3"/>
      <c r="CJ338" s="3"/>
      <c r="CK338" s="3"/>
      <c r="CL338" s="20"/>
    </row>
    <row r="339" spans="86:90" ht="14.25" thickBot="1" x14ac:dyDescent="0.35">
      <c r="CH339" s="3"/>
      <c r="CI339" s="3"/>
      <c r="CJ339" s="3"/>
      <c r="CK339" s="3"/>
      <c r="CL339" s="21"/>
    </row>
    <row r="340" spans="86:90" ht="14.25" thickBot="1" x14ac:dyDescent="0.35">
      <c r="CH340" s="3"/>
      <c r="CI340" s="3"/>
      <c r="CJ340" s="3"/>
      <c r="CK340" s="3"/>
      <c r="CL340" s="21"/>
    </row>
    <row r="341" spans="86:90" x14ac:dyDescent="0.3">
      <c r="CH341" s="3"/>
      <c r="CI341" s="3"/>
      <c r="CJ341" s="3"/>
      <c r="CK341" s="3"/>
      <c r="CL341" s="3"/>
    </row>
    <row r="342" spans="86:90" ht="14.25" thickBot="1" x14ac:dyDescent="0.35">
      <c r="CH342" s="3"/>
      <c r="CI342" s="3"/>
      <c r="CJ342" s="3"/>
      <c r="CK342" s="3"/>
      <c r="CL342" s="3"/>
    </row>
    <row r="343" spans="86:90" ht="14.25" thickBot="1" x14ac:dyDescent="0.35">
      <c r="CH343" s="3"/>
      <c r="CI343" s="3"/>
      <c r="CJ343" s="14"/>
      <c r="CK343" s="3"/>
      <c r="CL343" s="14"/>
    </row>
    <row r="344" spans="86:90" ht="14.25" thickBot="1" x14ac:dyDescent="0.35">
      <c r="CH344" s="3"/>
      <c r="CI344" s="3"/>
      <c r="CJ344" s="3"/>
      <c r="CK344" s="3"/>
      <c r="CL344" s="3"/>
    </row>
    <row r="345" spans="86:90" ht="14.25" thickBot="1" x14ac:dyDescent="0.35">
      <c r="CH345" s="3"/>
      <c r="CI345" s="3"/>
      <c r="CJ345" s="14"/>
      <c r="CK345" s="3"/>
      <c r="CL345" s="14"/>
    </row>
    <row r="346" spans="86:90" ht="14.25" thickBot="1" x14ac:dyDescent="0.35">
      <c r="CH346" s="3"/>
      <c r="CI346" s="3"/>
      <c r="CJ346" s="3"/>
      <c r="CK346" s="3"/>
      <c r="CL346" s="3"/>
    </row>
    <row r="347" spans="86:90" x14ac:dyDescent="0.3">
      <c r="CH347" s="20"/>
      <c r="CI347" s="3"/>
      <c r="CJ347" s="3"/>
      <c r="CK347" s="3"/>
      <c r="CL347" s="3"/>
    </row>
    <row r="348" spans="86:90" ht="14.25" thickBot="1" x14ac:dyDescent="0.35">
      <c r="CH348" s="21"/>
      <c r="CI348" s="3"/>
      <c r="CJ348" s="3"/>
      <c r="CK348" s="3"/>
      <c r="CL348" s="3"/>
    </row>
    <row r="349" spans="86:90" ht="14.25" thickBot="1" x14ac:dyDescent="0.35">
      <c r="CH349" s="20"/>
      <c r="CI349" s="3"/>
      <c r="CJ349" s="3"/>
      <c r="CK349" s="14"/>
      <c r="CL349" s="3"/>
    </row>
    <row r="350" spans="86:90" ht="14.25" thickBot="1" x14ac:dyDescent="0.35">
      <c r="CH350" s="14"/>
      <c r="CI350" s="3"/>
      <c r="CJ350" s="14"/>
      <c r="CK350" s="3"/>
      <c r="CL350" s="14"/>
    </row>
    <row r="351" spans="86:90" ht="14.25" thickBot="1" x14ac:dyDescent="0.35">
      <c r="CH351" s="3"/>
      <c r="CI351" s="3"/>
      <c r="CJ351" s="3"/>
      <c r="CK351" s="3"/>
      <c r="CL351" s="3"/>
    </row>
    <row r="352" spans="86:90" ht="14.25" thickBot="1" x14ac:dyDescent="0.35">
      <c r="CH352" s="3"/>
      <c r="CI352" s="20"/>
      <c r="CJ352" s="3"/>
      <c r="CK352" s="3"/>
      <c r="CL352" s="14"/>
    </row>
    <row r="353" spans="86:90" ht="14.25" thickBot="1" x14ac:dyDescent="0.35">
      <c r="CH353" s="3"/>
      <c r="CI353" s="17"/>
      <c r="CJ353" s="14"/>
      <c r="CK353" s="3"/>
      <c r="CL353" s="3"/>
    </row>
    <row r="354" spans="86:90" ht="14.25" thickBot="1" x14ac:dyDescent="0.35">
      <c r="CH354" s="3"/>
      <c r="CI354" s="14"/>
      <c r="CJ354" s="3"/>
      <c r="CK354" s="3"/>
      <c r="CL354" s="3"/>
    </row>
    <row r="355" spans="86:90" ht="14.25" thickBot="1" x14ac:dyDescent="0.35">
      <c r="CH355" s="3"/>
      <c r="CI355" s="14"/>
      <c r="CJ355" s="3"/>
      <c r="CK355" s="3"/>
      <c r="CL355" s="3"/>
    </row>
    <row r="356" spans="86:90" x14ac:dyDescent="0.3">
      <c r="CH356" s="3"/>
      <c r="CI356" s="3"/>
      <c r="CJ356" s="3"/>
      <c r="CK356" s="3"/>
      <c r="CL356" s="3"/>
    </row>
    <row r="357" spans="86:90" x14ac:dyDescent="0.3">
      <c r="CH357" s="3"/>
      <c r="CI357" s="3"/>
      <c r="CJ357" s="3"/>
      <c r="CK357" s="3"/>
      <c r="CL357" s="3"/>
    </row>
    <row r="358" spans="86:90" ht="14.25" thickBot="1" x14ac:dyDescent="0.35">
      <c r="CH358" s="3"/>
      <c r="CI358" s="3"/>
      <c r="CJ358" s="3"/>
      <c r="CK358" s="3"/>
      <c r="CL358" s="3"/>
    </row>
    <row r="359" spans="86:90" ht="14.25" thickBot="1" x14ac:dyDescent="0.35">
      <c r="CH359" s="17"/>
      <c r="CI359" s="14"/>
      <c r="CJ359" s="3"/>
      <c r="CK359" s="14"/>
      <c r="CL359" s="3"/>
    </row>
    <row r="360" spans="86:90" ht="14.25" thickBot="1" x14ac:dyDescent="0.35">
      <c r="CH360" s="3"/>
      <c r="CI360" s="21"/>
      <c r="CJ360" s="3"/>
      <c r="CK360" s="3"/>
      <c r="CL360" s="14"/>
    </row>
    <row r="361" spans="86:90" ht="14.25" thickBot="1" x14ac:dyDescent="0.35">
      <c r="CH361" s="3"/>
      <c r="CI361" s="3"/>
      <c r="CJ361" s="3"/>
      <c r="CK361" s="3"/>
      <c r="CL361" s="3"/>
    </row>
    <row r="362" spans="86:90" ht="14.25" thickBot="1" x14ac:dyDescent="0.35">
      <c r="CH362" s="3"/>
      <c r="CI362" s="3"/>
      <c r="CJ362" s="14"/>
      <c r="CK362" s="3"/>
      <c r="CL362" s="3"/>
    </row>
    <row r="363" spans="86:90" ht="14.25" thickBot="1" x14ac:dyDescent="0.35">
      <c r="CH363" s="3"/>
      <c r="CI363" s="3"/>
      <c r="CJ363" s="14"/>
      <c r="CK363" s="3"/>
      <c r="CL363" s="3"/>
    </row>
    <row r="364" spans="86:90" ht="14.25" thickBot="1" x14ac:dyDescent="0.35">
      <c r="CH364" s="3"/>
      <c r="CI364" s="3"/>
      <c r="CJ364" s="14"/>
      <c r="CK364" s="3"/>
      <c r="CL364" s="3"/>
    </row>
    <row r="365" spans="86:90" ht="14.25" thickBot="1" x14ac:dyDescent="0.35">
      <c r="CH365" s="3"/>
      <c r="CI365" s="14"/>
      <c r="CJ365" s="15"/>
      <c r="CK365" s="3"/>
      <c r="CL365" s="14"/>
    </row>
    <row r="366" spans="86:90" ht="14.25" thickBot="1" x14ac:dyDescent="0.35">
      <c r="CH366" s="20"/>
      <c r="CI366" s="3"/>
      <c r="CJ366" s="3"/>
      <c r="CK366" s="3"/>
      <c r="CL366" s="3"/>
    </row>
    <row r="367" spans="86:90" ht="14.25" thickBot="1" x14ac:dyDescent="0.35">
      <c r="CH367" s="21"/>
      <c r="CI367" s="17"/>
      <c r="CJ367" s="15"/>
      <c r="CK367" s="3"/>
      <c r="CL367" s="3"/>
    </row>
    <row r="368" spans="86:90" ht="14.25" thickBot="1" x14ac:dyDescent="0.35">
      <c r="CH368" s="3"/>
      <c r="CI368" s="3"/>
      <c r="CJ368" s="3"/>
      <c r="CK368" s="3"/>
      <c r="CL368" s="3"/>
    </row>
    <row r="369" spans="86:90" ht="14.25" thickBot="1" x14ac:dyDescent="0.35">
      <c r="CH369" s="3"/>
      <c r="CI369" s="17"/>
      <c r="CJ369" s="22"/>
      <c r="CK369" s="3"/>
      <c r="CL369" s="3"/>
    </row>
    <row r="370" spans="86:90" ht="14.25" thickBot="1" x14ac:dyDescent="0.35">
      <c r="CH370" s="14"/>
      <c r="CI370" s="3"/>
      <c r="CJ370" s="14"/>
      <c r="CK370" s="18"/>
      <c r="CL370" s="15"/>
    </row>
    <row r="371" spans="86:90" x14ac:dyDescent="0.3">
      <c r="CH371" s="3"/>
      <c r="CI371" s="3"/>
      <c r="CJ371" s="3"/>
      <c r="CK371" s="3"/>
      <c r="CL371" s="3"/>
    </row>
    <row r="372" spans="86:90" ht="14.25" thickBot="1" x14ac:dyDescent="0.35">
      <c r="CH372" s="3"/>
      <c r="CI372" s="3"/>
      <c r="CJ372" s="3"/>
      <c r="CK372" s="3"/>
      <c r="CL372" s="3"/>
    </row>
    <row r="373" spans="86:90" ht="14.25" thickBot="1" x14ac:dyDescent="0.35">
      <c r="CH373" s="3"/>
      <c r="CI373" s="3"/>
      <c r="CJ373" s="3"/>
      <c r="CK373" s="14"/>
      <c r="CL373" s="20"/>
    </row>
    <row r="374" spans="86:90" ht="14.25" thickBot="1" x14ac:dyDescent="0.35">
      <c r="CH374" s="3"/>
      <c r="CI374" s="3"/>
      <c r="CJ374" s="17"/>
      <c r="CK374" s="15"/>
      <c r="CL374" s="21"/>
    </row>
    <row r="375" spans="86:90" ht="14.25" thickBot="1" x14ac:dyDescent="0.35">
      <c r="CH375" s="3"/>
      <c r="CI375" s="3"/>
      <c r="CJ375" s="3"/>
      <c r="CK375" s="3"/>
      <c r="CL375" s="14"/>
    </row>
    <row r="376" spans="86:90" ht="14.25" thickBot="1" x14ac:dyDescent="0.35">
      <c r="CH376" s="20"/>
      <c r="CI376" s="3"/>
      <c r="CJ376" s="3"/>
      <c r="CK376" s="3"/>
      <c r="CL376" s="20"/>
    </row>
    <row r="377" spans="86:90" ht="14.25" thickBot="1" x14ac:dyDescent="0.35">
      <c r="CH377" s="17"/>
      <c r="CI377" s="15"/>
      <c r="CJ377" s="3"/>
      <c r="CK377" s="17"/>
      <c r="CL377" s="15"/>
    </row>
    <row r="378" spans="86:90" x14ac:dyDescent="0.3">
      <c r="CH378" s="3"/>
      <c r="CI378" s="3"/>
      <c r="CJ378" s="3"/>
      <c r="CK378" s="3"/>
      <c r="CL378" s="3"/>
    </row>
    <row r="379" spans="86:90" x14ac:dyDescent="0.3">
      <c r="CH379" s="3"/>
      <c r="CI379" s="3"/>
      <c r="CJ379" s="3"/>
      <c r="CK379" s="3"/>
      <c r="CL379" s="3"/>
    </row>
    <row r="380" spans="86:90" ht="14.25" thickBot="1" x14ac:dyDescent="0.35">
      <c r="CH380" s="3"/>
      <c r="CI380" s="3"/>
      <c r="CJ380" s="3"/>
      <c r="CK380" s="3"/>
      <c r="CL380" s="3"/>
    </row>
    <row r="381" spans="86:90" ht="14.25" thickBot="1" x14ac:dyDescent="0.35">
      <c r="CH381" s="14"/>
      <c r="CI381" s="3"/>
      <c r="CJ381" s="20"/>
      <c r="CK381" s="3"/>
      <c r="CL381" s="3"/>
    </row>
    <row r="382" spans="86:90" ht="14.25" thickBot="1" x14ac:dyDescent="0.35">
      <c r="CH382" s="3"/>
      <c r="CI382" s="17"/>
      <c r="CJ382" s="18"/>
      <c r="CK382" s="15"/>
      <c r="CL382" s="3"/>
    </row>
    <row r="383" spans="86:90" ht="14.25" thickBot="1" x14ac:dyDescent="0.35">
      <c r="CH383" s="3"/>
      <c r="CI383" s="3"/>
      <c r="CJ383" s="17"/>
      <c r="CK383" s="15"/>
      <c r="CL383" s="3"/>
    </row>
    <row r="384" spans="86:90" x14ac:dyDescent="0.3">
      <c r="CH384" s="3"/>
      <c r="CI384" s="3"/>
      <c r="CJ384" s="3"/>
      <c r="CK384" s="3"/>
      <c r="CL384" s="3"/>
    </row>
    <row r="385" spans="86:90" x14ac:dyDescent="0.3">
      <c r="CH385" s="3"/>
      <c r="CI385" s="3"/>
      <c r="CJ385" s="3"/>
      <c r="CK385" s="3"/>
      <c r="CL385" s="3"/>
    </row>
    <row r="386" spans="86:90" ht="14.25" thickBot="1" x14ac:dyDescent="0.35">
      <c r="CH386" s="3"/>
      <c r="CI386" s="3"/>
      <c r="CJ386" s="3"/>
      <c r="CK386" s="3"/>
      <c r="CL386" s="3"/>
    </row>
    <row r="387" spans="86:90" ht="14.25" thickBot="1" x14ac:dyDescent="0.35">
      <c r="CH387" s="3"/>
      <c r="CI387" s="14"/>
      <c r="CJ387" s="3"/>
      <c r="CK387" s="14"/>
      <c r="CL387" s="3"/>
    </row>
    <row r="388" spans="86:90" x14ac:dyDescent="0.3">
      <c r="CH388" s="3"/>
      <c r="CI388" s="3"/>
      <c r="CJ388" s="3"/>
      <c r="CK388" s="3"/>
      <c r="CL388" s="3"/>
    </row>
    <row r="389" spans="86:90" ht="14.25" thickBot="1" x14ac:dyDescent="0.35">
      <c r="CH389" s="3"/>
      <c r="CI389" s="3"/>
      <c r="CJ389" s="3"/>
      <c r="CK389" s="3"/>
      <c r="CL389" s="3"/>
    </row>
    <row r="390" spans="86:90" ht="14.25" thickBot="1" x14ac:dyDescent="0.35">
      <c r="CH390" s="17"/>
      <c r="CI390" s="18"/>
      <c r="CJ390" s="15"/>
      <c r="CK390" s="3"/>
      <c r="CL390" s="14"/>
    </row>
    <row r="391" spans="86:90" ht="14.25" thickBot="1" x14ac:dyDescent="0.35">
      <c r="CH391" s="3"/>
      <c r="CI391" s="19"/>
      <c r="CJ391" s="15"/>
      <c r="CK391" s="3"/>
      <c r="CL391" s="3"/>
    </row>
    <row r="392" spans="86:90" ht="14.25" thickBot="1" x14ac:dyDescent="0.35">
      <c r="CH392" s="17"/>
      <c r="CI392" s="14"/>
      <c r="CJ392" s="3"/>
      <c r="CK392" s="3"/>
      <c r="CL392" s="3"/>
    </row>
    <row r="393" spans="86:90" ht="14.25" thickBot="1" x14ac:dyDescent="0.35">
      <c r="CH393" s="3"/>
      <c r="CI393" s="3"/>
      <c r="CJ393" s="3"/>
      <c r="CK393" s="3"/>
      <c r="CL393" s="3"/>
    </row>
    <row r="394" spans="86:90" ht="14.25" thickBot="1" x14ac:dyDescent="0.35">
      <c r="CH394" s="14"/>
      <c r="CI394" s="3"/>
      <c r="CJ394" s="17"/>
      <c r="CK394" s="18"/>
      <c r="CL394" s="14"/>
    </row>
    <row r="395" spans="86:90" ht="14.25" thickBot="1" x14ac:dyDescent="0.35">
      <c r="CH395" s="3"/>
      <c r="CI395" s="3"/>
      <c r="CJ395" s="3"/>
      <c r="CK395" s="14"/>
      <c r="CL395" s="3"/>
    </row>
    <row r="396" spans="86:90" ht="14.25" thickBot="1" x14ac:dyDescent="0.35">
      <c r="CH396" s="17"/>
      <c r="CI396" s="15"/>
      <c r="CJ396" s="3"/>
      <c r="CK396" s="3"/>
      <c r="CL396" s="3"/>
    </row>
    <row r="397" spans="86:90" ht="14.25" thickBot="1" x14ac:dyDescent="0.35">
      <c r="CH397" s="3"/>
      <c r="CI397" s="3"/>
      <c r="CJ397" s="3"/>
      <c r="CK397" s="3"/>
      <c r="CL397" s="3"/>
    </row>
    <row r="398" spans="86:90" ht="14.25" thickBot="1" x14ac:dyDescent="0.35">
      <c r="CH398" s="3"/>
      <c r="CI398" s="3"/>
      <c r="CJ398" s="3"/>
      <c r="CK398" s="16"/>
      <c r="CL398" s="15"/>
    </row>
    <row r="399" spans="86:90" ht="14.25" thickBot="1" x14ac:dyDescent="0.35">
      <c r="CI399" s="3"/>
    </row>
    <row r="400" spans="86:90" ht="14.25" thickBot="1" x14ac:dyDescent="0.35">
      <c r="CI400" s="3"/>
      <c r="CK400" s="13"/>
      <c r="CL400" s="11"/>
    </row>
    <row r="401" spans="86:90" ht="14.25" thickBot="1" x14ac:dyDescent="0.35">
      <c r="CI401" s="3"/>
    </row>
    <row r="402" spans="86:90" ht="14.25" thickBot="1" x14ac:dyDescent="0.35">
      <c r="CI402" s="14"/>
      <c r="CL402" s="12"/>
    </row>
    <row r="403" spans="86:90" ht="14.25" thickBot="1" x14ac:dyDescent="0.35">
      <c r="CH403" s="12"/>
      <c r="CI403" s="3"/>
      <c r="CJ403" s="13"/>
      <c r="CK403" s="12"/>
      <c r="CL403" s="11"/>
    </row>
    <row r="404" spans="86:90" x14ac:dyDescent="0.3">
      <c r="CI404" s="3"/>
    </row>
    <row r="405" spans="86:90" x14ac:dyDescent="0.3">
      <c r="CI405" s="3"/>
    </row>
    <row r="406" spans="86:90" x14ac:dyDescent="0.3">
      <c r="CI406" s="3"/>
    </row>
    <row r="407" spans="86:90" x14ac:dyDescent="0.3">
      <c r="CI407" s="3"/>
    </row>
    <row r="408" spans="86:90" x14ac:dyDescent="0.3">
      <c r="CI408" s="3"/>
    </row>
  </sheetData>
  <autoFilter ref="A3:DT3" xr:uid="{A7D77DE1-605A-41FD-9024-B90B816012FD}"/>
  <phoneticPr fontId="3" type="noConversion"/>
  <conditionalFormatting sqref="B4:G1048576">
    <cfRule type="cellIs" dxfId="532" priority="546" operator="equal">
      <formula>0</formula>
    </cfRule>
  </conditionalFormatting>
  <conditionalFormatting sqref="I4:N303">
    <cfRule type="cellIs" dxfId="531" priority="587" operator="equal">
      <formula>2</formula>
    </cfRule>
  </conditionalFormatting>
  <conditionalFormatting sqref="I4:N1048576 CN4:CR1048576">
    <cfRule type="cellIs" dxfId="530" priority="96" operator="equal">
      <formula>1</formula>
    </cfRule>
    <cfRule type="cellIs" dxfId="529" priority="540" operator="equal">
      <formula>1</formula>
    </cfRule>
    <cfRule type="cellIs" dxfId="528" priority="97" operator="equal">
      <formula>2</formula>
    </cfRule>
    <cfRule type="cellIs" dxfId="527" priority="98" operator="equal">
      <formula>1</formula>
    </cfRule>
  </conditionalFormatting>
  <conditionalFormatting sqref="I4:N1048576">
    <cfRule type="cellIs" dxfId="526" priority="548" operator="equal">
      <formula>2</formula>
    </cfRule>
  </conditionalFormatting>
  <conditionalFormatting sqref="O4:O303 X4:X303 AB4:AB303 CM4:CM303 CY4:CY303">
    <cfRule type="cellIs" dxfId="525" priority="562" operator="greaterThan">
      <formula>0</formula>
    </cfRule>
  </conditionalFormatting>
  <conditionalFormatting sqref="P4:Q303 S4:T303 V4:W303 Y4:AA303 AJ4:AL303 BK4:CA303 CT4:CU303 CW4:CX303 CZ4:DB303">
    <cfRule type="cellIs" dxfId="524" priority="596" operator="greaterThan">
      <formula>21</formula>
    </cfRule>
    <cfRule type="cellIs" dxfId="523" priority="595" operator="between">
      <formula>1</formula>
      <formula>6</formula>
    </cfRule>
    <cfRule type="cellIs" dxfId="522" priority="594" operator="greaterThan">
      <formula>15</formula>
    </cfRule>
    <cfRule type="cellIs" dxfId="521" priority="593" operator="equal">
      <formula>26</formula>
    </cfRule>
    <cfRule type="cellIs" dxfId="520" priority="591" operator="between">
      <formula>4</formula>
      <formula>6</formula>
    </cfRule>
  </conditionalFormatting>
  <conditionalFormatting sqref="P4:Q303">
    <cfRule type="cellIs" dxfId="519" priority="553" operator="equal">
      <formula>4</formula>
    </cfRule>
    <cfRule type="cellIs" dxfId="518" priority="552" operator="equal">
      <formula>5</formula>
    </cfRule>
    <cfRule type="cellIs" dxfId="517" priority="556" operator="equal">
      <formula>4</formula>
    </cfRule>
  </conditionalFormatting>
  <conditionalFormatting sqref="Q4:Q303 S4:T303 V4:W303">
    <cfRule type="cellIs" dxfId="516" priority="590" operator="equal">
      <formula>6</formula>
    </cfRule>
    <cfRule type="cellIs" dxfId="515" priority="589" operator="between">
      <formula>6</formula>
      <formula>7</formula>
    </cfRule>
  </conditionalFormatting>
  <conditionalFormatting sqref="S4:S303">
    <cfRule type="cellIs" dxfId="514" priority="550" operator="equal">
      <formula>5</formula>
    </cfRule>
    <cfRule type="cellIs" dxfId="513" priority="551" operator="equal">
      <formula>4</formula>
    </cfRule>
  </conditionalFormatting>
  <conditionalFormatting sqref="S4:T303 CZ4:DB303 Y4:AA303 AJ4:AL303 CU4:CU303 CW4:CX303">
    <cfRule type="cellIs" dxfId="512" priority="555" operator="equal">
      <formula>4</formula>
    </cfRule>
  </conditionalFormatting>
  <conditionalFormatting sqref="T1:T1048576">
    <cfRule type="cellIs" dxfId="511" priority="84" operator="equal">
      <formula>4</formula>
    </cfRule>
    <cfRule type="cellIs" dxfId="510" priority="83" operator="equal">
      <formula>5</formula>
    </cfRule>
  </conditionalFormatting>
  <conditionalFormatting sqref="V4:W303 CT4:CU303 CW4:CX303 AA4:AH42 AA43:AB43 AA44:AH303 P4:Q303 S4:T303 CZ4:DB303 Y4:Z303 AJ4:AL303 BK4:BO303">
    <cfRule type="cellIs" dxfId="509" priority="585" operator="greaterThan">
      <formula>4</formula>
    </cfRule>
  </conditionalFormatting>
  <conditionalFormatting sqref="V4:W303">
    <cfRule type="cellIs" dxfId="508" priority="584" operator="equal">
      <formula>5</formula>
    </cfRule>
  </conditionalFormatting>
  <conditionalFormatting sqref="Y4:AA303">
    <cfRule type="cellIs" dxfId="507" priority="559" operator="equal">
      <formula>3</formula>
    </cfRule>
    <cfRule type="cellIs" dxfId="506" priority="558" operator="greaterThan">
      <formula>3</formula>
    </cfRule>
  </conditionalFormatting>
  <conditionalFormatting sqref="Y4:AA1048576">
    <cfRule type="cellIs" dxfId="505" priority="105" operator="equal">
      <formula>3</formula>
    </cfRule>
  </conditionalFormatting>
  <conditionalFormatting sqref="AC4:AH42 AC44:AH303">
    <cfRule type="cellIs" dxfId="504" priority="539" operator="equal">
      <formula>0</formula>
    </cfRule>
    <cfRule type="cellIs" dxfId="503" priority="535" operator="equal">
      <formula>26</formula>
    </cfRule>
    <cfRule type="cellIs" dxfId="502" priority="534" operator="between">
      <formula>4</formula>
      <formula>6</formula>
    </cfRule>
    <cfRule type="cellIs" dxfId="501" priority="531" operator="equal">
      <formula>4</formula>
    </cfRule>
    <cfRule type="cellIs" dxfId="500" priority="536" operator="greaterThan">
      <formula>15</formula>
    </cfRule>
    <cfRule type="cellIs" dxfId="499" priority="538" operator="greaterThan">
      <formula>21</formula>
    </cfRule>
    <cfRule type="cellIs" dxfId="498" priority="533" operator="equal">
      <formula>3</formula>
    </cfRule>
    <cfRule type="cellIs" dxfId="497" priority="532" operator="greaterThan">
      <formula>3</formula>
    </cfRule>
    <cfRule type="cellIs" dxfId="496" priority="530" operator="equal">
      <formula>0</formula>
    </cfRule>
    <cfRule type="cellIs" dxfId="495" priority="537" operator="between">
      <formula>1</formula>
      <formula>6</formula>
    </cfRule>
  </conditionalFormatting>
  <conditionalFormatting sqref="AC4:AH42 AC44:AH1048576">
    <cfRule type="cellIs" dxfId="494" priority="525" operator="equal">
      <formula>"배"</formula>
    </cfRule>
    <cfRule type="cellIs" dxfId="493" priority="529" operator="between">
      <formula>1</formula>
      <formula>2</formula>
    </cfRule>
    <cfRule type="cellIs" dxfId="492" priority="528" operator="greaterThan">
      <formula>3</formula>
    </cfRule>
    <cfRule type="cellIs" dxfId="491" priority="527" operator="equal">
      <formula>"소"</formula>
    </cfRule>
    <cfRule type="cellIs" dxfId="490" priority="526" operator="equal">
      <formula>"자"</formula>
    </cfRule>
  </conditionalFormatting>
  <conditionalFormatting sqref="AN65 AP65:AR65 AN71:AP71 AR71 AN75:AP75 AR75 AN81:AO81 AQ81:AR81 AN85:AO85 AQ85:AR85 AN93 AP93:AR93 AO94:AR94">
    <cfRule type="cellIs" dxfId="489" priority="26" operator="equal">
      <formula>0</formula>
    </cfRule>
  </conditionalFormatting>
  <conditionalFormatting sqref="AN1:AR1048576">
    <cfRule type="cellIs" dxfId="488" priority="2" operator="equal">
      <formula>3</formula>
    </cfRule>
    <cfRule type="cellIs" dxfId="487" priority="3" operator="equal">
      <formula>2</formula>
    </cfRule>
  </conditionalFormatting>
  <conditionalFormatting sqref="AN4:AR303">
    <cfRule type="cellIs" dxfId="486" priority="21" operator="equal">
      <formula>4</formula>
    </cfRule>
    <cfRule type="cellIs" dxfId="485" priority="22" operator="equal">
      <formula>3</formula>
    </cfRule>
    <cfRule type="cellIs" dxfId="484" priority="23" operator="greaterThan">
      <formula>4</formula>
    </cfRule>
    <cfRule type="cellIs" dxfId="483" priority="24" operator="between">
      <formula>1</formula>
      <formula>3</formula>
    </cfRule>
    <cfRule type="cellIs" dxfId="482" priority="29" operator="between">
      <formula>1</formula>
      <formula>6</formula>
    </cfRule>
    <cfRule type="cellIs" dxfId="481" priority="31" operator="equal">
      <formula>0</formula>
    </cfRule>
  </conditionalFormatting>
  <conditionalFormatting sqref="AN4:AR1048576">
    <cfRule type="cellIs" dxfId="480" priority="18" operator="equal">
      <formula>3</formula>
    </cfRule>
  </conditionalFormatting>
  <conditionalFormatting sqref="AN4:BD303">
    <cfRule type="cellIs" dxfId="479" priority="19" operator="equal">
      <formula>0</formula>
    </cfRule>
    <cfRule type="cellIs" dxfId="478" priority="25" operator="between">
      <formula>4</formula>
      <formula>6</formula>
    </cfRule>
    <cfRule type="cellIs" dxfId="477" priority="28" operator="greaterThan">
      <formula>15</formula>
    </cfRule>
    <cfRule type="cellIs" dxfId="476" priority="27" operator="equal">
      <formula>26</formula>
    </cfRule>
    <cfRule type="cellIs" dxfId="475" priority="30" operator="greaterThan">
      <formula>21</formula>
    </cfRule>
  </conditionalFormatting>
  <conditionalFormatting sqref="AR4:AR303">
    <cfRule type="cellIs" dxfId="474" priority="20" operator="equal">
      <formula>2</formula>
    </cfRule>
  </conditionalFormatting>
  <conditionalFormatting sqref="AS4:BD303">
    <cfRule type="cellIs" dxfId="473" priority="38" operator="between">
      <formula>1</formula>
      <formula>2</formula>
    </cfRule>
    <cfRule type="cellIs" dxfId="472" priority="43" operator="between">
      <formula>1</formula>
      <formula>6</formula>
    </cfRule>
    <cfRule type="cellIs" dxfId="471" priority="45" operator="equal">
      <formula>0</formula>
    </cfRule>
  </conditionalFormatting>
  <conditionalFormatting sqref="AS4:BI303">
    <cfRule type="cellIs" dxfId="470" priority="32" operator="equal">
      <formula>0</formula>
    </cfRule>
  </conditionalFormatting>
  <conditionalFormatting sqref="BE4:BI303">
    <cfRule type="cellIs" dxfId="469" priority="34" operator="greaterThan">
      <formula>19</formula>
    </cfRule>
    <cfRule type="cellIs" dxfId="468" priority="35" operator="greaterThan">
      <formula>9.5</formula>
    </cfRule>
    <cfRule type="cellIs" dxfId="467" priority="36" operator="between">
      <formula>0.5</formula>
      <formula>905</formula>
    </cfRule>
    <cfRule type="cellIs" dxfId="466" priority="37" operator="greaterThan">
      <formula>9.5</formula>
    </cfRule>
  </conditionalFormatting>
  <conditionalFormatting sqref="BK65 BM65:CA65 BK66:CA70 BK71:BM71 BO71:CA71 BK72:CA74 BK75:BM75 BO75:CA75 BK76:CA80 BK81:BL81 BN81:CA81 BK82:CA84 BK85:BL85 BN85:CA85 BK86:CA92 BK93 BM93:CA93 BL94:CA94 BK95:CA303">
    <cfRule type="cellIs" dxfId="465" priority="592" operator="equal">
      <formula>0</formula>
    </cfRule>
  </conditionalFormatting>
  <conditionalFormatting sqref="BK4:BO303 CT4:CU303 CW4:CX303 CZ4:DB303 AA4:AH42 AA43:AB43 AA44:AH303 Y4:Z303 P4:Q303 S4:T303 V4:W303 AJ4:AL303">
    <cfRule type="cellIs" dxfId="464" priority="586" operator="between">
      <formula>1</formula>
      <formula>3</formula>
    </cfRule>
  </conditionalFormatting>
  <conditionalFormatting sqref="BK4:BO303">
    <cfRule type="cellIs" dxfId="463" priority="583" operator="equal">
      <formula>3</formula>
    </cfRule>
    <cfRule type="cellIs" dxfId="462" priority="582" operator="equal">
      <formula>4</formula>
    </cfRule>
  </conditionalFormatting>
  <conditionalFormatting sqref="BK4:BO1048576">
    <cfRule type="cellIs" dxfId="461" priority="544" operator="equal">
      <formula>3</formula>
    </cfRule>
  </conditionalFormatting>
  <conditionalFormatting sqref="BK4:CA64 I4:N303 P4:Q303 S4:T303 V4:W303 Y4:AA303 AJ4:AL303 CZ4:DB303 BK65:BO303">
    <cfRule type="cellIs" dxfId="460" priority="549" operator="equal">
      <formula>0</formula>
    </cfRule>
  </conditionalFormatting>
  <conditionalFormatting sqref="BK4:CA303 CT4:CU303 CW4:CX303 P4:Q303 S4:T303 V4:W303 Y4:AA303 AJ4:AL303 CZ4:DB303">
    <cfRule type="cellIs" dxfId="459" priority="597" operator="equal">
      <formula>0</formula>
    </cfRule>
  </conditionalFormatting>
  <conditionalFormatting sqref="BO4:BO303 DB4:DB303">
    <cfRule type="cellIs" dxfId="458" priority="554" operator="equal">
      <formula>2</formula>
    </cfRule>
  </conditionalFormatting>
  <conditionalFormatting sqref="BP4:CF303 DD4:DM303">
    <cfRule type="cellIs" dxfId="457" priority="547" operator="equal">
      <formula>0</formula>
    </cfRule>
  </conditionalFormatting>
  <conditionalFormatting sqref="CB4:CF303">
    <cfRule type="cellIs" dxfId="456" priority="564" operator="greaterThan">
      <formula>9.5</formula>
    </cfRule>
    <cfRule type="cellIs" dxfId="455" priority="565" operator="between">
      <formula>0.5</formula>
      <formula>905</formula>
    </cfRule>
    <cfRule type="cellIs" dxfId="454" priority="563" operator="greaterThan">
      <formula>19</formula>
    </cfRule>
    <cfRule type="cellIs" dxfId="453" priority="566" operator="greaterThan">
      <formula>9.5</formula>
    </cfRule>
  </conditionalFormatting>
  <conditionalFormatting sqref="CH398:CJ398 CL398 CI399:CI408">
    <cfRule type="cellIs" dxfId="452" priority="232" operator="equal">
      <formula>7</formula>
    </cfRule>
  </conditionalFormatting>
  <conditionalFormatting sqref="CH4:CL397 CH398:CJ398 CL398 CH399:CL1048576">
    <cfRule type="cellIs" dxfId="451" priority="120" operator="equal">
      <formula>13</formula>
    </cfRule>
    <cfRule type="cellIs" dxfId="450" priority="121" operator="equal">
      <formula>11</formula>
    </cfRule>
    <cfRule type="cellIs" dxfId="449" priority="122" operator="greaterThan">
      <formula>9</formula>
    </cfRule>
    <cfRule type="cellIs" dxfId="448" priority="123" operator="greaterThan">
      <formula>19</formula>
    </cfRule>
    <cfRule type="cellIs" dxfId="447" priority="115" operator="equal">
      <formula>12</formula>
    </cfRule>
    <cfRule type="cellIs" dxfId="446" priority="113" operator="equal">
      <formula>21</formula>
    </cfRule>
    <cfRule type="cellIs" dxfId="445" priority="118" operator="equal">
      <formula>19</formula>
    </cfRule>
    <cfRule type="cellIs" dxfId="444" priority="109" operator="equal">
      <formula>2</formula>
    </cfRule>
    <cfRule type="cellIs" dxfId="443" priority="114" operator="equal">
      <formula>12</formula>
    </cfRule>
    <cfRule type="cellIs" dxfId="442" priority="112" operator="equal">
      <formula>24</formula>
    </cfRule>
    <cfRule type="cellIs" dxfId="441" priority="111" operator="equal">
      <formula>6</formula>
    </cfRule>
    <cfRule type="cellIs" dxfId="440" priority="117" operator="equal">
      <formula>18</formula>
    </cfRule>
    <cfRule type="cellIs" dxfId="439" priority="110" operator="equal">
      <formula>9</formula>
    </cfRule>
    <cfRule type="cellIs" dxfId="438" priority="116" operator="equal">
      <formula>15</formula>
    </cfRule>
    <cfRule type="cellIs" dxfId="437" priority="119" operator="equal">
      <formula>17</formula>
    </cfRule>
  </conditionalFormatting>
  <conditionalFormatting sqref="CH4:CL1048576">
    <cfRule type="cellIs" dxfId="436" priority="108" operator="equal">
      <formula>3</formula>
    </cfRule>
    <cfRule type="cellIs" dxfId="435" priority="107" operator="equal">
      <formula>5</formula>
    </cfRule>
    <cfRule type="cellIs" dxfId="434" priority="106" operator="equal">
      <formula>7</formula>
    </cfRule>
    <cfRule type="cellIs" dxfId="433" priority="95" operator="equal">
      <formula>0</formula>
    </cfRule>
    <cfRule type="cellIs" dxfId="432" priority="92" operator="greaterThan">
      <formula>9</formula>
    </cfRule>
  </conditionalFormatting>
  <conditionalFormatting sqref="CH215:CL397 CH398:CJ398 CL398 CH399:CL1048576">
    <cfRule type="cellIs" dxfId="431" priority="506" operator="greaterThan">
      <formula>9.5</formula>
    </cfRule>
    <cfRule type="cellIs" dxfId="430" priority="126" operator="between">
      <formula>0.5</formula>
      <formula>905</formula>
    </cfRule>
    <cfRule type="cellIs" dxfId="429" priority="125" operator="greaterThan">
      <formula>9.5</formula>
    </cfRule>
    <cfRule type="cellIs" dxfId="428" priority="124" operator="equal">
      <formula>0</formula>
    </cfRule>
  </conditionalFormatting>
  <conditionalFormatting sqref="CH215:CL397 CH398:CJ398 CL398 CI399:CI408">
    <cfRule type="cellIs" dxfId="427" priority="165" operator="equal">
      <formula>1</formula>
    </cfRule>
    <cfRule type="cellIs" dxfId="426" priority="166" operator="equal">
      <formula>2</formula>
    </cfRule>
    <cfRule type="cellIs" dxfId="425" priority="167" operator="equal">
      <formula>1</formula>
    </cfRule>
    <cfRule type="cellIs" dxfId="424" priority="168" operator="equal">
      <formula>43</formula>
    </cfRule>
    <cfRule type="cellIs" dxfId="423" priority="169" operator="equal">
      <formula>40</formula>
    </cfRule>
    <cfRule type="cellIs" dxfId="422" priority="170" operator="equal">
      <formula>36</formula>
    </cfRule>
    <cfRule type="cellIs" dxfId="421" priority="171" operator="equal">
      <formula>30</formula>
    </cfRule>
    <cfRule type="cellIs" dxfId="420" priority="172" operator="equal">
      <formula>26</formula>
    </cfRule>
    <cfRule type="cellIs" dxfId="419" priority="173" operator="equal">
      <formula>22</formula>
    </cfRule>
    <cfRule type="cellIs" dxfId="418" priority="174" operator="equal">
      <formula>16</formula>
    </cfRule>
    <cfRule type="cellIs" dxfId="417" priority="175" operator="equal">
      <formula>14</formula>
    </cfRule>
    <cfRule type="cellIs" dxfId="416" priority="176" operator="equal">
      <formula>11</formula>
    </cfRule>
    <cfRule type="cellIs" dxfId="415" priority="177" operator="equal">
      <formula>6</formula>
    </cfRule>
    <cfRule type="cellIs" dxfId="414" priority="178" operator="equal">
      <formula>5</formula>
    </cfRule>
    <cfRule type="cellIs" dxfId="413" priority="179" operator="equal">
      <formula>4</formula>
    </cfRule>
    <cfRule type="cellIs" dxfId="412" priority="180" operator="equal">
      <formula>3</formula>
    </cfRule>
    <cfRule type="cellIs" dxfId="411" priority="181" operator="equal">
      <formula>44</formula>
    </cfRule>
    <cfRule type="cellIs" dxfId="410" priority="182" operator="equal">
      <formula>43</formula>
    </cfRule>
    <cfRule type="cellIs" dxfId="409" priority="183" operator="equal">
      <formula>41</formula>
    </cfRule>
    <cfRule type="cellIs" dxfId="408" priority="184" operator="equal">
      <formula>40</formula>
    </cfRule>
    <cfRule type="cellIs" dxfId="407" priority="185" operator="equal">
      <formula>37</formula>
    </cfRule>
    <cfRule type="cellIs" dxfId="406" priority="186" operator="equal">
      <formula>36</formula>
    </cfRule>
    <cfRule type="cellIs" dxfId="405" priority="187" operator="equal">
      <formula>30</formula>
    </cfRule>
    <cfRule type="cellIs" dxfId="404" priority="188" operator="equal">
      <formula>29</formula>
    </cfRule>
    <cfRule type="cellIs" dxfId="403" priority="189" operator="equal">
      <formula>26</formula>
    </cfRule>
    <cfRule type="cellIs" dxfId="402" priority="190" operator="equal">
      <formula>23</formula>
    </cfRule>
    <cfRule type="cellIs" dxfId="401" priority="191" operator="equal">
      <formula>22</formula>
    </cfRule>
    <cfRule type="cellIs" dxfId="400" priority="192" operator="equal">
      <formula>20</formula>
    </cfRule>
    <cfRule type="cellIs" dxfId="399" priority="193" operator="equal">
      <formula>18</formula>
    </cfRule>
    <cfRule type="cellIs" dxfId="398" priority="194" operator="equal">
      <formula>16</formula>
    </cfRule>
    <cfRule type="cellIs" dxfId="397" priority="195" operator="equal">
      <formula>14</formula>
    </cfRule>
    <cfRule type="cellIs" dxfId="396" priority="196" operator="equal">
      <formula>12</formula>
    </cfRule>
    <cfRule type="cellIs" dxfId="395" priority="198" operator="equal">
      <formula>8</formula>
    </cfRule>
    <cfRule type="cellIs" dxfId="394" priority="199" operator="equal">
      <formula>7</formula>
    </cfRule>
    <cfRule type="cellIs" dxfId="393" priority="200" operator="equal">
      <formula>6</formula>
    </cfRule>
    <cfRule type="cellIs" dxfId="392" priority="201" operator="equal">
      <formula>4</formula>
    </cfRule>
    <cfRule type="cellIs" dxfId="391" priority="202" operator="equal">
      <formula>3</formula>
    </cfRule>
    <cfRule type="cellIs" dxfId="390" priority="203" operator="equal">
      <formula>3</formula>
    </cfRule>
    <cfRule type="cellIs" dxfId="389" priority="204" operator="equal">
      <formula>45</formula>
    </cfRule>
    <cfRule type="cellIs" dxfId="388" priority="205" operator="equal">
      <formula>42</formula>
    </cfRule>
    <cfRule type="cellIs" dxfId="387" priority="206" operator="equal">
      <formula>39</formula>
    </cfRule>
    <cfRule type="cellIs" dxfId="386" priority="207" operator="equal">
      <formula>31</formula>
    </cfRule>
    <cfRule type="cellIs" dxfId="385" priority="208" operator="equal">
      <formula>28</formula>
    </cfRule>
    <cfRule type="cellIs" dxfId="384" priority="209" operator="equal">
      <formula>27</formula>
    </cfRule>
    <cfRule type="cellIs" dxfId="383" priority="210" operator="equal">
      <formula>25</formula>
    </cfRule>
    <cfRule type="cellIs" dxfId="382" priority="211" operator="equal">
      <formula>24</formula>
    </cfRule>
    <cfRule type="cellIs" dxfId="381" priority="212" operator="equal">
      <formula>21</formula>
    </cfRule>
    <cfRule type="cellIs" dxfId="380" priority="213" operator="equal">
      <formula>17</formula>
    </cfRule>
    <cfRule type="cellIs" dxfId="379" priority="214" operator="equal">
      <formula>15</formula>
    </cfRule>
    <cfRule type="cellIs" dxfId="378" priority="215" operator="equal">
      <formula>13</formula>
    </cfRule>
    <cfRule type="cellIs" dxfId="377" priority="216" operator="equal">
      <formula>10</formula>
    </cfRule>
    <cfRule type="cellIs" dxfId="376" priority="217" operator="equal">
      <formula>9</formula>
    </cfRule>
    <cfRule type="cellIs" dxfId="375" priority="218" operator="equal">
      <formula>1</formula>
    </cfRule>
    <cfRule type="cellIs" dxfId="374" priority="219" operator="equal">
      <formula>40</formula>
    </cfRule>
    <cfRule type="cellIs" dxfId="373" priority="220" operator="equal">
      <formula>38</formula>
    </cfRule>
    <cfRule type="cellIs" dxfId="372" priority="221" operator="equal">
      <formula>36</formula>
    </cfRule>
    <cfRule type="cellIs" dxfId="371" priority="222" operator="equal">
      <formula>34</formula>
    </cfRule>
    <cfRule type="cellIs" dxfId="370" priority="223" operator="equal">
      <formula>33</formula>
    </cfRule>
    <cfRule type="cellIs" dxfId="369" priority="224" operator="equal">
      <formula>26</formula>
    </cfRule>
    <cfRule type="cellIs" dxfId="368" priority="225" operator="equal">
      <formula>20</formula>
    </cfRule>
    <cfRule type="cellIs" dxfId="367" priority="226" operator="equal">
      <formula>8</formula>
    </cfRule>
    <cfRule type="cellIs" dxfId="366" priority="227" operator="equal">
      <formula>7</formula>
    </cfRule>
    <cfRule type="cellIs" dxfId="365" priority="228" operator="equal">
      <formula>6</formula>
    </cfRule>
    <cfRule type="cellIs" dxfId="364" priority="229" operator="equal">
      <formula>2</formula>
    </cfRule>
    <cfRule type="cellIs" dxfId="363" priority="230" operator="equal">
      <formula>36</formula>
    </cfRule>
    <cfRule type="cellIs" dxfId="362" priority="231" operator="equal">
      <formula>33</formula>
    </cfRule>
    <cfRule type="cellIs" dxfId="361" priority="235" operator="equal">
      <formula>32</formula>
    </cfRule>
    <cfRule type="cellIs" dxfId="360" priority="236" operator="equal">
      <formula>31</formula>
    </cfRule>
    <cfRule type="cellIs" dxfId="359" priority="237" operator="equal">
      <formula>28</formula>
    </cfRule>
    <cfRule type="cellIs" dxfId="358" priority="238" operator="equal">
      <formula>27</formula>
    </cfRule>
    <cfRule type="cellIs" dxfId="357" priority="239" operator="equal">
      <formula>25</formula>
    </cfRule>
    <cfRule type="cellIs" dxfId="356" priority="240" operator="equal">
      <formula>19</formula>
    </cfRule>
    <cfRule type="cellIs" dxfId="355" priority="241" operator="equal">
      <formula>3</formula>
    </cfRule>
    <cfRule type="cellIs" dxfId="354" priority="242" operator="equal">
      <formula>5</formula>
    </cfRule>
    <cfRule type="cellIs" dxfId="353" priority="243" operator="equal">
      <formula>3</formula>
    </cfRule>
    <cfRule type="cellIs" dxfId="352" priority="244" operator="equal">
      <formula>44</formula>
    </cfRule>
    <cfRule type="cellIs" dxfId="351" priority="245" operator="equal">
      <formula>41</formula>
    </cfRule>
    <cfRule type="cellIs" dxfId="350" priority="246" operator="equal">
      <formula>39</formula>
    </cfRule>
    <cfRule type="cellIs" dxfId="349" priority="247" operator="equal">
      <formula>37</formula>
    </cfRule>
    <cfRule type="cellIs" dxfId="348" priority="248" operator="equal">
      <formula>30</formula>
    </cfRule>
    <cfRule type="cellIs" dxfId="347" priority="249" operator="equal">
      <formula>29</formula>
    </cfRule>
    <cfRule type="cellIs" dxfId="346" priority="250" operator="equal">
      <formula>23</formula>
    </cfRule>
    <cfRule type="cellIs" dxfId="345" priority="251" operator="equal">
      <formula>22</formula>
    </cfRule>
    <cfRule type="cellIs" dxfId="344" priority="252" operator="equal">
      <formula>18</formula>
    </cfRule>
    <cfRule type="cellIs" dxfId="343" priority="253" operator="equal">
      <formula>15</formula>
    </cfRule>
    <cfRule type="cellIs" dxfId="342" priority="254" operator="equal">
      <formula>14</formula>
    </cfRule>
    <cfRule type="cellIs" dxfId="341" priority="255" operator="equal">
      <formula>12</formula>
    </cfRule>
    <cfRule type="cellIs" dxfId="340" priority="256" operator="equal">
      <formula>11</formula>
    </cfRule>
    <cfRule type="cellIs" dxfId="339" priority="257" operator="equal">
      <formula>11</formula>
    </cfRule>
    <cfRule type="cellIs" dxfId="338" priority="258" operator="equal">
      <formula>45</formula>
    </cfRule>
    <cfRule type="cellIs" dxfId="337" priority="259" operator="equal">
      <formula>43</formula>
    </cfRule>
    <cfRule type="cellIs" dxfId="336" priority="260" operator="equal">
      <formula>42</formula>
    </cfRule>
    <cfRule type="cellIs" dxfId="335" priority="261" operator="equal">
      <formula>24</formula>
    </cfRule>
    <cfRule type="cellIs" dxfId="334" priority="262" operator="equal">
      <formula>43</formula>
    </cfRule>
    <cfRule type="cellIs" dxfId="333" priority="263" operator="equal">
      <formula>42</formula>
    </cfRule>
    <cfRule type="cellIs" dxfId="332" priority="264" operator="equal">
      <formula>24</formula>
    </cfRule>
    <cfRule type="cellIs" dxfId="331" priority="265" operator="equal">
      <formula>21</formula>
    </cfRule>
    <cfRule type="cellIs" dxfId="330" priority="266" operator="equal">
      <formula>17</formula>
    </cfRule>
    <cfRule type="cellIs" dxfId="329" priority="267" operator="equal">
      <formula>16</formula>
    </cfRule>
    <cfRule type="cellIs" dxfId="328" priority="268" operator="equal">
      <formula>13</formula>
    </cfRule>
    <cfRule type="cellIs" dxfId="327" priority="269" operator="equal">
      <formula>10</formula>
    </cfRule>
    <cfRule type="cellIs" dxfId="326" priority="270" operator="equal">
      <formula>9</formula>
    </cfRule>
    <cfRule type="cellIs" dxfId="325" priority="271" operator="equal">
      <formula>4</formula>
    </cfRule>
    <cfRule type="cellIs" dxfId="324" priority="272" operator="equal">
      <formula>1</formula>
    </cfRule>
    <cfRule type="cellIs" dxfId="323" priority="273" operator="equal">
      <formula>1</formula>
    </cfRule>
    <cfRule type="cellIs" dxfId="322" priority="274" operator="equal">
      <formula>24</formula>
    </cfRule>
    <cfRule type="cellIs" dxfId="321" priority="275" operator="equal">
      <formula>45</formula>
    </cfRule>
    <cfRule type="cellIs" dxfId="320" priority="276" operator="equal">
      <formula>45</formula>
    </cfRule>
    <cfRule type="cellIs" dxfId="319" priority="277" operator="equal">
      <formula>45</formula>
    </cfRule>
    <cfRule type="cellIs" dxfId="318" priority="278" operator="equal">
      <formula>37</formula>
    </cfRule>
    <cfRule type="cellIs" dxfId="317" priority="279" operator="equal">
      <formula>31</formula>
    </cfRule>
    <cfRule type="cellIs" dxfId="316" priority="280" operator="equal">
      <formula>26</formula>
    </cfRule>
    <cfRule type="cellIs" dxfId="315" priority="281" operator="equal">
      <formula>24</formula>
    </cfRule>
    <cfRule type="cellIs" dxfId="314" priority="282" operator="equal">
      <formula>19</formula>
    </cfRule>
    <cfRule type="cellIs" dxfId="313" priority="283" operator="equal">
      <formula>16</formula>
    </cfRule>
    <cfRule type="cellIs" dxfId="312" priority="284" operator="equal">
      <formula>11</formula>
    </cfRule>
    <cfRule type="cellIs" dxfId="311" priority="285" operator="equal">
      <formula>7</formula>
    </cfRule>
    <cfRule type="cellIs" dxfId="310" priority="286" operator="equal">
      <formula>44</formula>
    </cfRule>
    <cfRule type="cellIs" dxfId="309" priority="287" operator="equal">
      <formula>42</formula>
    </cfRule>
    <cfRule type="cellIs" dxfId="308" priority="288" operator="equal">
      <formula>36</formula>
    </cfRule>
    <cfRule type="cellIs" dxfId="307" priority="289" operator="equal">
      <formula>30</formula>
    </cfRule>
    <cfRule type="cellIs" dxfId="306" priority="290" operator="equal">
      <formula>21</formula>
    </cfRule>
    <cfRule type="cellIs" dxfId="305" priority="291" operator="equal">
      <formula>15</formula>
    </cfRule>
    <cfRule type="cellIs" dxfId="304" priority="292" operator="equal">
      <formula>8</formula>
    </cfRule>
    <cfRule type="cellIs" dxfId="303" priority="294" operator="equal">
      <formula>5</formula>
    </cfRule>
    <cfRule type="cellIs" dxfId="302" priority="295" operator="equal">
      <formula>41</formula>
    </cfRule>
    <cfRule type="cellIs" dxfId="301" priority="296" operator="equal">
      <formula>35</formula>
    </cfRule>
    <cfRule type="cellIs" dxfId="300" priority="297" operator="equal">
      <formula>32</formula>
    </cfRule>
    <cfRule type="cellIs" dxfId="299" priority="298" operator="equal">
      <formula>29</formula>
    </cfRule>
    <cfRule type="cellIs" dxfId="298" priority="299" operator="equal">
      <formula>28</formula>
    </cfRule>
    <cfRule type="cellIs" dxfId="297" priority="300" operator="equal">
      <formula>25</formula>
    </cfRule>
    <cfRule type="cellIs" dxfId="296" priority="301" operator="equal">
      <formula>23</formula>
    </cfRule>
    <cfRule type="cellIs" dxfId="295" priority="302" operator="equal">
      <formula>22</formula>
    </cfRule>
    <cfRule type="cellIs" dxfId="294" priority="303" operator="equal">
      <formula>9</formula>
    </cfRule>
    <cfRule type="cellIs" dxfId="293" priority="304" operator="equal">
      <formula>44</formula>
    </cfRule>
    <cfRule type="cellIs" dxfId="292" priority="305" operator="equal">
      <formula>42</formula>
    </cfRule>
    <cfRule type="cellIs" dxfId="291" priority="306" operator="equal">
      <formula>36</formula>
    </cfRule>
    <cfRule type="cellIs" dxfId="290" priority="307" operator="equal">
      <formula>30</formula>
    </cfRule>
    <cfRule type="cellIs" dxfId="289" priority="308" operator="equal">
      <formula>21</formula>
    </cfRule>
    <cfRule type="cellIs" dxfId="288" priority="309" operator="equal">
      <formula>15</formula>
    </cfRule>
    <cfRule type="cellIs" dxfId="287" priority="310" operator="equal">
      <formula>8</formula>
    </cfRule>
    <cfRule type="cellIs" dxfId="286" priority="311" operator="equal">
      <formula>6</formula>
    </cfRule>
    <cfRule type="cellIs" dxfId="285" priority="312" operator="equal">
      <formula>5</formula>
    </cfRule>
    <cfRule type="cellIs" dxfId="284" priority="313" operator="equal">
      <formula>45</formula>
    </cfRule>
    <cfRule type="cellIs" dxfId="283" priority="314" operator="equal">
      <formula>37</formula>
    </cfRule>
    <cfRule type="cellIs" dxfId="282" priority="315" operator="equal">
      <formula>31</formula>
    </cfRule>
    <cfRule type="cellIs" dxfId="281" priority="316" operator="equal">
      <formula>26</formula>
    </cfRule>
    <cfRule type="cellIs" dxfId="280" priority="317" operator="equal">
      <formula>24</formula>
    </cfRule>
    <cfRule type="cellIs" dxfId="279" priority="318" operator="equal">
      <formula>19</formula>
    </cfRule>
    <cfRule type="cellIs" dxfId="278" priority="319" operator="equal">
      <formula>16</formula>
    </cfRule>
    <cfRule type="cellIs" dxfId="277" priority="320" operator="equal">
      <formula>11</formula>
    </cfRule>
    <cfRule type="cellIs" dxfId="276" priority="321" operator="equal">
      <formula>7</formula>
    </cfRule>
    <cfRule type="cellIs" dxfId="275" priority="322" operator="equal">
      <formula>40</formula>
    </cfRule>
    <cfRule type="cellIs" dxfId="274" priority="323" operator="equal">
      <formula>39</formula>
    </cfRule>
    <cfRule type="cellIs" dxfId="273" priority="324" operator="equal">
      <formula>38</formula>
    </cfRule>
    <cfRule type="cellIs" dxfId="272" priority="325" operator="equal">
      <formula>20</formula>
    </cfRule>
    <cfRule type="cellIs" dxfId="271" priority="326" operator="equal">
      <formula>33</formula>
    </cfRule>
    <cfRule type="cellIs" dxfId="270" priority="327" operator="equal">
      <formula>27</formula>
    </cfRule>
    <cfRule type="cellIs" dxfId="269" priority="328" operator="equal">
      <formula>12</formula>
    </cfRule>
    <cfRule type="cellIs" dxfId="268" priority="329" operator="equal">
      <formula>18</formula>
    </cfRule>
    <cfRule type="cellIs" dxfId="267" priority="330" operator="equal">
      <formula>18</formula>
    </cfRule>
    <cfRule type="cellIs" dxfId="266" priority="197" operator="equal">
      <formula>11</formula>
    </cfRule>
    <cfRule type="cellIs" dxfId="265" priority="332" operator="equal">
      <formula>10</formula>
    </cfRule>
    <cfRule type="cellIs" dxfId="264" priority="333" operator="equal">
      <formula>3</formula>
    </cfRule>
    <cfRule type="cellIs" dxfId="263" priority="334" operator="equal">
      <formula>2</formula>
    </cfRule>
    <cfRule type="cellIs" dxfId="262" priority="335" operator="equal">
      <formula>43</formula>
    </cfRule>
    <cfRule type="cellIs" dxfId="261" priority="336" operator="equal">
      <formula>34</formula>
    </cfRule>
    <cfRule type="cellIs" dxfId="260" priority="337" operator="equal">
      <formula>34</formula>
    </cfRule>
    <cfRule type="cellIs" dxfId="259" priority="338" operator="equal">
      <formula>33</formula>
    </cfRule>
    <cfRule type="cellIs" dxfId="258" priority="339" operator="equal">
      <formula>4</formula>
    </cfRule>
    <cfRule type="cellIs" dxfId="257" priority="340" operator="equal">
      <formula>27</formula>
    </cfRule>
    <cfRule type="cellIs" dxfId="256" priority="341" operator="equal">
      <formula>12</formula>
    </cfRule>
    <cfRule type="cellIs" dxfId="255" priority="342" operator="equal">
      <formula>12</formula>
    </cfRule>
    <cfRule type="cellIs" dxfId="254" priority="343" operator="equal">
      <formula>1</formula>
    </cfRule>
    <cfRule type="cellIs" dxfId="253" priority="344" operator="equal">
      <formula>18</formula>
    </cfRule>
    <cfRule type="cellIs" dxfId="252" priority="345" operator="equal">
      <formula>10</formula>
    </cfRule>
    <cfRule type="cellIs" dxfId="251" priority="346" operator="equal">
      <formula>15</formula>
    </cfRule>
    <cfRule type="cellIs" dxfId="250" priority="347" operator="equal">
      <formula>15</formula>
    </cfRule>
    <cfRule type="cellIs" dxfId="249" priority="348" operator="equal">
      <formula>15</formula>
    </cfRule>
    <cfRule type="cellIs" dxfId="248" priority="349" operator="equal">
      <formula>15</formula>
    </cfRule>
    <cfRule type="cellIs" dxfId="247" priority="350" operator="equal">
      <formula>15</formula>
    </cfRule>
    <cfRule type="cellIs" dxfId="246" priority="351" operator="equal">
      <formula>15</formula>
    </cfRule>
    <cfRule type="cellIs" dxfId="245" priority="352" operator="equal">
      <formula>22</formula>
    </cfRule>
    <cfRule type="cellIs" dxfId="244" priority="353" operator="equal">
      <formula>40</formula>
    </cfRule>
    <cfRule type="cellIs" dxfId="243" priority="354" operator="equal">
      <formula>38</formula>
    </cfRule>
    <cfRule type="cellIs" dxfId="242" priority="355" operator="equal">
      <formula>43</formula>
    </cfRule>
    <cfRule type="cellIs" dxfId="241" priority="356" operator="equal">
      <formula>40</formula>
    </cfRule>
    <cfRule type="cellIs" dxfId="240" priority="357" operator="equal">
      <formula>39</formula>
    </cfRule>
    <cfRule type="cellIs" dxfId="239" priority="358" operator="equal">
      <formula>38</formula>
    </cfRule>
    <cfRule type="cellIs" dxfId="238" priority="359" operator="equal">
      <formula>34</formula>
    </cfRule>
    <cfRule type="cellIs" dxfId="237" priority="360" operator="equal">
      <formula>33</formula>
    </cfRule>
    <cfRule type="cellIs" dxfId="236" priority="361" operator="equal">
      <formula>27</formula>
    </cfRule>
    <cfRule type="cellIs" dxfId="235" priority="362" operator="equal">
      <formula>20</formula>
    </cfRule>
    <cfRule type="cellIs" dxfId="234" priority="363" operator="equal">
      <formula>18</formula>
    </cfRule>
    <cfRule type="cellIs" dxfId="233" priority="364" operator="equal">
      <formula>17</formula>
    </cfRule>
    <cfRule type="cellIs" dxfId="232" priority="365" operator="equal">
      <formula>13</formula>
    </cfRule>
    <cfRule type="cellIs" dxfId="231" priority="366" operator="equal">
      <formula>12</formula>
    </cfRule>
    <cfRule type="cellIs" dxfId="230" priority="367" operator="equal">
      <formula>12</formula>
    </cfRule>
    <cfRule type="cellIs" dxfId="229" priority="368" operator="equal">
      <formula>10</formula>
    </cfRule>
    <cfRule type="cellIs" dxfId="228" priority="369" operator="equal">
      <formula>4</formula>
    </cfRule>
    <cfRule type="cellIs" dxfId="227" priority="370" operator="equal">
      <formula>1</formula>
    </cfRule>
    <cfRule type="cellIs" dxfId="226" priority="371" operator="equal">
      <formula>45</formula>
    </cfRule>
    <cfRule type="cellIs" dxfId="225" priority="372" operator="equal">
      <formula>37</formula>
    </cfRule>
    <cfRule type="cellIs" dxfId="224" priority="373" operator="equal">
      <formula>31</formula>
    </cfRule>
    <cfRule type="cellIs" dxfId="223" priority="374" operator="equal">
      <formula>26</formula>
    </cfRule>
    <cfRule type="cellIs" dxfId="222" priority="375" operator="equal">
      <formula>24</formula>
    </cfRule>
    <cfRule type="cellIs" dxfId="221" priority="376" operator="equal">
      <formula>21</formula>
    </cfRule>
    <cfRule type="cellIs" dxfId="220" priority="377" operator="equal">
      <formula>19</formula>
    </cfRule>
    <cfRule type="cellIs" dxfId="219" priority="378" operator="equal">
      <formula>16</formula>
    </cfRule>
    <cfRule type="cellIs" dxfId="218" priority="379" operator="equal">
      <formula>14</formula>
    </cfRule>
    <cfRule type="cellIs" dxfId="217" priority="380" operator="equal">
      <formula>11</formula>
    </cfRule>
    <cfRule type="cellIs" dxfId="216" priority="381" operator="equal">
      <formula>7</formula>
    </cfRule>
    <cfRule type="cellIs" dxfId="215" priority="382" operator="equal">
      <formula>5</formula>
    </cfRule>
    <cfRule type="cellIs" dxfId="214" priority="383" operator="equal">
      <formula>3</formula>
    </cfRule>
    <cfRule type="cellIs" dxfId="213" priority="384" operator="equal">
      <formula>2</formula>
    </cfRule>
    <cfRule type="cellIs" dxfId="212" priority="385" operator="equal">
      <formula>6</formula>
    </cfRule>
    <cfRule type="cellIs" dxfId="211" priority="386" operator="equal">
      <formula>6</formula>
    </cfRule>
    <cfRule type="cellIs" dxfId="210" priority="387" operator="equal">
      <formula>2</formula>
    </cfRule>
    <cfRule type="cellIs" dxfId="209" priority="388" operator="equal">
      <formula>2</formula>
    </cfRule>
    <cfRule type="cellIs" dxfId="208" priority="389" operator="equal">
      <formula>40</formula>
    </cfRule>
    <cfRule type="cellIs" dxfId="207" priority="390" operator="equal">
      <formula>45</formula>
    </cfRule>
    <cfRule type="cellIs" dxfId="206" priority="391" operator="equal">
      <formula>42</formula>
    </cfRule>
    <cfRule type="cellIs" dxfId="205" priority="392" operator="equal">
      <formula>39</formula>
    </cfRule>
    <cfRule type="cellIs" dxfId="204" priority="393" operator="equal">
      <formula>36</formula>
    </cfRule>
    <cfRule type="cellIs" dxfId="203" priority="394" operator="equal">
      <formula>33</formula>
    </cfRule>
    <cfRule type="cellIs" dxfId="202" priority="395" operator="equal">
      <formula>30</formula>
    </cfRule>
    <cfRule type="cellIs" dxfId="201" priority="396" operator="equal">
      <formula>27</formula>
    </cfRule>
    <cfRule type="cellIs" dxfId="200" priority="397" operator="equal">
      <formula>24</formula>
    </cfRule>
    <cfRule type="cellIs" dxfId="199" priority="398" operator="equal">
      <formula>21</formula>
    </cfRule>
    <cfRule type="cellIs" dxfId="198" priority="399" operator="equal">
      <formula>18</formula>
    </cfRule>
    <cfRule type="cellIs" dxfId="197" priority="400" operator="equal">
      <formula>21</formula>
    </cfRule>
    <cfRule type="cellIs" dxfId="196" priority="401" operator="equal">
      <formula>18</formula>
    </cfRule>
    <cfRule type="cellIs" dxfId="195" priority="402" operator="equal">
      <formula>12</formula>
    </cfRule>
    <cfRule type="cellIs" dxfId="194" priority="403" operator="equal">
      <formula>12</formula>
    </cfRule>
    <cfRule type="cellIs" dxfId="193" priority="404" operator="equal">
      <formula>6</formula>
    </cfRule>
    <cfRule type="cellIs" dxfId="192" priority="405" operator="equal">
      <formula>15</formula>
    </cfRule>
    <cfRule type="cellIs" dxfId="191" priority="406" operator="equal">
      <formula>12</formula>
    </cfRule>
    <cfRule type="cellIs" dxfId="190" priority="407" operator="equal">
      <formula>9</formula>
    </cfRule>
    <cfRule type="cellIs" dxfId="189" priority="408" operator="equal">
      <formula>6</formula>
    </cfRule>
    <cfRule type="cellIs" dxfId="188" priority="409" operator="equal">
      <formula>15</formula>
    </cfRule>
    <cfRule type="cellIs" dxfId="187" priority="410" operator="equal">
      <formula>15</formula>
    </cfRule>
    <cfRule type="cellIs" dxfId="186" priority="411" operator="equal">
      <formula>15</formula>
    </cfRule>
    <cfRule type="cellIs" dxfId="185" priority="412" operator="equal">
      <formula>15</formula>
    </cfRule>
    <cfRule type="cellIs" dxfId="184" priority="413" operator="equal">
      <formula>45</formula>
    </cfRule>
    <cfRule type="cellIs" dxfId="183" priority="414" operator="equal">
      <formula>42</formula>
    </cfRule>
    <cfRule type="cellIs" dxfId="182" priority="415" operator="equal">
      <formula>39</formula>
    </cfRule>
    <cfRule type="cellIs" dxfId="181" priority="416" operator="equal">
      <formula>36</formula>
    </cfRule>
    <cfRule type="cellIs" dxfId="180" priority="417" operator="equal">
      <formula>33</formula>
    </cfRule>
    <cfRule type="cellIs" dxfId="179" priority="418" operator="equal">
      <formula>30</formula>
    </cfRule>
    <cfRule type="cellIs" dxfId="178" priority="419" operator="equal">
      <formula>27</formula>
    </cfRule>
    <cfRule type="cellIs" dxfId="177" priority="420" operator="equal">
      <formula>24</formula>
    </cfRule>
    <cfRule type="cellIs" dxfId="176" priority="421" operator="equal">
      <formula>21</formula>
    </cfRule>
    <cfRule type="cellIs" dxfId="175" priority="422" operator="equal">
      <formula>18</formula>
    </cfRule>
    <cfRule type="cellIs" dxfId="174" priority="423" operator="equal">
      <formula>15</formula>
    </cfRule>
    <cfRule type="cellIs" dxfId="173" priority="424" operator="equal">
      <formula>12</formula>
    </cfRule>
    <cfRule type="cellIs" dxfId="172" priority="425" operator="equal">
      <formula>9</formula>
    </cfRule>
    <cfRule type="cellIs" dxfId="171" priority="426" operator="equal">
      <formula>6</formula>
    </cfRule>
    <cfRule type="cellIs" dxfId="170" priority="427" operator="equal">
      <formula>43</formula>
    </cfRule>
    <cfRule type="cellIs" dxfId="169" priority="428" operator="equal">
      <formula>41</formula>
    </cfRule>
    <cfRule type="cellIs" dxfId="168" priority="429" operator="equal">
      <formula>37</formula>
    </cfRule>
    <cfRule type="cellIs" dxfId="167" priority="430" operator="equal">
      <formula>31</formula>
    </cfRule>
    <cfRule type="cellIs" dxfId="166" priority="431" operator="equal">
      <formula>29</formula>
    </cfRule>
    <cfRule type="cellIs" dxfId="165" priority="432" operator="equal">
      <formula>23</formula>
    </cfRule>
    <cfRule type="cellIs" dxfId="164" priority="433" operator="equal">
      <formula>19</formula>
    </cfRule>
    <cfRule type="cellIs" dxfId="163" priority="434" operator="equal">
      <formula>17</formula>
    </cfRule>
    <cfRule type="cellIs" dxfId="162" priority="435" operator="equal">
      <formula>13</formula>
    </cfRule>
    <cfRule type="cellIs" dxfId="161" priority="436" operator="equal">
      <formula>11</formula>
    </cfRule>
    <cfRule type="cellIs" dxfId="160" priority="437" operator="equal">
      <formula>7</formula>
    </cfRule>
    <cfRule type="cellIs" dxfId="159" priority="438" operator="equal">
      <formula>5</formula>
    </cfRule>
    <cfRule type="cellIs" dxfId="158" priority="439" operator="equal">
      <formula>5</formula>
    </cfRule>
    <cfRule type="cellIs" dxfId="157" priority="440" operator="equal">
      <formula>3</formula>
    </cfRule>
    <cfRule type="cellIs" dxfId="156" priority="441" operator="equal">
      <formula>2</formula>
    </cfRule>
    <cfRule type="cellIs" dxfId="155" priority="442" operator="equal">
      <formula>44</formula>
    </cfRule>
    <cfRule type="cellIs" dxfId="154" priority="443" operator="equal">
      <formula>40</formula>
    </cfRule>
    <cfRule type="cellIs" dxfId="153" priority="444" operator="equal">
      <formula>38</formula>
    </cfRule>
    <cfRule type="cellIs" dxfId="152" priority="445" operator="equal">
      <formula>35</formula>
    </cfRule>
    <cfRule type="cellIs" dxfId="151" priority="446" operator="equal">
      <formula>34</formula>
    </cfRule>
    <cfRule type="cellIs" dxfId="150" priority="447" operator="equal">
      <formula>32</formula>
    </cfRule>
    <cfRule type="cellIs" dxfId="149" priority="448" operator="equal">
      <formula>28</formula>
    </cfRule>
    <cfRule type="cellIs" dxfId="148" priority="449" operator="equal">
      <formula>26</formula>
    </cfRule>
    <cfRule type="cellIs" dxfId="147" priority="450" operator="equal">
      <formula>25</formula>
    </cfRule>
    <cfRule type="cellIs" dxfId="146" priority="451" operator="equal">
      <formula>20</formula>
    </cfRule>
    <cfRule type="cellIs" dxfId="145" priority="452" operator="equal">
      <formula>16</formula>
    </cfRule>
    <cfRule type="cellIs" dxfId="144" priority="453" operator="equal">
      <formula>14</formula>
    </cfRule>
    <cfRule type="cellIs" dxfId="143" priority="454" operator="equal">
      <formula>10</formula>
    </cfRule>
    <cfRule type="cellIs" dxfId="142" priority="455" operator="equal">
      <formula>8</formula>
    </cfRule>
    <cfRule type="cellIs" dxfId="141" priority="456" operator="equal">
      <formula>4</formula>
    </cfRule>
    <cfRule type="cellIs" dxfId="140" priority="457" operator="equal">
      <formula>1</formula>
    </cfRule>
    <cfRule type="cellIs" dxfId="139" priority="458" operator="equal">
      <formula>1</formula>
    </cfRule>
    <cfRule type="cellIs" dxfId="138" priority="459" operator="equal">
      <formula>45</formula>
    </cfRule>
    <cfRule type="cellIs" dxfId="137" priority="460" operator="equal">
      <formula>40</formula>
    </cfRule>
    <cfRule type="cellIs" dxfId="136" priority="461" operator="equal">
      <formula>37</formula>
    </cfRule>
    <cfRule type="cellIs" dxfId="135" priority="462" operator="equal">
      <formula>31</formula>
    </cfRule>
    <cfRule type="cellIs" dxfId="134" priority="463" operator="equal">
      <formula>26</formula>
    </cfRule>
    <cfRule type="cellIs" dxfId="133" priority="464" operator="equal">
      <formula>24</formula>
    </cfRule>
    <cfRule type="cellIs" dxfId="132" priority="466" operator="equal">
      <formula>19</formula>
    </cfRule>
    <cfRule type="cellIs" dxfId="131" priority="467" operator="equal">
      <formula>16</formula>
    </cfRule>
    <cfRule type="cellIs" dxfId="130" priority="468" operator="equal">
      <formula>11</formula>
    </cfRule>
    <cfRule type="cellIs" dxfId="129" priority="469" operator="equal">
      <formula>7</formula>
    </cfRule>
    <cfRule type="cellIs" dxfId="128" priority="470" operator="equal">
      <formula>5</formula>
    </cfRule>
    <cfRule type="cellIs" dxfId="127" priority="471" operator="equal">
      <formula>6</formula>
    </cfRule>
    <cfRule type="cellIs" dxfId="126" priority="472" operator="equal">
      <formula>3</formula>
    </cfRule>
    <cfRule type="cellIs" dxfId="125" priority="473" operator="equal">
      <formula>2</formula>
    </cfRule>
    <cfRule type="cellIs" dxfId="124" priority="474" operator="equal">
      <formula>44</formula>
    </cfRule>
    <cfRule type="cellIs" dxfId="123" priority="475" operator="equal">
      <formula>42</formula>
    </cfRule>
    <cfRule type="cellIs" dxfId="122" priority="476" operator="equal">
      <formula>41</formula>
    </cfRule>
    <cfRule type="cellIs" dxfId="121" priority="477" operator="equal">
      <formula>36</formula>
    </cfRule>
    <cfRule type="cellIs" dxfId="120" priority="478" operator="equal">
      <formula>35</formula>
    </cfRule>
    <cfRule type="cellIs" dxfId="119" priority="479" operator="equal">
      <formula>32</formula>
    </cfRule>
    <cfRule type="cellIs" dxfId="118" priority="480" operator="equal">
      <formula>30</formula>
    </cfRule>
    <cfRule type="cellIs" dxfId="117" priority="481" operator="equal">
      <formula>29</formula>
    </cfRule>
    <cfRule type="cellIs" dxfId="116" priority="482" operator="equal">
      <formula>28</formula>
    </cfRule>
    <cfRule type="cellIs" dxfId="115" priority="483" operator="equal">
      <formula>28</formula>
    </cfRule>
    <cfRule type="cellIs" dxfId="114" priority="484" operator="equal">
      <formula>25</formula>
    </cfRule>
    <cfRule type="cellIs" dxfId="113" priority="485" operator="equal">
      <formula>23</formula>
    </cfRule>
    <cfRule type="cellIs" dxfId="112" priority="486" operator="equal">
      <formula>22</formula>
    </cfRule>
    <cfRule type="cellIs" dxfId="111" priority="487" operator="equal">
      <formula>15</formula>
    </cfRule>
    <cfRule type="cellIs" dxfId="110" priority="488" operator="equal">
      <formula>9</formula>
    </cfRule>
    <cfRule type="cellIs" dxfId="109" priority="489" operator="equal">
      <formula>8</formula>
    </cfRule>
    <cfRule type="cellIs" dxfId="108" priority="490" operator="equal">
      <formula>8</formula>
    </cfRule>
    <cfRule type="cellIs" dxfId="107" priority="491" operator="equal">
      <formula>43</formula>
    </cfRule>
    <cfRule type="cellIs" dxfId="106" priority="492" operator="equal">
      <formula>39</formula>
    </cfRule>
    <cfRule type="cellIs" dxfId="105" priority="493" operator="equal">
      <formula>38</formula>
    </cfRule>
    <cfRule type="cellIs" dxfId="104" priority="494" operator="equal">
      <formula>34</formula>
    </cfRule>
    <cfRule type="cellIs" dxfId="103" priority="495" operator="equal">
      <formula>33</formula>
    </cfRule>
    <cfRule type="cellIs" dxfId="102" priority="496" operator="equal">
      <formula>27</formula>
    </cfRule>
    <cfRule type="cellIs" dxfId="101" priority="497" operator="equal">
      <formula>20</formula>
    </cfRule>
    <cfRule type="cellIs" dxfId="100" priority="498" operator="equal">
      <formula>18</formula>
    </cfRule>
    <cfRule type="cellIs" dxfId="99" priority="499" operator="equal">
      <formula>17</formula>
    </cfRule>
    <cfRule type="cellIs" dxfId="98" priority="500" operator="equal">
      <formula>14</formula>
    </cfRule>
    <cfRule type="cellIs" dxfId="97" priority="501" operator="equal">
      <formula>13</formula>
    </cfRule>
    <cfRule type="cellIs" dxfId="96" priority="502" operator="equal">
      <formula>12</formula>
    </cfRule>
    <cfRule type="cellIs" dxfId="95" priority="503" operator="equal">
      <formula>10</formula>
    </cfRule>
    <cfRule type="cellIs" dxfId="94" priority="504" operator="equal">
      <formula>4</formula>
    </cfRule>
    <cfRule type="cellIs" dxfId="93" priority="505" operator="equal">
      <formula>1</formula>
    </cfRule>
    <cfRule type="cellIs" dxfId="92" priority="331" operator="equal">
      <formula>14</formula>
    </cfRule>
    <cfRule type="cellIs" dxfId="91" priority="131" operator="between">
      <formula>1</formula>
      <formula>14</formula>
    </cfRule>
    <cfRule type="cellIs" dxfId="90" priority="127" operator="equal">
      <formula>26</formula>
    </cfRule>
    <cfRule type="cellIs" dxfId="89" priority="128" operator="equal">
      <formula>14</formula>
    </cfRule>
    <cfRule type="cellIs" dxfId="88" priority="129" operator="equal">
      <formula>1</formula>
    </cfRule>
    <cfRule type="cellIs" dxfId="87" priority="130" operator="equal">
      <formula>41</formula>
    </cfRule>
    <cfRule type="cellIs" dxfId="86" priority="132" operator="between">
      <formula>1</formula>
      <formula>14</formula>
    </cfRule>
    <cfRule type="cellIs" dxfId="85" priority="133" operator="equal">
      <formula>45</formula>
    </cfRule>
    <cfRule type="cellIs" dxfId="84" priority="134" operator="equal">
      <formula>44</formula>
    </cfRule>
    <cfRule type="cellIs" dxfId="83" priority="135" operator="equal">
      <formula>42</formula>
    </cfRule>
    <cfRule type="cellIs" dxfId="82" priority="136" operator="equal">
      <formula>36</formula>
    </cfRule>
    <cfRule type="cellIs" dxfId="81" priority="137" operator="equal">
      <formula>30</formula>
    </cfRule>
    <cfRule type="cellIs" dxfId="80" priority="138" operator="equal">
      <formula>25</formula>
    </cfRule>
    <cfRule type="cellIs" dxfId="79" priority="139" operator="equal">
      <formula>22</formula>
    </cfRule>
    <cfRule type="cellIs" dxfId="78" priority="140" operator="equal">
      <formula>16</formula>
    </cfRule>
    <cfRule type="cellIs" dxfId="77" priority="141" operator="equal">
      <formula>6</formula>
    </cfRule>
    <cfRule type="cellIs" dxfId="76" priority="142" operator="equal">
      <formula>5</formula>
    </cfRule>
    <cfRule type="cellIs" dxfId="75" priority="143" operator="equal">
      <formula>39</formula>
    </cfRule>
    <cfRule type="cellIs" dxfId="74" priority="144" operator="equal">
      <formula>37</formula>
    </cfRule>
    <cfRule type="cellIs" dxfId="73" priority="145" operator="equal">
      <formula>33</formula>
    </cfRule>
    <cfRule type="cellIs" dxfId="72" priority="146" operator="equal">
      <formula>24</formula>
    </cfRule>
    <cfRule type="cellIs" dxfId="71" priority="147" operator="equal">
      <formula>21</formula>
    </cfRule>
    <cfRule type="cellIs" dxfId="70" priority="148" operator="equal">
      <formula>20</formula>
    </cfRule>
    <cfRule type="cellIs" dxfId="69" priority="149" operator="equal">
      <formula>18</formula>
    </cfRule>
    <cfRule type="cellIs" dxfId="68" priority="150" operator="equal">
      <formula>12</formula>
    </cfRule>
    <cfRule type="cellIs" dxfId="67" priority="151" operator="equal">
      <formula>2</formula>
    </cfRule>
    <cfRule type="cellIs" dxfId="66" priority="152" operator="equal">
      <formula>1</formula>
    </cfRule>
    <cfRule type="cellIs" dxfId="65" priority="153" operator="equal">
      <formula>44</formula>
    </cfRule>
    <cfRule type="cellIs" dxfId="64" priority="154" operator="equal">
      <formula>44</formula>
    </cfRule>
    <cfRule type="cellIs" dxfId="63" priority="155" operator="equal">
      <formula>33</formula>
    </cfRule>
    <cfRule type="cellIs" dxfId="62" priority="156" operator="equal">
      <formula>45</formula>
    </cfRule>
    <cfRule type="cellIs" dxfId="61" priority="157" operator="equal">
      <formula>39</formula>
    </cfRule>
    <cfRule type="cellIs" dxfId="60" priority="158" operator="equal">
      <formula>35</formula>
    </cfRule>
    <cfRule type="cellIs" dxfId="59" priority="159" operator="equal">
      <formula>31</formula>
    </cfRule>
    <cfRule type="cellIs" dxfId="58" priority="160" operator="equal">
      <formula>28</formula>
    </cfRule>
    <cfRule type="cellIs" dxfId="57" priority="161" operator="equal">
      <formula>24</formula>
    </cfRule>
    <cfRule type="cellIs" dxfId="56" priority="162" operator="equal">
      <formula>21</formula>
    </cfRule>
    <cfRule type="cellIs" dxfId="55" priority="163" operator="equal">
      <formula>15</formula>
    </cfRule>
    <cfRule type="cellIs" dxfId="54" priority="164" operator="equal">
      <formula>9</formula>
    </cfRule>
    <cfRule type="cellIs" dxfId="53" priority="465" operator="equal">
      <formula>21</formula>
    </cfRule>
  </conditionalFormatting>
  <conditionalFormatting sqref="CI399:CI408 CH215:CL397 CH398:CJ398 CL398">
    <cfRule type="cellIs" dxfId="52" priority="293" operator="equal">
      <formula>6</formula>
    </cfRule>
  </conditionalFormatting>
  <conditionalFormatting sqref="CI399:CI408">
    <cfRule type="cellIs" dxfId="51" priority="234" operator="equal">
      <formula>2</formula>
    </cfRule>
    <cfRule type="cellIs" dxfId="50" priority="233" operator="equal">
      <formula>6</formula>
    </cfRule>
  </conditionalFormatting>
  <conditionalFormatting sqref="CN4:CR303">
    <cfRule type="cellIs" dxfId="49" priority="543" operator="equal">
      <formula>2</formula>
    </cfRule>
    <cfRule type="cellIs" dxfId="48" priority="99" operator="equal">
      <formula>2</formula>
    </cfRule>
    <cfRule type="cellIs" dxfId="47" priority="100" operator="equal">
      <formula>0</formula>
    </cfRule>
    <cfRule type="cellIs" dxfId="46" priority="101" operator="equal">
      <formula>2</formula>
    </cfRule>
  </conditionalFormatting>
  <conditionalFormatting sqref="CN4:CR1048576 I4:N1048576">
    <cfRule type="cellIs" dxfId="45" priority="541" operator="equal">
      <formula>2</formula>
    </cfRule>
  </conditionalFormatting>
  <conditionalFormatting sqref="CN4:CR1048576">
    <cfRule type="cellIs" dxfId="44" priority="542" operator="equal">
      <formula>2</formula>
    </cfRule>
  </conditionalFormatting>
  <conditionalFormatting sqref="CT4:CT1048576">
    <cfRule type="cellIs" dxfId="43" priority="507" operator="equal">
      <formula>4</formula>
    </cfRule>
    <cfRule type="cellIs" dxfId="42" priority="94" operator="equal">
      <formula>1</formula>
    </cfRule>
  </conditionalFormatting>
  <conditionalFormatting sqref="CT4:CU303 CW4:CX303">
    <cfRule type="cellIs" dxfId="41" priority="574" operator="equal">
      <formula>5</formula>
    </cfRule>
  </conditionalFormatting>
  <conditionalFormatting sqref="CU4:CU303 CW4:CX303">
    <cfRule type="cellIs" dxfId="40" priority="581" operator="equal">
      <formula>6</formula>
    </cfRule>
  </conditionalFormatting>
  <conditionalFormatting sqref="CW1:CW1048576">
    <cfRule type="cellIs" dxfId="39" priority="1" operator="equal">
      <formula>1</formula>
    </cfRule>
  </conditionalFormatting>
  <conditionalFormatting sqref="CW4:CW1048576">
    <cfRule type="cellIs" dxfId="38" priority="93" operator="lessThan">
      <formula>3</formula>
    </cfRule>
  </conditionalFormatting>
  <conditionalFormatting sqref="CW4:CX303 CT4:CU303">
    <cfRule type="cellIs" dxfId="37" priority="575" operator="equal">
      <formula>0</formula>
    </cfRule>
  </conditionalFormatting>
  <conditionalFormatting sqref="CW4:CX303 CU4:CU303">
    <cfRule type="cellIs" dxfId="36" priority="580" operator="between">
      <formula>6</formula>
      <formula>7</formula>
    </cfRule>
  </conditionalFormatting>
  <conditionalFormatting sqref="CW4:CX303">
    <cfRule type="cellIs" dxfId="35" priority="579" operator="equal">
      <formula>5</formula>
    </cfRule>
    <cfRule type="cellIs" dxfId="34" priority="578" operator="between">
      <formula>1</formula>
      <formula>4</formula>
    </cfRule>
  </conditionalFormatting>
  <conditionalFormatting sqref="CX4:CX303">
    <cfRule type="cellIs" dxfId="33" priority="560" operator="equal">
      <formula>4</formula>
    </cfRule>
  </conditionalFormatting>
  <conditionalFormatting sqref="CZ4:DA303">
    <cfRule type="cellIs" dxfId="32" priority="557" operator="equal">
      <formula>3</formula>
    </cfRule>
  </conditionalFormatting>
  <conditionalFormatting sqref="CZ4:DB303 CX4:CX303">
    <cfRule type="cellIs" dxfId="31" priority="577" operator="equal">
      <formula>3</formula>
    </cfRule>
  </conditionalFormatting>
  <conditionalFormatting sqref="CZ4:DB303">
    <cfRule type="cellIs" dxfId="30" priority="103" operator="greaterThan">
      <formula>3</formula>
    </cfRule>
    <cfRule type="cellIs" dxfId="29" priority="104" operator="equal">
      <formula>3</formula>
    </cfRule>
    <cfRule type="cellIs" dxfId="28" priority="102" operator="equal">
      <formula>3</formula>
    </cfRule>
    <cfRule type="cellIs" dxfId="27" priority="576" operator="greaterThan">
      <formula>3</formula>
    </cfRule>
  </conditionalFormatting>
  <conditionalFormatting sqref="CZ4:DB1048576">
    <cfRule type="cellIs" dxfId="26" priority="545" operator="greaterThan">
      <formula>4</formula>
    </cfRule>
  </conditionalFormatting>
  <conditionalFormatting sqref="DB4:DB303">
    <cfRule type="cellIs" dxfId="25" priority="561" operator="greaterThan">
      <formula>2</formula>
    </cfRule>
  </conditionalFormatting>
  <conditionalFormatting sqref="DD4:DM303 CZ4:DB303 BP4:CA303">
    <cfRule type="cellIs" dxfId="24" priority="588" operator="between">
      <formula>1</formula>
      <formula>2</formula>
    </cfRule>
  </conditionalFormatting>
  <conditionalFormatting sqref="DD4:DM303">
    <cfRule type="cellIs" dxfId="23" priority="572" operator="greaterThan">
      <formula>21</formula>
    </cfRule>
    <cfRule type="cellIs" dxfId="22" priority="573" operator="equal">
      <formula>0</formula>
    </cfRule>
    <cfRule type="cellIs" dxfId="21" priority="570" operator="greaterThan">
      <formula>15</formula>
    </cfRule>
    <cfRule type="cellIs" dxfId="20" priority="569" operator="equal">
      <formula>26</formula>
    </cfRule>
    <cfRule type="cellIs" dxfId="19" priority="568" operator="equal">
      <formula>0</formula>
    </cfRule>
    <cfRule type="cellIs" dxfId="18" priority="571" operator="between">
      <formula>1</formula>
      <formula>6</formula>
    </cfRule>
    <cfRule type="cellIs" dxfId="17" priority="567" operator="between">
      <formula>4</formula>
      <formula>6</formula>
    </cfRule>
  </conditionalFormatting>
  <conditionalFormatting sqref="DO4:DS303">
    <cfRule type="cellIs" dxfId="16" priority="524" operator="between">
      <formula>1</formula>
      <formula>3</formula>
    </cfRule>
    <cfRule type="cellIs" dxfId="15" priority="523" operator="greaterThan">
      <formula>4</formula>
    </cfRule>
    <cfRule type="cellIs" dxfId="14" priority="517" operator="between">
      <formula>4</formula>
      <formula>6</formula>
    </cfRule>
    <cfRule type="cellIs" dxfId="13" priority="522" operator="equal">
      <formula>0</formula>
    </cfRule>
    <cfRule type="cellIs" dxfId="12" priority="521" operator="greaterThan">
      <formula>21</formula>
    </cfRule>
    <cfRule type="cellIs" dxfId="11" priority="520" operator="between">
      <formula>1</formula>
      <formula>6</formula>
    </cfRule>
    <cfRule type="cellIs" dxfId="10" priority="519" operator="greaterThan">
      <formula>15</formula>
    </cfRule>
    <cfRule type="cellIs" dxfId="9" priority="518" operator="equal">
      <formula>26</formula>
    </cfRule>
    <cfRule type="cellIs" dxfId="8" priority="516" operator="equal">
      <formula>3</formula>
    </cfRule>
    <cfRule type="cellIs" dxfId="7" priority="515" operator="greaterThan">
      <formula>3</formula>
    </cfRule>
    <cfRule type="cellIs" dxfId="6" priority="514" operator="equal">
      <formula>4</formula>
    </cfRule>
    <cfRule type="cellIs" dxfId="5" priority="513" operator="equal">
      <formula>0</formula>
    </cfRule>
  </conditionalFormatting>
  <conditionalFormatting sqref="DO4:DS1048576">
    <cfRule type="cellIs" dxfId="4" priority="508" operator="equal">
      <formula>"배"</formula>
    </cfRule>
    <cfRule type="cellIs" dxfId="3" priority="509" operator="equal">
      <formula>"자"</formula>
    </cfRule>
    <cfRule type="cellIs" dxfId="2" priority="510" operator="equal">
      <formula>"소"</formula>
    </cfRule>
    <cfRule type="cellIs" dxfId="1" priority="512" operator="between">
      <formula>1</formula>
      <formula>2</formula>
    </cfRule>
    <cfRule type="cellIs" dxfId="0" priority="511" operator="greaterThan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홀짝 소자배 기본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2026-07-04T06:49:04Z</dcterms:created>
  <dcterms:modified xsi:type="dcterms:W3CDTF">2026-07-04T07:49:23Z</dcterms:modified>
</cp:coreProperties>
</file>